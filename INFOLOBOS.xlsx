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<sst xmlns="http://schemas.openxmlformats.org/spreadsheetml/2006/main" count="23516" uniqueCount="5265">
  <si>
    <t>s</t>
  </si>
  <si>
    <t>Fecha</t>
  </si>
  <si>
    <t>Dashboard Klaider</t>
  </si>
  <si>
    <t>Razón Social</t>
  </si>
  <si>
    <t>CUIT</t>
  </si>
  <si>
    <t>Negocio Alcanzado</t>
  </si>
  <si>
    <t>Tipo de cliente (nuevo/actual)</t>
  </si>
  <si>
    <t>Tecnología</t>
  </si>
  <si>
    <t>Tipo Venta (directa/corporativa)</t>
  </si>
  <si>
    <t>FULL</t>
  </si>
  <si>
    <t>POS   POP</t>
  </si>
  <si>
    <t>TCP</t>
  </si>
  <si>
    <t>AVM</t>
  </si>
  <si>
    <t>AEC</t>
  </si>
  <si>
    <t>VND   WHW</t>
  </si>
  <si>
    <t>AMH   AEC</t>
  </si>
  <si>
    <t>Hrs Capacitación</t>
  </si>
  <si>
    <t>Hrs Desarrollo</t>
  </si>
  <si>
    <t>Vertical</t>
  </si>
  <si>
    <t>Provincia</t>
  </si>
  <si>
    <t>Origen del lead</t>
  </si>
  <si>
    <t>Ejecutivo de Negocios</t>
  </si>
  <si>
    <t>$ Abono partners</t>
  </si>
  <si>
    <t>$ Implentación partners</t>
  </si>
  <si>
    <t>$ Capacitación</t>
  </si>
  <si>
    <t>$ Desarrollo</t>
  </si>
  <si>
    <t>$ Abono accesos</t>
  </si>
  <si>
    <t>$ Implentación accesos</t>
  </si>
  <si>
    <t>Bitrix URL</t>
  </si>
  <si>
    <t>Bitrix ID</t>
  </si>
  <si>
    <t>URL Confluence</t>
  </si>
  <si>
    <t>Provincia + Pais</t>
  </si>
  <si>
    <t>Total de accesos</t>
  </si>
  <si>
    <t>$ Total de partners</t>
  </si>
  <si>
    <t>$ Total de horas (capa + desa)</t>
  </si>
  <si>
    <t>$ Total de accesos</t>
  </si>
  <si>
    <t>$ TOTAL VENTAS</t>
  </si>
  <si>
    <t>Bruder SRL (LikeTech)</t>
  </si>
  <si>
    <t>Sin datos</t>
  </si>
  <si>
    <t>3 Total: 1 Full + 2 Pos</t>
  </si>
  <si>
    <t>Nuevo</t>
  </si>
  <si>
    <t>Advanced</t>
  </si>
  <si>
    <t>Directa</t>
  </si>
  <si>
    <t>Electrónica y Tecnología</t>
  </si>
  <si>
    <t>Mendoza</t>
  </si>
  <si>
    <t>NClan - Landing Page</t>
  </si>
  <si>
    <t>Mauricio</t>
  </si>
  <si>
    <t>https://crm.infosis.tech/crm/deal/details/2054/</t>
  </si>
  <si>
    <t>No sé por qué, no lo encuentro</t>
  </si>
  <si>
    <t>Ottani Mirian (Carolina Regalos)</t>
  </si>
  <si>
    <t>4 Total: 1 Full + 3 Pos</t>
  </si>
  <si>
    <t>Librería y Papelería</t>
  </si>
  <si>
    <t>San Luis</t>
  </si>
  <si>
    <t>NCedn - Ejecutivo de Negocio</t>
  </si>
  <si>
    <t>https://crm.infosis.tech/crm/deal/details/2176/</t>
  </si>
  <si>
    <t>http://clientes.infosis-arg.com:8090/display/IMP/OTTANI+MIRIAN_OC</t>
  </si>
  <si>
    <t>Bruno Paredes</t>
  </si>
  <si>
    <t>4 Total : 2 Full + 2 Pos + DB</t>
  </si>
  <si>
    <t>Córdoba</t>
  </si>
  <si>
    <t>Juan</t>
  </si>
  <si>
    <t>https://crm.infosis.tech/crm/deal/details/1962/</t>
  </si>
  <si>
    <t>http://clientes.infosis-arg.com:8090/display/IMP/Paredes+Bruno</t>
  </si>
  <si>
    <t>Kromacolor</t>
  </si>
  <si>
    <t>EcomExperts</t>
  </si>
  <si>
    <t>Actual</t>
  </si>
  <si>
    <t>Pinturería</t>
  </si>
  <si>
    <t>Buenos Aires</t>
  </si>
  <si>
    <t>CAboc - Backoffice Comercial</t>
  </si>
  <si>
    <t>https://crm.infosis.tech/crm/deal/details/2062/</t>
  </si>
  <si>
    <t>http://clientes.infosis-arg.com:8090/pages/viewpage.action?pageId=15532034</t>
  </si>
  <si>
    <t>Suzuki Motos</t>
  </si>
  <si>
    <t>1 Full</t>
  </si>
  <si>
    <t>Automotor y Autopartes</t>
  </si>
  <si>
    <t>Tierra de Fuego</t>
  </si>
  <si>
    <t>https://crm.infosis.tech/crm/deal/details/2252/</t>
  </si>
  <si>
    <t>http://clientes.infosis-arg.com:8090/pages/viewpage.action?pageId=17891331</t>
  </si>
  <si>
    <t>Fernando Martínez</t>
  </si>
  <si>
    <t>1 Pos</t>
  </si>
  <si>
    <t>Alejandra</t>
  </si>
  <si>
    <t>https://crm.infosis.tech/crm/deal/details/1850/</t>
  </si>
  <si>
    <t>http://clientes.infosis-arg.com:8090/display/IMP/MARTINEZ+FERNANDO+CARLOS+%28Mundo+Figus%29+%23Neg1850</t>
  </si>
  <si>
    <t>Expertos Ganaderos</t>
  </si>
  <si>
    <t>Agroindustria</t>
  </si>
  <si>
    <t>Capital Federal</t>
  </si>
  <si>
    <t>Rodrigo</t>
  </si>
  <si>
    <t>https://crm.infosis.tech/crm/deal/details/2028/</t>
  </si>
  <si>
    <t>http://clientes.infosis-arg.com:8090/pages/viewpage.action?pageId=15958018</t>
  </si>
  <si>
    <t>PBG de De Blasis Luis S</t>
  </si>
  <si>
    <t>1 Full + DB</t>
  </si>
  <si>
    <t>Bazar y Cocina</t>
  </si>
  <si>
    <t>https://crm.infosis.tech/crm/deal/details/2160/</t>
  </si>
  <si>
    <t>http://clientes.infosis-arg.com:8090/display/IMP/de+De+Blasis+Luis+S.%2C+Segura+Dario+A.+Y+Costa+Gustavo+S.H+%23+2160</t>
  </si>
  <si>
    <t>Paternal Motor</t>
  </si>
  <si>
    <t>2 Full + DB</t>
  </si>
  <si>
    <t>https://crm.infosis.tech/crm/deal/details/2302/</t>
  </si>
  <si>
    <t>http://clientes.infosis-arg.com:8090/pages/viewpage.action?pageId=20578307</t>
  </si>
  <si>
    <t>Todo Prof</t>
  </si>
  <si>
    <t>4 Full</t>
  </si>
  <si>
    <t>Moda y Bienestar</t>
  </si>
  <si>
    <t>CAcc - Call Center (Tel, Wp, Jira)</t>
  </si>
  <si>
    <t>https://crm.infosis.tech/crm/deal/details/2425/</t>
  </si>
  <si>
    <t>http://clientes.infosis-arg.com:8090/pages/viewpage.action?pageId=21528577</t>
  </si>
  <si>
    <t>Colchones Estelar</t>
  </si>
  <si>
    <t>30-71597640-0</t>
  </si>
  <si>
    <t>Cambio de Razon Social</t>
  </si>
  <si>
    <t>Distribuidoras y Fábricas</t>
  </si>
  <si>
    <t>https://crm.infosis.tech/crm/deal/details/4038/</t>
  </si>
  <si>
    <t>http://clientes.infosis-arg.com:8090/pages/viewpage.action?pageId=21757954</t>
  </si>
  <si>
    <t>Puk Seguridad</t>
  </si>
  <si>
    <t>Servicios</t>
  </si>
  <si>
    <t>https://crm.infosis.tech/crm/deal/details/1958/</t>
  </si>
  <si>
    <t>http://clientes.infosis-arg.com:8090/pages/viewpage.action?pageId=12681223</t>
  </si>
  <si>
    <t>Lucas Gimenez</t>
  </si>
  <si>
    <t>3 Total: 1 Full y 2 Pos</t>
  </si>
  <si>
    <t>Alimentos y Bebidas</t>
  </si>
  <si>
    <t>Jujuy</t>
  </si>
  <si>
    <t>https://crm.infosis.tech/crm/deal/details/2276/</t>
  </si>
  <si>
    <t>http://clientes.infosis-arg.com:8090/pages/viewpage.action?pageId=18776068</t>
  </si>
  <si>
    <t>Camino 1</t>
  </si>
  <si>
    <t>EcomExperts + KCE</t>
  </si>
  <si>
    <t>https://crm.infosis.tech/crm/deal/details/2116/</t>
  </si>
  <si>
    <t>http://clientes.infosis-arg.com:8090/pages/viewpage.action?pageId=18153475</t>
  </si>
  <si>
    <t>Frigo Patagonia</t>
  </si>
  <si>
    <t>2 Total: 1 Full + 1 Pos</t>
  </si>
  <si>
    <t>https://crm.infosis.tech/crm/deal/details/2284/</t>
  </si>
  <si>
    <t>http://clientes.infosis-arg.com:8090/pages/viewpage.action?pageId=19693570</t>
  </si>
  <si>
    <t>Marisa susana Rebel</t>
  </si>
  <si>
    <t>https://crm.infosis.tech/crm/deal/details/2296/</t>
  </si>
  <si>
    <t>http://clientes.infosis-arg.com:8090/pages/viewpage.action?pageId=19333124</t>
  </si>
  <si>
    <t>Elejotate</t>
  </si>
  <si>
    <t>7 Total: 1 Full + 6 Pos</t>
  </si>
  <si>
    <t>https://crm.infosis.tech/crm/deal/details/2338/</t>
  </si>
  <si>
    <t>http://clientes.infosis-arg.com:8090/pages/viewpage.action?pageId=20709378</t>
  </si>
  <si>
    <t>Deomar Cian</t>
  </si>
  <si>
    <t>https://crm.infosis.tech/crm/deal/details/2298/</t>
  </si>
  <si>
    <t>http://clientes.infosis-arg.com:8090/pages/viewpage.action?pageId=21528584</t>
  </si>
  <si>
    <t>Fibar</t>
  </si>
  <si>
    <t>Ferretería y Herramientas</t>
  </si>
  <si>
    <t>https://crm.infosis.tech/crm/deal/details/1752/</t>
  </si>
  <si>
    <t>http://clientes.infosis-arg.com:8090/pages/viewpage.action?pageId=19333122</t>
  </si>
  <si>
    <t>Mastra</t>
  </si>
  <si>
    <t>Salud y Equipamiento</t>
  </si>
  <si>
    <t>https://crm.infosis.tech/crm/deal/details/1932/</t>
  </si>
  <si>
    <t>http://clientes.infosis-arg.com:8090/pages/viewpage.action?pageId=2951093</t>
  </si>
  <si>
    <t>Luna Mauro Alberto (Estilo Urbano Zapatería)</t>
  </si>
  <si>
    <t>https://crm.infosis.tech/crm/deal/details/2587/</t>
  </si>
  <si>
    <t>http://clientes.infosis-arg.com:8090/display/IMP/LUNA+MAURO+ALBERTO_OC</t>
  </si>
  <si>
    <t>Molina Norma (Alteza Zapatería)</t>
  </si>
  <si>
    <t>Formosa</t>
  </si>
  <si>
    <t>http://clientes.infosis-arg.com:8090/display/IMP/MOLINA+NORMA+ANA_OC</t>
  </si>
  <si>
    <t>Polar Center</t>
  </si>
  <si>
    <t>5 Total: 3 Full + 2 Pos + DB</t>
  </si>
  <si>
    <t>https://crm.infosis.tech/crm/deal/details/2447/</t>
  </si>
  <si>
    <t>http://clientes.infosis-arg.com:8090/pages/viewpage.action?pageId=22282253</t>
  </si>
  <si>
    <t>Argenchino</t>
  </si>
  <si>
    <t>https://crm.infosis.tech/crm/deal/details/2439/</t>
  </si>
  <si>
    <t>http://clientes.infosis-arg.com:8090/pages/viewpage.action?pageId=22904845</t>
  </si>
  <si>
    <t>TodoProf SRL</t>
  </si>
  <si>
    <t>Zeus Ampliación DB</t>
  </si>
  <si>
    <t>https://crm.infosis.tech/crm/deal/details/2495/</t>
  </si>
  <si>
    <t>http://clientes.infosis-arg.com:8090/display/IMP/Amplia+Debora+TODOPROF+SRL</t>
  </si>
  <si>
    <t>VillaElias</t>
  </si>
  <si>
    <t>3 Full + DB</t>
  </si>
  <si>
    <t>NCwsd - Website / Solicita Demo</t>
  </si>
  <si>
    <t>https://crm.infosis.tech/crm/deal/details/2501/</t>
  </si>
  <si>
    <t>http://clientes.infosis-arg.com:8090/pages/viewpage.action?pageId=24379401</t>
  </si>
  <si>
    <t>Nuvola Colchoneria</t>
  </si>
  <si>
    <t>Hogar y Jardín</t>
  </si>
  <si>
    <t>https://crm.infosis.tech/crm/deal/details/2483/</t>
  </si>
  <si>
    <t>http://clientes.infosis-arg.com:8090/pages/viewpage.action?pageId=24018959</t>
  </si>
  <si>
    <t>Fields Forever Shoes</t>
  </si>
  <si>
    <t>5 Total: 2 Full + 3 Pos + 2 DB</t>
  </si>
  <si>
    <t>https://crm.infosis.tech/crm/deal/details/2531/</t>
  </si>
  <si>
    <t>http://clientes.infosis-arg.com:8090/pages/viewpage.action?pageId=24379405</t>
  </si>
  <si>
    <t>Perfumeria Ailen</t>
  </si>
  <si>
    <t>4 Total: 1 Full + 3 Pos + DB</t>
  </si>
  <si>
    <t>https://crm.infosis.tech/crm/deal/details/2585/</t>
  </si>
  <si>
    <t>http://clientes.infosis-arg.com:8090/pages/viewpage.action?pageId=24379409</t>
  </si>
  <si>
    <t>One ART</t>
  </si>
  <si>
    <t>30-71632121-1</t>
  </si>
  <si>
    <t>Cambio de Razón Social ACCESS GROUP SRL</t>
  </si>
  <si>
    <t>https://crm.infosis.tech/crm/deal/details/2437/</t>
  </si>
  <si>
    <t>http://clientes.infosis-arg.com:8090/pages/viewpage.action?pageId=21889027</t>
  </si>
  <si>
    <t>Centro Lujan</t>
  </si>
  <si>
    <t>Tintometrico</t>
  </si>
  <si>
    <t>https://crm.infosis.tech/crm/deal/details/2300/</t>
  </si>
  <si>
    <t>http://clientes.infosis-arg.com:8090/pages/viewpage.action?pageId=23134214</t>
  </si>
  <si>
    <t>Grupo Medra</t>
  </si>
  <si>
    <t>MultiEmpresa</t>
  </si>
  <si>
    <t>Construcción</t>
  </si>
  <si>
    <t>https://crm.infosis.tech/crm/deal/details/2330/</t>
  </si>
  <si>
    <t>http://clientes.infosis-arg.com:8090/pages/viewpage.action?pageId=20709384</t>
  </si>
  <si>
    <t>Rodrigo Moreno</t>
  </si>
  <si>
    <t>https://crm.infosis.tech/crm/deal/details/2326/</t>
  </si>
  <si>
    <t>http://clientes.infosis-arg.com:8090/pages/viewpage.action?pageId=21889040</t>
  </si>
  <si>
    <t>Bruno Malacrida</t>
  </si>
  <si>
    <t>Cambio de Razón Social</t>
  </si>
  <si>
    <t>https://crm.infosis.tech/crm/deal/details/2417/</t>
  </si>
  <si>
    <t>http://clientes.infosis-arg.com:8090/pages/viewpage.action?pageId=21102605</t>
  </si>
  <si>
    <t>Andres Merino</t>
  </si>
  <si>
    <t>65 Total: 31 Full + 34 Pos + DB</t>
  </si>
  <si>
    <t>https://crm.infosis.tech/crm/deal/details/1690/</t>
  </si>
  <si>
    <t>http://clientes.infosis-arg.com:8090/pages/viewpage.action?pageId=22904834</t>
  </si>
  <si>
    <t>Lamas Eduardo Gabriel</t>
  </si>
  <si>
    <t>Droguerías y Químicas</t>
  </si>
  <si>
    <t>Rodrigo y Alejandra</t>
  </si>
  <si>
    <t>https://crm.infosis.tech/crm/deal/details/2423/</t>
  </si>
  <si>
    <t>http://clientes.infosis-arg.com:8090/pages/viewpage.action?pageId=23625735</t>
  </si>
  <si>
    <t>Andres Eduardo Carabelli</t>
  </si>
  <si>
    <t>https://crm.infosis.tech/crm/deal/details/2509/</t>
  </si>
  <si>
    <t>http://clientes.infosis-arg.com:8090/pages/viewpage.action?pageId=23625731</t>
  </si>
  <si>
    <t>Luna Pintureria</t>
  </si>
  <si>
    <t>1 Pos (Ampl)</t>
  </si>
  <si>
    <t>https://crm.infosis.tech/crm/deal/details/2691/</t>
  </si>
  <si>
    <t>http://clientes.infosis-arg.com:8090/pages/viewpage.action?pageId=26443778</t>
  </si>
  <si>
    <t>QUINTANA SILVIA ROSANA</t>
  </si>
  <si>
    <t>Catamarca</t>
  </si>
  <si>
    <t>Agustín</t>
  </si>
  <si>
    <t>https://crm.infosis.tech/crm/deal/details/2667/</t>
  </si>
  <si>
    <t>http://clientes.infosis-arg.com:8090/display/IMP/QUINTANA+SILVIA+ROSANA_OC</t>
  </si>
  <si>
    <t>RW Motos</t>
  </si>
  <si>
    <t>https://crm.infosis.tech/crm/deal/details/1954/</t>
  </si>
  <si>
    <t>http://clientes.infosis-arg.com:8090/pages/viewpage.action?pageId=12288004</t>
  </si>
  <si>
    <t>https://crm.infosis.tech/crm/deal/details/2689/</t>
  </si>
  <si>
    <t>http://clientes.infosis-arg.com:8090/pages/viewpage.action?pageId=26443783</t>
  </si>
  <si>
    <t>Pinturerias Imagen</t>
  </si>
  <si>
    <t>3 Full</t>
  </si>
  <si>
    <t>Premium</t>
  </si>
  <si>
    <t>https://crm.infosis.tech/crm/deal/details/2723/</t>
  </si>
  <si>
    <t>http://clientes.infosis-arg.com:8090/pages/viewpage.action?pageId=26443807</t>
  </si>
  <si>
    <t>Lemar Deco</t>
  </si>
  <si>
    <t>33-70869842-9</t>
  </si>
  <si>
    <t>https://crm.infosis.tech/crm/deal/details/2737/</t>
  </si>
  <si>
    <t>http://clientes.infosis-arg.com:8090/pages/viewpage.action?pageId=26443827</t>
  </si>
  <si>
    <t>NUSA - Zentra</t>
  </si>
  <si>
    <t>https://crm.infosis.tech/crm/deal/details/3193/</t>
  </si>
  <si>
    <t>http://clientes.infosis-arg.com:8090/pages/viewpage.action?pageId=26673424</t>
  </si>
  <si>
    <t>Markin Santiago</t>
  </si>
  <si>
    <t>4 Total: 2 Full + 2 Pos</t>
  </si>
  <si>
    <t>https://crm.infosis.tech/crm/deal/details/2487/</t>
  </si>
  <si>
    <t>http://clientes.infosis-arg.com:8090/pages/viewpage.action?pageId=25493506</t>
  </si>
  <si>
    <t>Alassia Sofía</t>
  </si>
  <si>
    <t>3 Total: 1 Full + 1 Pos + 1 Consulta</t>
  </si>
  <si>
    <t>Referido</t>
  </si>
  <si>
    <t>https://crm.infosis.tech/crm/deal/details/2613/</t>
  </si>
  <si>
    <t>http://clientes.infosis-arg.com:8090/pages/viewpage.action?pageId=26050571</t>
  </si>
  <si>
    <t>Distribuidora Mayorista Salgado</t>
  </si>
  <si>
    <t>2 Full Migración</t>
  </si>
  <si>
    <t>https://crm.infosis.tech/crm/deal/details/2645/</t>
  </si>
  <si>
    <t>http://clientes.infosis-arg.com:8090/pages/viewpage.action?pageId=26443831</t>
  </si>
  <si>
    <t>Schmidt césar</t>
  </si>
  <si>
    <t>https://crm.infosis.tech/crm/deal/details/2268/</t>
  </si>
  <si>
    <t>http://clientes.infosis-arg.com:8090/display/IMP/SCHMIDT+CESAR+JAVIER+%28Sonafranka%29+%23Neg2268</t>
  </si>
  <si>
    <t>BR Servicios Financieros S.A.U. (BR Eventos)</t>
  </si>
  <si>
    <t>La Rioja</t>
  </si>
  <si>
    <t>http://clientes.infosis-arg.com:8090/display/IMP/BR+Servicios+Financieros+S.A.U._OC</t>
  </si>
  <si>
    <t>Bite</t>
  </si>
  <si>
    <t>12 Full</t>
  </si>
  <si>
    <t>https://crm.infosis.tech/crm/deal/details/2781/</t>
  </si>
  <si>
    <t>http://clientes.infosis-arg.com:8090/pages/viewpage.action?pageId=26673196</t>
  </si>
  <si>
    <t>DB (Ampl)</t>
  </si>
  <si>
    <t>http://clientes.infosis-arg.com:8090/display/IMP/Bite+-+Amplia+DB</t>
  </si>
  <si>
    <t>Arsa JV</t>
  </si>
  <si>
    <t>Santa Fé</t>
  </si>
  <si>
    <t>https://crm.infosis.tech/crm/deal/details/2537/</t>
  </si>
  <si>
    <t>http://clientes.infosis-arg.com:8090/pages/viewpage.action?pageId=26443804</t>
  </si>
  <si>
    <t>Imca</t>
  </si>
  <si>
    <t>Entre Ríos</t>
  </si>
  <si>
    <t>https://crm.infosis.tech/crm/deal/details/2419/</t>
  </si>
  <si>
    <t>http://clientes.infosis-arg.com:8090/pages/viewpage.action?pageId=26443840</t>
  </si>
  <si>
    <t>Color Live</t>
  </si>
  <si>
    <t>1 Full + AVN</t>
  </si>
  <si>
    <t>https://crm.infosis.tech/crm/deal/details/2767/</t>
  </si>
  <si>
    <t>http://clientes.infosis-arg.com:8090/pages/viewpage.action?pageId=26673187</t>
  </si>
  <si>
    <t>Distribuidora Betito</t>
  </si>
  <si>
    <t>Ecommerce Magento Advance</t>
  </si>
  <si>
    <t>Juguetería y Bebés</t>
  </si>
  <si>
    <t>https://crm.infosis.tech/crm/deal/details/312/</t>
  </si>
  <si>
    <t>http://clientes.infosis-arg.com:8090/pages/viewpage.action?pageId=26673235</t>
  </si>
  <si>
    <t>Le Ruelle</t>
  </si>
  <si>
    <t>1 Full (Ampl)</t>
  </si>
  <si>
    <t>https://crm.infosis.tech/crm/deal/details/3317/</t>
  </si>
  <si>
    <t>http://clientes.infosis-arg.com:8090/pages/viewpage.action?pageId=27164721</t>
  </si>
  <si>
    <t>Topigs Norsvin Arg</t>
  </si>
  <si>
    <t>2 Full</t>
  </si>
  <si>
    <t>https://crm.infosis.tech/crm/deal/details/2669/</t>
  </si>
  <si>
    <t>http://clientes.infosis-arg.com:8090/pages/viewpage.action?pageId=26673228</t>
  </si>
  <si>
    <t>18 Total: 1 Full + 17 Pos (Ampl)</t>
  </si>
  <si>
    <t>https://crm.infosis.tech/crm/deal/details/2889/</t>
  </si>
  <si>
    <t>http://clientes.infosis-arg.com:8090/pages/viewpage.action?pageId=26673257</t>
  </si>
  <si>
    <t>Mixing Art</t>
  </si>
  <si>
    <t>https://crm.infosis.tech/crm/deal/details/1608/</t>
  </si>
  <si>
    <t>http://clientes.infosis-arg.com:8090/pages/viewpage.action?pageId=26673155</t>
  </si>
  <si>
    <t>Digamar SA</t>
  </si>
  <si>
    <t>5 Total: 4 Full + 1 Pos</t>
  </si>
  <si>
    <t>https://crm.infosis.tech/crm/deal/details/2657/</t>
  </si>
  <si>
    <t>http://clientes.infosis-arg.com:8090/pages/viewpage.action?pageId=26673170</t>
  </si>
  <si>
    <t>Nouguez Carlos</t>
  </si>
  <si>
    <t>https://crm.infosis.tech/crm/deal/details/2358/</t>
  </si>
  <si>
    <t>http://clientes.infosis-arg.com:8090/pages/viewpage.action?pageId=26673210</t>
  </si>
  <si>
    <t>Soluciones Navales</t>
  </si>
  <si>
    <t>https://crm.infosis.tech/crm/deal/details/2852/</t>
  </si>
  <si>
    <t>http://clientes.infosis-arg.com:8090/pages/viewpage.action?pageId=26673248</t>
  </si>
  <si>
    <t>Kevalraf</t>
  </si>
  <si>
    <t>https://crm.infosis.tech/crm/deal/details/2637/</t>
  </si>
  <si>
    <t>http://clientes.infosis-arg.com:8090/display/IMP/KEVALRAF+SRL</t>
  </si>
  <si>
    <t>Chamorro silvero</t>
  </si>
  <si>
    <t>https://crm.infosis.tech/crm/deal/details/2735/</t>
  </si>
  <si>
    <t>http://clientes.infosis-arg.com:8090/pages/viewpage.action?pageId=26673164</t>
  </si>
  <si>
    <t>Rosas Juan Fernando (Metalúrgica Rosas)</t>
  </si>
  <si>
    <t>https://crm.infosis.tech/crm/deal/details/2499/</t>
  </si>
  <si>
    <t>http://clientes.infosis-arg.com:8090/display/IMP/ROSAS+JUAN+FERNANDO_OC</t>
  </si>
  <si>
    <t>http://clientes.infosis-arg.com:8090/pages/viewpage.action?pageId=26673315</t>
  </si>
  <si>
    <t>Aldea Blanca</t>
  </si>
  <si>
    <t>https://crm.infosis.tech/crm/deal/details/2695/</t>
  </si>
  <si>
    <t>http://clientes.infosis-arg.com:8090/pages/viewpage.action?pageId=26673343</t>
  </si>
  <si>
    <t>Sisters Positivo</t>
  </si>
  <si>
    <t>https://crm.infosis.tech/crm/deal/details/2875/</t>
  </si>
  <si>
    <t>http://clientes.infosis-arg.com:8090/pages/viewpage.action?pageId=26673354</t>
  </si>
  <si>
    <t>Body pel</t>
  </si>
  <si>
    <t>4 Total: 3 Full + 1 Pos + DB</t>
  </si>
  <si>
    <t>https://crm.infosis.tech/crm/deal/details/2925/</t>
  </si>
  <si>
    <t>http://clientes.infosis-arg.com:8090/display/IMP/BODY+PEL+SRL+%232925</t>
  </si>
  <si>
    <t>Kifland</t>
  </si>
  <si>
    <t>https://crm.infosis.tech/crm/deal/details/2883/</t>
  </si>
  <si>
    <t>http://clientes.infosis-arg.com:8090/pages/viewpage.action?pageId=26673346</t>
  </si>
  <si>
    <t>Marcelo Gabriel Bini</t>
  </si>
  <si>
    <t>https://crm.infosis.tech/crm/deal/details/800/</t>
  </si>
  <si>
    <t>http://clientes.infosis-arg.com:8090/pages/viewpage.action?pageId=26673220</t>
  </si>
  <si>
    <t>Diaz Uriel</t>
  </si>
  <si>
    <t>8 Total: 4 Full + 4 Pos</t>
  </si>
  <si>
    <t>https://crm.infosis.tech/crm/deal/details/2627/</t>
  </si>
  <si>
    <t>http://clientes.infosis-arg.com:8090/pages/viewpage.action?pageId=26673299</t>
  </si>
  <si>
    <t>Matias Angelini</t>
  </si>
  <si>
    <t>1 full</t>
  </si>
  <si>
    <t>https://crm.infosis.tech/crm/deal/details/2857/</t>
  </si>
  <si>
    <t>http://clientes.infosis-arg.com:8090/pages/viewpage.action?pageId=26673317</t>
  </si>
  <si>
    <t>Nitrobikes</t>
  </si>
  <si>
    <t>https://crm.infosis.tech/crm/deal/details/2989/</t>
  </si>
  <si>
    <t>http://clientes.infosis-arg.com:8090/pages/viewpage.action?pageId=26673358</t>
  </si>
  <si>
    <t>Quelle Daniel</t>
  </si>
  <si>
    <t>5 Total: 2 Full + 3 Pos + DB</t>
  </si>
  <si>
    <t>NCcc - Call Center (Tel, Wp, Jira)</t>
  </si>
  <si>
    <t>https://crm.infosis.tech/crm/deal/details/2965/</t>
  </si>
  <si>
    <t>http://clientes.infosis-arg.com:8090/pages/viewpage.action?pageId=26673364</t>
  </si>
  <si>
    <t>Tosoni Diana y Pingel Juan</t>
  </si>
  <si>
    <t>2 Total: 1 Full + 1 Pos + DB</t>
  </si>
  <si>
    <t>https://crm.infosis.tech/crm/deal/details/3141/</t>
  </si>
  <si>
    <t>http://clientes.infosis-arg.com:8090/display/IMP/TOSONI%2C+DIANA+Y+PINGEL%2C+JUAN+SH</t>
  </si>
  <si>
    <t>CEOFIC</t>
  </si>
  <si>
    <t>4 Total : 4 Full + DB</t>
  </si>
  <si>
    <t>https://crm.infosis.tech/crm/deal/details/2935/</t>
  </si>
  <si>
    <t>http://clientes.infosis-arg.com:8090/display/IMP/CEOFIC+SA</t>
  </si>
  <si>
    <t>Moreno Rodrigo Hernan</t>
  </si>
  <si>
    <t>1 Ampliación 1 Pos + DB</t>
  </si>
  <si>
    <t>https://crm.infosis.tech/crm/deal/details/2623/</t>
  </si>
  <si>
    <t>http://clientes.infosis-arg.com:8090/pages/viewpage.action?pageId=25296898</t>
  </si>
  <si>
    <t>Zentra - Nusa SRL</t>
  </si>
  <si>
    <t>LATTINA SRL</t>
  </si>
  <si>
    <t>3 Total: 2 Full + 1 Pos</t>
  </si>
  <si>
    <t>https://crm.infosis.tech/crm/deal/details/3101/</t>
  </si>
  <si>
    <t>http://clientes.infosis-arg.com:8090/display/IMP/LATTINA+S.R.L._OC</t>
  </si>
  <si>
    <t>Nopal</t>
  </si>
  <si>
    <t>2 Total : 2 Full + DB</t>
  </si>
  <si>
    <t>https://crm.infosis.tech/crm/deal/details/2607/</t>
  </si>
  <si>
    <t>http://clientes.infosis-arg.com:8090/pages/viewpage.action?pageId=26673450</t>
  </si>
  <si>
    <t>HORNET SRL</t>
  </si>
  <si>
    <t>3 Total: 1 Full + 2 Pos + DB</t>
  </si>
  <si>
    <t>https://crm.infosis.tech/crm/deal/details/2807/</t>
  </si>
  <si>
    <t>http://clientes.infosis-arg.com:8090/display/IMP/HORNET+SRL_OC</t>
  </si>
  <si>
    <t>Pinturerias Mafer</t>
  </si>
  <si>
    <t>26 Total : 14 Full + 12 Pos</t>
  </si>
  <si>
    <t>https://crm.infosis.tech/crm/deal/details/2346/</t>
  </si>
  <si>
    <t>http://clientes.infosis-arg.com:8090/pages/viewpage.action?pageId=26673435</t>
  </si>
  <si>
    <t>Class Express</t>
  </si>
  <si>
    <t>34 Total : 10 Full + 24 Pos</t>
  </si>
  <si>
    <t>https://crm.infosis.tech/crm/deal/details/2789/</t>
  </si>
  <si>
    <t>http://clientes.infosis-arg.com:8090/pages/viewpage.action?pageId=26673482</t>
  </si>
  <si>
    <t>Body &amp; Suit S.A.S.</t>
  </si>
  <si>
    <t>https://crm.infosis.tech/crm/deal/details/3229/</t>
  </si>
  <si>
    <t>http://clientes.infosis-arg.com:8090/pages/viewpage.action?pageId=26673476</t>
  </si>
  <si>
    <t>Elib'Ian Perfumería Boutique</t>
  </si>
  <si>
    <t>13 Total : 4 Full + 9 Pos</t>
  </si>
  <si>
    <t>https://crm.infosis.tech/crm/deal/details/3211/</t>
  </si>
  <si>
    <t>http://clientes.infosis-arg.com:8090/pages/viewpage.action?pageId=26673490</t>
  </si>
  <si>
    <t>Fernandez Eduardo Rafael</t>
  </si>
  <si>
    <t>2 Total: 1 full + 1 Pos + DB</t>
  </si>
  <si>
    <t>https://crm.infosis.tech/crm/deal/details/3093/</t>
  </si>
  <si>
    <t>http://clientes.infosis-arg.com:8090/pages/viewpage.action?pageId=26673379</t>
  </si>
  <si>
    <t>Buttman Argentina S.A.</t>
  </si>
  <si>
    <t>4 Total : 1 Full + 3 Pos + 1 Cnt</t>
  </si>
  <si>
    <t>https://crm.infosis.tech/crm/deal/details/3165/</t>
  </si>
  <si>
    <t>http://clientes.infosis-arg.com:8090/pages/viewpage.action?pageId=26968066</t>
  </si>
  <si>
    <t>Ecommerce Magento B2B2C</t>
  </si>
  <si>
    <t>http://clientes.infosis-arg.com:8090/pages/viewpage.action?pageId=26968072</t>
  </si>
  <si>
    <t>Schmidt</t>
  </si>
  <si>
    <t>https://crm.infosis.tech/crm/deal/details/3205/</t>
  </si>
  <si>
    <t>http://clientes.infosis-arg.com:8090/pages/viewpage.action?pageId=26673457</t>
  </si>
  <si>
    <t>Arbol Magico</t>
  </si>
  <si>
    <t>Rodrigo y Juan</t>
  </si>
  <si>
    <t>https://crm.infosis.tech/crm/deal/details/3271/</t>
  </si>
  <si>
    <t>http://clientes.infosis-arg.com:8090/pages/viewpage.action?pageId=2950779</t>
  </si>
  <si>
    <t>Papas Argentinas</t>
  </si>
  <si>
    <t>ad 1 full</t>
  </si>
  <si>
    <t>https://crm.infosis.tech/crm/deal/details/3275/</t>
  </si>
  <si>
    <t>http://clientes.infosis-arg.com:8090/pages/viewpage.action?pageId=26968074</t>
  </si>
  <si>
    <t>ASW Repuestos</t>
  </si>
  <si>
    <t>3 Total: 3 Full + DB</t>
  </si>
  <si>
    <t>https://crm.infosis.tech/crm/deal/details/3183/</t>
  </si>
  <si>
    <t>http://clientes.infosis-arg.com:8090/pages/viewpage.action?pageId=26673463</t>
  </si>
  <si>
    <t>SP Filtraciones de Fluidos</t>
  </si>
  <si>
    <t>3 Total: 3 Full</t>
  </si>
  <si>
    <t>https://crm.infosis.tech/crm/deal/details/3379/</t>
  </si>
  <si>
    <t>http://clientes.infosis-arg.com:8090/display/IMP/SP+Filtraciones+de+Fluidos+S.A</t>
  </si>
  <si>
    <t>Gaboto Gualfatt SRL</t>
  </si>
  <si>
    <t>10 Total: 8 Full + 2 Pos + DB</t>
  </si>
  <si>
    <t>https://crm.infosis.tech/crm/deal/details/3015/</t>
  </si>
  <si>
    <t>http://clientes.infosis-arg.com:8090/pages/viewpage.action?pageId=26968100</t>
  </si>
  <si>
    <t>Boston Celular Tech</t>
  </si>
  <si>
    <t>https://crm.infosis.tech/crm/deal/details/3437/</t>
  </si>
  <si>
    <t>http://clientes.infosis-arg.com:8090/pages/viewpage.action?pageId=27164702</t>
  </si>
  <si>
    <t>Pinturerias La Isla</t>
  </si>
  <si>
    <t>https://crm.infosis.tech/crm/deal/details/3445/</t>
  </si>
  <si>
    <t>http://clientes.infosis-arg.com:8090/pages/viewpage.action?pageId=27164708</t>
  </si>
  <si>
    <t>MC Pinturas</t>
  </si>
  <si>
    <t>https://crm.infosis.tech/crm/deal/details/3461/</t>
  </si>
  <si>
    <t>http://clientes.infosis-arg.com:8090/pages/viewpage.action?pageId=27164713</t>
  </si>
  <si>
    <t>Body &amp; Suit</t>
  </si>
  <si>
    <t>https://crm.infosis.tech/crm/deal/details/3483/</t>
  </si>
  <si>
    <t>http://clientes.infosis-arg.com:8090/pages/viewpage.action?pageId=27164726</t>
  </si>
  <si>
    <t>Big Ban Vip Distribuidora</t>
  </si>
  <si>
    <t>6 Total: 4 Full + 2 Pos</t>
  </si>
  <si>
    <t>https://crm.infosis.tech/crm/deal/details/3465/</t>
  </si>
  <si>
    <t>http://clientes.infosis-arg.com:8090/pages/viewpage.action?pageId=27165030</t>
  </si>
  <si>
    <t>Vidrieria Cardozo</t>
  </si>
  <si>
    <t>https://crm.infosis.tech/crm/deal/details/962/</t>
  </si>
  <si>
    <t>http://clientes.infosis-arg.com:8090/pages/viewpage.action?pageId=2955626</t>
  </si>
  <si>
    <t>ACERO JEKLO SAS</t>
  </si>
  <si>
    <t>33-71585495-9</t>
  </si>
  <si>
    <t>https://crm.infosis.tech/crm/deal/details/3407/</t>
  </si>
  <si>
    <t>http://clientes.infosis-arg.com:8090/display/IMP/Acero+Jeklo+SAS</t>
  </si>
  <si>
    <t>Ecomexperts</t>
  </si>
  <si>
    <t>Pintureria Jose Luis</t>
  </si>
  <si>
    <t>https://crm.infosis.tech/crm/deal/details/3525/</t>
  </si>
  <si>
    <t>http://clientes.infosis-arg.com:8090/pages/viewpage.action?pageId=27164751</t>
  </si>
  <si>
    <t>Buttman Argentina</t>
  </si>
  <si>
    <t>http://clientes.infosis-arg.com:8090/pages/viewpage.action?pageId=27164992</t>
  </si>
  <si>
    <t>Color&amp;ando</t>
  </si>
  <si>
    <t>https://crm.infosis.tech/crm/deal/details/3254/</t>
  </si>
  <si>
    <t>http://clientes.infosis-arg.com:8090/pages/viewpage.action?pageId=27164771</t>
  </si>
  <si>
    <t>Dario Alejandro Delhom</t>
  </si>
  <si>
    <t>2 Pos + 2 hs Desarrollo</t>
  </si>
  <si>
    <t>https://crm.infosis.tech/crm/deal/details/2254/</t>
  </si>
  <si>
    <t>http://clientes.infosis-arg.com:8090/pages/viewpage.action?pageId=27164777</t>
  </si>
  <si>
    <t>Brenzha Srl / Su Kiosco</t>
  </si>
  <si>
    <t>1 Full + 2 Pos + 7hs Desarrollo</t>
  </si>
  <si>
    <t>https://crm.infosis.tech/crm/deal/details/3489/</t>
  </si>
  <si>
    <t>http://clientes.infosis-arg.com:8090/pages/viewpage.action?pageId=27164789</t>
  </si>
  <si>
    <t>Godoy Hugo Alejo</t>
  </si>
  <si>
    <t>https://crm.infosis.tech/crm/deal/details/2647/</t>
  </si>
  <si>
    <t>http://clientes.infosis-arg.com:8090/pages/viewpage.action?pageId=27164818</t>
  </si>
  <si>
    <t>Lostau Eduardo Hector</t>
  </si>
  <si>
    <t>https://crm.infosis.tech/crm/deal/details/3539/</t>
  </si>
  <si>
    <t>http://clientes.infosis-arg.com:8090/pages/viewpage.action?pageId=27164806</t>
  </si>
  <si>
    <t>https://crm.infosis.tech/crm/deal/details/3657/</t>
  </si>
  <si>
    <t>http://clientes.infosis-arg.com:8090/pages/viewpage.action?pageId=27164834</t>
  </si>
  <si>
    <t>Casa Atilio</t>
  </si>
  <si>
    <t>https://crm.infosis.tech/crm/deal/details/3665/</t>
  </si>
  <si>
    <t>http://clientes.infosis-arg.com:8090/pages/viewpage.action?pageId=27164841</t>
  </si>
  <si>
    <t>Gimena Pastoriza</t>
  </si>
  <si>
    <t>https://crm.infosis.tech/crm/deal/details/3577/</t>
  </si>
  <si>
    <t>http://clientes.infosis-arg.com:8090/pages/viewpage.action?pageId=27164827</t>
  </si>
  <si>
    <t>Nexo Mar del Plata SRL</t>
  </si>
  <si>
    <t>3 full + DB</t>
  </si>
  <si>
    <t>https://crm.infosis.tech/crm/deal/details/596/</t>
  </si>
  <si>
    <t>http://clientes.infosis-arg.com:8090/pages/viewpage.action?pageId=27164852</t>
  </si>
  <si>
    <t>Ortopedia Luma</t>
  </si>
  <si>
    <t>https://crm.infosis.tech/crm/deal/details/3616/</t>
  </si>
  <si>
    <t>http://clientes.infosis-arg.com:8090/pages/viewpage.action?pageId=27164862</t>
  </si>
  <si>
    <t>Mafer</t>
  </si>
  <si>
    <t>https://crm.infosis.tech/crm/deal/details/3701/</t>
  </si>
  <si>
    <t>http://clientes.infosis-arg.com:8090/pages/viewpage.action?pageId=27164874</t>
  </si>
  <si>
    <t>Schulcolors</t>
  </si>
  <si>
    <t>https://crm.infosis.tech/crm/deal/details/3703/</t>
  </si>
  <si>
    <t>http://clientes.infosis-arg.com:8090/pages/viewpage.action?pageId=27164876</t>
  </si>
  <si>
    <t>Carrizo Buena Alma / Galpón Constructor</t>
  </si>
  <si>
    <t>https://crm.infosis.tech/crm/deal/details/3693/</t>
  </si>
  <si>
    <t>http://clientes.infosis-arg.com:8090/pages/viewpage.action?pageId=27164865</t>
  </si>
  <si>
    <t>CORVIM SRL</t>
  </si>
  <si>
    <t>4 Total: 2 Full + 2 Pos + AVN</t>
  </si>
  <si>
    <t>https://crm.infosis.tech/crm/deal/details/3415/</t>
  </si>
  <si>
    <t>http://clientes.infosis-arg.com:8090/display/IMP/GUILLERMO+CORIA_OC</t>
  </si>
  <si>
    <t>Publiled</t>
  </si>
  <si>
    <t>https://crm.infosis.tech/crm/deal/details/3589/</t>
  </si>
  <si>
    <t>http://clientes.infosis-arg.com:8090/pages/viewpage.action?pageId=27164899</t>
  </si>
  <si>
    <t>FERRETERÍA ETC</t>
  </si>
  <si>
    <t>1Full + AVN</t>
  </si>
  <si>
    <t>Tucumán</t>
  </si>
  <si>
    <t>https://crm.infosis.tech/crm/deal/details/3393/</t>
  </si>
  <si>
    <t>http://clientes.infosis-arg.com:8090/display/IMP/JOSE+IGNACIO+CASTELLINI_OC</t>
  </si>
  <si>
    <t>Pintureria Imagen</t>
  </si>
  <si>
    <t>3Full (Ampl)</t>
  </si>
  <si>
    <t>La Unión e Hijos</t>
  </si>
  <si>
    <t>Ecomexpers</t>
  </si>
  <si>
    <t>https://crm.infosis.tech/crm/deal/details/3335/</t>
  </si>
  <si>
    <t>http://clientes.infosis-arg.com:8090/pages/viewpage.action?pageId=26968089</t>
  </si>
  <si>
    <t>Maui Bebidas / Iturbe Silvia Adriana</t>
  </si>
  <si>
    <t>https://crm.infosis.tech/crm/deal/details/3747/</t>
  </si>
  <si>
    <t>http://clientes.infosis-arg.com:8090/display/IMP/ITURBE+SILVIA+ADRIANA_OC</t>
  </si>
  <si>
    <t>Adducci Sanitarios</t>
  </si>
  <si>
    <t>2 Full + 3 Pos + DB</t>
  </si>
  <si>
    <t>https://crm.infosis.tech/crm/deal/details/3748/</t>
  </si>
  <si>
    <t>http://clientes.infosis-arg.com:8090/pages/viewpage.action?pageId=27164917</t>
  </si>
  <si>
    <t>Incone Librería Fotocopias / Aranda Jorge Iván</t>
  </si>
  <si>
    <t>https://crm.infosis.tech/crm/deal/details/3715/</t>
  </si>
  <si>
    <t>http://clientes.infosis-arg.com:8090/display/IMP/ARANDA+JORGE+IVAN_OC</t>
  </si>
  <si>
    <t>By Decos</t>
  </si>
  <si>
    <t>1 Full Advanced</t>
  </si>
  <si>
    <t>https://crm.infosis.tech/crm/deal/details/3751/</t>
  </si>
  <si>
    <t>http://clientes.infosis-arg.com:8090/pages/viewpage.action?pageId=27164943</t>
  </si>
  <si>
    <t>Confortnet</t>
  </si>
  <si>
    <t>2 Full Advanced</t>
  </si>
  <si>
    <t>https://crm.infosis.tech/crm/deal/details/3787/</t>
  </si>
  <si>
    <t>http://clientes.infosis-arg.com:8090/pages/viewpage.action?pageId=27164957</t>
  </si>
  <si>
    <t>SARAKO SRL</t>
  </si>
  <si>
    <t>2 Full + 2 Pos + AVN Adavanced</t>
  </si>
  <si>
    <t>https://crm.infosis.tech/crm/deal/details/3833/</t>
  </si>
  <si>
    <t>http://clientes.infosis-arg.com:8090/display/IMP/Sarako+SRL_OC</t>
  </si>
  <si>
    <t>1 Full Advanced (Ampl)</t>
  </si>
  <si>
    <t>http://clientes.infosis-arg.com:8090/pages/viewpage.action?pageId=27164756</t>
  </si>
  <si>
    <t>BAZAR MANDARIN S.R.L.</t>
  </si>
  <si>
    <t>30-71550526-2</t>
  </si>
  <si>
    <t>iShop Advanced</t>
  </si>
  <si>
    <t>https://crm.infosis.tech/crm/deal/details/1104/</t>
  </si>
  <si>
    <t>http://clientes.infosis-arg.com:8090/pages/viewpage.action?pageId=27164994</t>
  </si>
  <si>
    <t>Laboratorio Serivet</t>
  </si>
  <si>
    <t>https://crm.infosis.tech/crm/deal/details/3789/</t>
  </si>
  <si>
    <t>http://clientes.infosis-arg.com:8090/pages/viewpage.action?pageId=27164981</t>
  </si>
  <si>
    <t>iShop Express</t>
  </si>
  <si>
    <t>Misiones</t>
  </si>
  <si>
    <t>https://crm.infosis.tech/crm/deal/details/3729/</t>
  </si>
  <si>
    <t>http://clientes.infosis-arg.com:8090/pages/viewpage.action?pageId=27165031</t>
  </si>
  <si>
    <t>Lopez Casalini Insumos Quilmes</t>
  </si>
  <si>
    <t>https://crm.infosis.tech/crm/deal/details/3835/</t>
  </si>
  <si>
    <t>http://clientes.infosis-arg.com:8090/pages/viewpage.action?pageId=27165002</t>
  </si>
  <si>
    <t>Raul Aldeco</t>
  </si>
  <si>
    <t>1 Full Express</t>
  </si>
  <si>
    <t>Express</t>
  </si>
  <si>
    <t>https://crm.infosis.tech/crm/deal/details/3859/</t>
  </si>
  <si>
    <t>http://clientes.infosis-arg.com:8090/pages/viewpage.action?pageId=27164998</t>
  </si>
  <si>
    <t>BR Servicios Financieros SAU</t>
  </si>
  <si>
    <t>10 Pos Advanced (Ampl)</t>
  </si>
  <si>
    <t>https://crm.infosis.tech/crm/deal/details/3997/</t>
  </si>
  <si>
    <t>http://clientes.infosis-arg.com:8090/pages/viewpage.action?pageId=27165037</t>
  </si>
  <si>
    <t>Pintureria Caster SRL</t>
  </si>
  <si>
    <t>1 AVN Advanced (Ampl)</t>
  </si>
  <si>
    <t>https://crm.infosis.tech/crm/deal/details/3893/</t>
  </si>
  <si>
    <t>http://clientes.infosis-arg.com:8090/pages/viewpage.action?pageId=27165052</t>
  </si>
  <si>
    <t>DeLujo Pintureria</t>
  </si>
  <si>
    <t>https://crm.infosis.tech/crm/deal/details/3889/</t>
  </si>
  <si>
    <t>http://clientes.infosis-arg.com:8090/pages/viewpage.action?pageId=27165041</t>
  </si>
  <si>
    <t>Mooy Bazar</t>
  </si>
  <si>
    <t>2 Pos Advanced (Ampl)</t>
  </si>
  <si>
    <t>https://crm.infosis.tech/crm/deal/details/1998/</t>
  </si>
  <si>
    <t>http://clientes.infosis-arg.com:8090/pages/viewpage.action?pageId=13434884</t>
  </si>
  <si>
    <t>Bazziano Esteban / GROW DISTRIBUIDORA</t>
  </si>
  <si>
    <t>2 Full Express</t>
  </si>
  <si>
    <t>https://crm.infosis.tech/crm/deal/details/3877/</t>
  </si>
  <si>
    <t>http://clientes.infosis-arg.com:8090/pages/viewpage.action?pageId=27165046</t>
  </si>
  <si>
    <t>https://crm.infosis.tech/crm/deal/details/3873/</t>
  </si>
  <si>
    <t>http://clientes.infosis-arg.com:8090/pages/viewpage.action?pageId=27165064</t>
  </si>
  <si>
    <t>LOMASGOM SA</t>
  </si>
  <si>
    <t>NCrs - Redes Sociales RRSS</t>
  </si>
  <si>
    <t>https://crm.infosis.tech/crm/deal/details/3719/</t>
  </si>
  <si>
    <t>http://clientes.infosis-arg.com:8090/display/IMP/Lomasgom+SA_OC</t>
  </si>
  <si>
    <t>Promocolor</t>
  </si>
  <si>
    <t>https://crm.infosis.tech/crm/deal/details/3927/</t>
  </si>
  <si>
    <t>http://clientes.infosis-arg.com:8090/display/IMP/Promocolor+-+GUALTIERI+IGNACIO+JAVIER+-+3927</t>
  </si>
  <si>
    <t>Trapoman</t>
  </si>
  <si>
    <t>1 Acceso E-commerce</t>
  </si>
  <si>
    <t>https://crm.infosis.tech/crm/deal/details/3957/</t>
  </si>
  <si>
    <t>http://clientes.infosis-arg.com:8090/pages/viewpage.action?pageId=27426838</t>
  </si>
  <si>
    <t>Carreyra Eduardo Vicente / Kiosco Carreyra</t>
  </si>
  <si>
    <t>https://crm.infosis.tech/crm/deal/details/3967/</t>
  </si>
  <si>
    <t>http://clientes.infosis-arg.com:8090/pages/viewpage.action?pageId=27426851</t>
  </si>
  <si>
    <t>1 PCP (Ampl)</t>
  </si>
  <si>
    <t>https://crm.infosis.tech/crm/deal/details/3969/</t>
  </si>
  <si>
    <t>http://clientes.infosis-arg.com:8090/pages/viewpage.action?pageId=27426875</t>
  </si>
  <si>
    <t>The King of Technology</t>
  </si>
  <si>
    <t>https://crm.infosis.tech/crm/deal/details/3973/</t>
  </si>
  <si>
    <t>http://clientes.infosis-arg.com:8090/display/IMP/The+king+of+technology+SAS+-+The+king+of+technology+-+3973</t>
  </si>
  <si>
    <t>Hernán Solari Quistorp</t>
  </si>
  <si>
    <t>1 Full Advanced (Migra)</t>
  </si>
  <si>
    <t>https://crm.infosis.tech/crm/deal/details/3821/</t>
  </si>
  <si>
    <t>http://clientes.infosis-arg.com:8090/pages/viewpage.action?pageId=27165024</t>
  </si>
  <si>
    <t>ZonaLED SAS</t>
  </si>
  <si>
    <t>3 Total: 1 Full y 2 Pos Express</t>
  </si>
  <si>
    <t>https://crm.infosis.tech/crm/deal/details/3971/</t>
  </si>
  <si>
    <t>http://clientes.infosis-arg.com:8090/pages/viewpage.action?pageId=27426877</t>
  </si>
  <si>
    <t>Lardies Ma Eugenia</t>
  </si>
  <si>
    <t>4 Total: 4 Full Advanced</t>
  </si>
  <si>
    <t>https://crm.infosis.tech/crm/deal/details/3907/</t>
  </si>
  <si>
    <t>http://clientes.infosis-arg.com:8090/pages/viewpage.action?pageId=27426884</t>
  </si>
  <si>
    <t>VERTICAL SKY &amp; SNOWBOARD</t>
  </si>
  <si>
    <t>11 Total: 7 Full y 4 Pos Advanced</t>
  </si>
  <si>
    <t>https://crm.infosis.tech/crm/deal/details/3913/</t>
  </si>
  <si>
    <t>http://clientes.infosis-arg.com:8090/pages/viewpage.action?pageId=27426912</t>
  </si>
  <si>
    <t>Elephant</t>
  </si>
  <si>
    <t>https://crm.infosis.tech/crm/deal/details/3767/</t>
  </si>
  <si>
    <t>http://clientes.infosis-arg.com:8090/display/IMP/Elephant+Design+SAS</t>
  </si>
  <si>
    <t>Daniwal</t>
  </si>
  <si>
    <t>1 Full Express + AVN</t>
  </si>
  <si>
    <t>https://crm.infosis.tech/crm/deal/details/3921/</t>
  </si>
  <si>
    <t>http://clientes.infosis-arg.com:8090/pages/viewpage.action?pageId=27426849</t>
  </si>
  <si>
    <t>Mil Dulzuras</t>
  </si>
  <si>
    <t>4 Total: 2 Full y 2 Pos Advanced + AVN</t>
  </si>
  <si>
    <t>https://crm.infosis.tech/crm/deal/details/3985/</t>
  </si>
  <si>
    <t>http://clientes.infosis-arg.com:8090/pages/viewpage.action?pageId=27426857</t>
  </si>
  <si>
    <t>VD Informatica</t>
  </si>
  <si>
    <t>https://crm.infosis.tech/crm/deal/details/3983/</t>
  </si>
  <si>
    <t>http://clientes.infosis-arg.com:8090/pages/viewpage.action?pageId=27426933</t>
  </si>
  <si>
    <t>Distribuidora Bluechem S.A.</t>
  </si>
  <si>
    <t>https://crm.infosis.tech/crm/deal/details/3981/</t>
  </si>
  <si>
    <t>http://clientes.infosis-arg.com:8090/pages/viewpage.action?pageId=27426936</t>
  </si>
  <si>
    <t>Ferretería Patagonia</t>
  </si>
  <si>
    <t>2 Total: 1 Full y 1 Pos Express</t>
  </si>
  <si>
    <t>Zst - Zeus Starter</t>
  </si>
  <si>
    <t>https://crm.infosis.tech/crm/deal/details/3423/</t>
  </si>
  <si>
    <t>http://clientes.infosis-arg.com:8090/pages/viewpage.action?pageId=27426941</t>
  </si>
  <si>
    <t>Cotillon Fantasia</t>
  </si>
  <si>
    <t>3 Total: 2 Full y 1 Pos Express</t>
  </si>
  <si>
    <t>https://crm.infosis.tech/crm/deal/details/3989/</t>
  </si>
  <si>
    <t>http://clientes.infosis-arg.com:8090/pages/viewpage.action?pageId=27426962</t>
  </si>
  <si>
    <t>BD Group - Pocholo</t>
  </si>
  <si>
    <t>Horas Zeus - Reimplementacion</t>
  </si>
  <si>
    <t>https://crm.infosis.tech/crm/deal/details/3987/</t>
  </si>
  <si>
    <t>http://clientes.infosis-arg.com:8090/pages/viewpage.action?pageId=27426966</t>
  </si>
  <si>
    <t>Distribuidora / Velazquez Christian Horacio</t>
  </si>
  <si>
    <t>Chaco</t>
  </si>
  <si>
    <t>https://crm.infosis.tech/crm/deal/details/3943/</t>
  </si>
  <si>
    <t>http://clientes.infosis-arg.com:8090/display/IMP/VELAZQUEZ+CHRISTIAN+HORACIO_OC</t>
  </si>
  <si>
    <t>EANA S.E.</t>
  </si>
  <si>
    <t>Renovacion 1er Semestre 2020</t>
  </si>
  <si>
    <t>Corporativa</t>
  </si>
  <si>
    <t>https://crm.infosis.tech/crm/deal/details/3963/</t>
  </si>
  <si>
    <t>http://clientes.infosis-arg.com:8090/pages/viewpage.action?pageId=27427000</t>
  </si>
  <si>
    <t>Qinghua Li</t>
  </si>
  <si>
    <t>2 Total: 1 Full y 1 Pos Advanced</t>
  </si>
  <si>
    <t>https://crm.infosis.tech/crm/deal/details/3999/</t>
  </si>
  <si>
    <t>http://clientes.infosis-arg.com:8090/pages/viewpage.action?pageId=27426988</t>
  </si>
  <si>
    <t>Cherchyk Maria Soledad</t>
  </si>
  <si>
    <t>1 Full EC Advanced</t>
  </si>
  <si>
    <t>https://crm.infosis.tech/crm/deal/details/4001/</t>
  </si>
  <si>
    <t>http://clientes.infosis-arg.com:8090/pages/viewpage.action?pageId=27426998</t>
  </si>
  <si>
    <t>El Paso Proveeduría / Reynoso Marcela Ester</t>
  </si>
  <si>
    <t>La Pampa</t>
  </si>
  <si>
    <t>https://crm.infosis.tech/crm/deal/details/3995/</t>
  </si>
  <si>
    <t>http://clientes.infosis-arg.com:8090/display/IMP/REYNOSO+MARCELA+ESTER_OC</t>
  </si>
  <si>
    <t>Acanttis</t>
  </si>
  <si>
    <t>5 Full Advanced</t>
  </si>
  <si>
    <t>https://crm.infosis.tech/crm/deal/details/4003/</t>
  </si>
  <si>
    <t>http://clientes.infosis-arg.com:8090/pages/viewpage.action?pageId=27426978</t>
  </si>
  <si>
    <t>Meta Food SAS</t>
  </si>
  <si>
    <t>1 Full y 1 Pos Advanced</t>
  </si>
  <si>
    <t>https://crm.infosis.tech/crm/deal/details/4005/</t>
  </si>
  <si>
    <t>http://clientes.infosis-arg.com:8090/pages/viewpage.action?pageId=27427030</t>
  </si>
  <si>
    <t>Guete Héctor Daniel</t>
  </si>
  <si>
    <t>4 Full Advanced</t>
  </si>
  <si>
    <t>https://crm.infosis.tech/crm/deal/details/4011/</t>
  </si>
  <si>
    <t>http://clientes.infosis-arg.com:8090/pages/viewpage.action?pageId=27427043</t>
  </si>
  <si>
    <t>Insumos Industriales</t>
  </si>
  <si>
    <t>Chubut</t>
  </si>
  <si>
    <t>https://crm.infosis.tech/crm/deal/details/2907/</t>
  </si>
  <si>
    <t>http://clientes.infosis-arg.com:8090/pages/viewpage.action?pageId=27427018</t>
  </si>
  <si>
    <t>DP Hidraulica</t>
  </si>
  <si>
    <t>https://crm.infosis.tech/crm/deal/details/92/</t>
  </si>
  <si>
    <t>http://clientes.infosis-arg.com:809/</t>
  </si>
  <si>
    <t>Konecta</t>
  </si>
  <si>
    <t>5 Total: 2 Full + 3 Pos Advanced</t>
  </si>
  <si>
    <t>https://crm.infosis.tech/crm/deal/details/4013/</t>
  </si>
  <si>
    <t>http://clientes.infosis-arg.com:8090/display/IMP/Konecta.+AGUSTIN+ROST</t>
  </si>
  <si>
    <t>Autoservicio Victoria Vip</t>
  </si>
  <si>
    <t>2 Total: 1 Full + 1 Pos Advanced</t>
  </si>
  <si>
    <t>https://crm.infosis.tech/crm/deal/details/4015/</t>
  </si>
  <si>
    <t>http://clientes.infosis-arg.com:8090/pages/viewpage.action?pageId=27427039</t>
  </si>
  <si>
    <t>Addife SAS</t>
  </si>
  <si>
    <t>https://crm.infosis.tech/crm/deal/details/4017/</t>
  </si>
  <si>
    <t>http://clientes.infosis-arg.com:8090/pages/viewpage.action?pageId=27427060</t>
  </si>
  <si>
    <t>Catrilef Edgr</t>
  </si>
  <si>
    <t>https://crm.infosis.tech/crm/deal/details/4019/</t>
  </si>
  <si>
    <t>http://clientes.infosis-arg.com:8090/pages/viewpage.action?pageId=27427067</t>
  </si>
  <si>
    <t>Pinturas Giles</t>
  </si>
  <si>
    <t>2 Full Advanced (Ampl)</t>
  </si>
  <si>
    <t>https://crm.infosis.tech/crm/deal/details/4021/</t>
  </si>
  <si>
    <t>http://clientes.infosis-arg.com:8090/pages/viewpage.action?pageId=27427084</t>
  </si>
  <si>
    <t>Ecomexperts y Conector</t>
  </si>
  <si>
    <t>http://clientes.infosis-arg.com:8090/pages/viewpage.action?pageId=27427089</t>
  </si>
  <si>
    <t>Jugueterias Del Tomate (VABEGU S.A.)</t>
  </si>
  <si>
    <t>https://crm.infosis.tech/crm/deal/details/3685/</t>
  </si>
  <si>
    <t>http://clientes.infosis-arg.com:8090/pages/viewpage.action?pageId=27427080</t>
  </si>
  <si>
    <t>Caña con Ruda</t>
  </si>
  <si>
    <t>https://crm.infosis.tech/crm/deal/details/4023/</t>
  </si>
  <si>
    <t>http://clientes.infosis-arg.com:8090/pages/viewpage.action?pageId=27427101</t>
  </si>
  <si>
    <t>Hasso Solución En Limpieza</t>
  </si>
  <si>
    <t>4 Total: 2 Full + 2 Pos Advanced</t>
  </si>
  <si>
    <t>https://crm.infosis.tech/crm/deal/details/4025/</t>
  </si>
  <si>
    <t>http://clientes.infosis-arg.com:8090/display/IMP/GALLO+RITA+DEL+VALLE_OC</t>
  </si>
  <si>
    <t>Glovex</t>
  </si>
  <si>
    <t>https://crm.infosis.tech/crm/deal/details/4029/</t>
  </si>
  <si>
    <t>http://clientes.infosis-arg.com:8090/pages/viewpage.action?pageId=27427113</t>
  </si>
  <si>
    <t>Pinturerias Sarno</t>
  </si>
  <si>
    <t>Multiempresa</t>
  </si>
  <si>
    <t>https://crm.infosis.tech/crm/deal/details/4033/</t>
  </si>
  <si>
    <t>http://clientes.infosis-arg.com:8090/pages/viewpage.action?pageId=27427119</t>
  </si>
  <si>
    <t>http://clientes.infosis-arg.com:8090/pages/viewpage.action?pageId=27427123</t>
  </si>
  <si>
    <t>Vera Carlos Fernando</t>
  </si>
  <si>
    <t>Agrega Empresa Nueva</t>
  </si>
  <si>
    <t>https://crm.infosis.tech/crm/deal/details/4039/</t>
  </si>
  <si>
    <t>http://clientes.infosis-arg.com:8090/pages/viewpage.action?pageId=27427127</t>
  </si>
  <si>
    <t>DVIGI</t>
  </si>
  <si>
    <t>https://crm.infosis.tech/crm/deal/details/4031/</t>
  </si>
  <si>
    <t>http://clientes.infosis-arg.com:8090/pages/viewpage.action?pageId=27427115</t>
  </si>
  <si>
    <t>NNF SA</t>
  </si>
  <si>
    <t>4 total: 1 Full + 3 Pos Express</t>
  </si>
  <si>
    <t>https://crm.infosis.tech/crm/deal/details/4045/</t>
  </si>
  <si>
    <t>http://clientes.infosis-arg.com:8090/pages/viewpage.action?pageId=27427135</t>
  </si>
  <si>
    <t>Jorge Lucas Jalil - Souk</t>
  </si>
  <si>
    <t>https://crm.infosis.tech/crm/deal/details/4009/</t>
  </si>
  <si>
    <t>http://clientes.infosis-arg.com:8090/display/IMP/JORGE+LUCAS+JALIL_OC</t>
  </si>
  <si>
    <t>TOOLSEN INC S.A.S.</t>
  </si>
  <si>
    <t>https://crm.infosis.tech/crm/deal/details/4049/</t>
  </si>
  <si>
    <t>http://clientes.infosis-arg.com:8090/display/IMP/TOOLSEN+INC+S.A.S.+%234049</t>
  </si>
  <si>
    <t>http://clientes.infosis-arg.com:8090/pages/viewpage.action?pageId=27427149</t>
  </si>
  <si>
    <t>VERTICO MOTOS</t>
  </si>
  <si>
    <t>Corrientes</t>
  </si>
  <si>
    <t>https://crm.infosis.tech/crm/deal/details/4051/</t>
  </si>
  <si>
    <t>http://clientes.infosis-arg.com:8090/display/IMP/Emmanuel+Luxen_OC</t>
  </si>
  <si>
    <t>752 T.L. MDQ ARGENTINA S.A.</t>
  </si>
  <si>
    <t>https://crm.infosis.tech/crm/deal/details/4053/</t>
  </si>
  <si>
    <t>http://clientes.infosis-arg.com:8090/pages/viewpage.action?pageId=27623435</t>
  </si>
  <si>
    <t>CONSULTORA CRIMAX S.R.L.</t>
  </si>
  <si>
    <t>https://crm.infosis.tech/crm/deal/details/4063/</t>
  </si>
  <si>
    <t>http://clientes.infosis-arg.com:8090/pages/viewpage.action?pageId=27623446</t>
  </si>
  <si>
    <t>AVN Express</t>
  </si>
  <si>
    <t>1 Acceso EC Advanced</t>
  </si>
  <si>
    <t>http://clientes.infosis-arg.com:8090/pages/viewpage.action?pageId=27623454</t>
  </si>
  <si>
    <t>BITOMA S.R.L.</t>
  </si>
  <si>
    <t>https://crm.infosis.tech/crm/deal/details/4077/</t>
  </si>
  <si>
    <t>http://clientes.infosis-arg.com:8090/display/IMP/BITOMA+SRL</t>
  </si>
  <si>
    <t>Rios Sebastian Cesar</t>
  </si>
  <si>
    <t>https://crm.infosis.tech/crm/deal/details/4075/</t>
  </si>
  <si>
    <t>http://clientes.infosis-arg.com:8090/display/IMP/RIOS+SEBASTIAN+CESAR</t>
  </si>
  <si>
    <t>MOLINA NORMA ANA / Alteza Zapatería</t>
  </si>
  <si>
    <t>KCE Advanced</t>
  </si>
  <si>
    <t>http://clientes.infosis-arg.com:8090/pages/viewpage.action?pageId=27623474</t>
  </si>
  <si>
    <t>NOUGUEZ CARLOS</t>
  </si>
  <si>
    <t>https://crm.infosis.tech/crm/deal/details/4083/</t>
  </si>
  <si>
    <t>http://clientes.infosis-arg.com:8090/pages/viewpage.action?pageId=27623479</t>
  </si>
  <si>
    <t>Gualdesi Hnos</t>
  </si>
  <si>
    <t>1 Full Premium</t>
  </si>
  <si>
    <t>https://crm.infosis.tech/crm/deal/details/4091/</t>
  </si>
  <si>
    <t>http://clientes.infosis-arg.com:8090/pages/viewpage.action?pageId=27623493</t>
  </si>
  <si>
    <t>Total Diet - Claudio Giostra</t>
  </si>
  <si>
    <t>https://crm.infosis.tech/crm/deal/details/4087/</t>
  </si>
  <si>
    <t>http://clientes.infosis-arg.com:8090/pages/editpage.action?pageId=27623499</t>
  </si>
  <si>
    <t>One ART SAS</t>
  </si>
  <si>
    <t>https://crm.infosis.tech/crm/deal/details/4093/</t>
  </si>
  <si>
    <t>http://clientes.infosis-arg.com:8090/display/IMP/ONE+ART+ARGENTINA+SAS+%234093</t>
  </si>
  <si>
    <t>https://crm.infosis.tech/crm/deal/details/4089/</t>
  </si>
  <si>
    <t>Nautica Recalada</t>
  </si>
  <si>
    <t>https://crm.infosis.tech/crm/deal/details/4079/</t>
  </si>
  <si>
    <t>http://clientes.infosis-arg.com:8090/pages/viewpage.action?pageId=27623471</t>
  </si>
  <si>
    <t>Baby Safe</t>
  </si>
  <si>
    <t>https://crm.infosis.tech/crm/deal/details/4085/</t>
  </si>
  <si>
    <t>http://clientes.infosis-arg.com:8090/pages/viewpage.action?pageId=27623485</t>
  </si>
  <si>
    <t>Drugstore M&amp;F</t>
  </si>
  <si>
    <t>https://crm.infosis.tech/crm/deal/details/4099/</t>
  </si>
  <si>
    <t>http://clientes.infosis-arg.com:8090/pages/viewpage.action?pageId=27623497</t>
  </si>
  <si>
    <t>https://crm.infosis.tech/crm/deal/details/4047/</t>
  </si>
  <si>
    <t>http://clientes.infosis-arg.com:8090/pages/viewpage.action?pageId=27427140</t>
  </si>
  <si>
    <t>Ferramenta Hnos</t>
  </si>
  <si>
    <t>3 Total: 1 Full + 1 Pos + 1 TCP Advanced</t>
  </si>
  <si>
    <t>https://crm.infosis.tech/crm/deal/details/4095/</t>
  </si>
  <si>
    <t>http://clientes.infosis-arg.com:8090/display/IMP/FERRAMENTA+HNOS+SRL</t>
  </si>
  <si>
    <t>Jorge Gonzalez</t>
  </si>
  <si>
    <t>https://crm.infosis.tech/crm/deal/details/4107/</t>
  </si>
  <si>
    <t>http://clientes.infosis-arg.com:8090/pages/viewpage.action?pageId=27623529</t>
  </si>
  <si>
    <t>1 Acceso E-commerce Advanced</t>
  </si>
  <si>
    <t>https://crm.infosis.tech/crm/deal/details/4109/</t>
  </si>
  <si>
    <t>http://clientes.infosis-arg.com:8090/pages/viewpage.action?pageId=27623527</t>
  </si>
  <si>
    <t>ADJENA SRL</t>
  </si>
  <si>
    <t>33-71609164-9</t>
  </si>
  <si>
    <t>3 Total: 2 Full + 1 Pos Advanced</t>
  </si>
  <si>
    <t>https://crm.infosis.tech/crm/deal/details/4103/</t>
  </si>
  <si>
    <t>http://clientes.infosis-arg.com:8090/display/IMP/ADJENA+S.R.L_OC</t>
  </si>
  <si>
    <t>BOSSANECO S.R.L.</t>
  </si>
  <si>
    <t>30-71493925-0</t>
  </si>
  <si>
    <t>https://crm.infosis.tech/crm/deal/details/4105/</t>
  </si>
  <si>
    <t>http://clientes.infosis-arg.com:8090/pages/editpage.action?pageId=27623540</t>
  </si>
  <si>
    <t>Kit Combo (AVN+PCP+Connector) Advanced</t>
  </si>
  <si>
    <t>https://crm.infosis.tech/crm/lead/details/18863/</t>
  </si>
  <si>
    <t>BIKE NETWORKS S.R.L</t>
  </si>
  <si>
    <t>30-71040454-9</t>
  </si>
  <si>
    <t>https://crm.infosis.tech/crm/deal/details/4111/</t>
  </si>
  <si>
    <t>http://clientes.infosis-arg.com:8090/display/IMP/Bike+Networks+srl+%28Canaglia+Bicicletas%29+%234111</t>
  </si>
  <si>
    <t>Diseño y Estilo</t>
  </si>
  <si>
    <t>https://crm.infosis.tech/crm/deal/details/4113/</t>
  </si>
  <si>
    <t>http://clientes.infosis-arg.com:8090/pages/viewpage.action?pageId=27623558</t>
  </si>
  <si>
    <t>1 Acceso AVN Express</t>
  </si>
  <si>
    <t>De Blasis</t>
  </si>
  <si>
    <t>https://crm.infosis.tech/crm/deal/details/4119/</t>
  </si>
  <si>
    <t>http://clientes.infosis-arg.com:8090/display/IMP/De+Blasis+Luis+S.%2C+Segura+Dario+A.+Y+Costa+Gustavo+S.H+%234119</t>
  </si>
  <si>
    <t>1 Pos Express</t>
  </si>
  <si>
    <t>http://clientes.infosis-arg.com:8090/pages/viewpage.action?pageId=27623578</t>
  </si>
  <si>
    <t>Pinturerias del Maestro</t>
  </si>
  <si>
    <t>https://crm.infosis.tech/crm/deal/details/4121/</t>
  </si>
  <si>
    <t>http://clientes.infosis-arg.com:8090/display/IMP/Pinturerias+del+Maestro+%234121</t>
  </si>
  <si>
    <t>Danilandia (MIRADA COMERCIAL S.R.L.)</t>
  </si>
  <si>
    <t>https://crm.infosis.tech/crm/deal/details/4127/</t>
  </si>
  <si>
    <t>http://clientes.infosis-arg.com:8090/display/IMP/Danilandia+%234127</t>
  </si>
  <si>
    <t>FERRETERÍA P-MAX</t>
  </si>
  <si>
    <t>https://crm.infosis.tech/crm/deal/details/4117/</t>
  </si>
  <si>
    <t>http://clientes.infosis-arg.com:8090/pages/viewpage.action?pageId=27623571</t>
  </si>
  <si>
    <t>Scott Concept Store Gorriti</t>
  </si>
  <si>
    <t>1Full Advanced</t>
  </si>
  <si>
    <t>https://crm.infosis.tech/crm/deal/details/4129/</t>
  </si>
  <si>
    <t>http://clientes.infosis-arg.com:8090/display/IMP/Scott+Concept+Store+Gorriti+%234129</t>
  </si>
  <si>
    <t>La Tienda del Mueble</t>
  </si>
  <si>
    <t>https://crm.infosis.tech/crm/deal/details/4131/</t>
  </si>
  <si>
    <t>http://clientes.infosis-arg.com:8090/pages/viewpage.action?pageId=27623562</t>
  </si>
  <si>
    <t>http://clientes.infosis-arg.com:8090/pages/viewpage.action?pageId=27623544</t>
  </si>
  <si>
    <t>1 Acceso AVN</t>
  </si>
  <si>
    <t>http://clientes.infosis-arg.com:8090/pages/viewpage.action?pageId=27623606</t>
  </si>
  <si>
    <t>Seres SRL</t>
  </si>
  <si>
    <t>https://crm.infosis.tech/crm/deal/details/4133/</t>
  </si>
  <si>
    <t>http://clientes.infosis-arg.com:8090/display/IMP/SERES+SRL_OC</t>
  </si>
  <si>
    <t>https://crm.infosis.tech/crm/deal/details/4135/</t>
  </si>
  <si>
    <t>http://clientes.infosis-arg.com:8090/display/IMP/Pinturerias+Mafer+SA+%234135</t>
  </si>
  <si>
    <t>KARUWA SAS</t>
  </si>
  <si>
    <t>Neuquén</t>
  </si>
  <si>
    <t>https://crm.infosis.tech/crm/deal/details/4137/</t>
  </si>
  <si>
    <t>http://clientes.infosis-arg.com:8090/display/IMP/KARUWA+S.A.S._OC</t>
  </si>
  <si>
    <t>Bognanni Mariana</t>
  </si>
  <si>
    <t>https://crm.infosis.tech/crm/deal/details/4139/</t>
  </si>
  <si>
    <t>http://clientes.infosis-arg.com:8090/pages/viewpage.action?pageId=27623622</t>
  </si>
  <si>
    <t>King Bed</t>
  </si>
  <si>
    <t>https://crm.infosis.tech/crm/deal/details/4141/</t>
  </si>
  <si>
    <t>http://clientes.infosis-arg.com:8090/display/IMP/Ampliacion+King+Bed</t>
  </si>
  <si>
    <t>Ternnova</t>
  </si>
  <si>
    <t>3 Total: 2 Full + 1 Pos Express</t>
  </si>
  <si>
    <t>https://crm.infosis.tech/crm/deal/details/4143/</t>
  </si>
  <si>
    <t>http://clientes.infosis-arg.com:8090/pages/viewpage.action?pageId=27623626</t>
  </si>
  <si>
    <t>Sportivo</t>
  </si>
  <si>
    <t>https://crm.infosis.tech/crm/deal/details/4145/</t>
  </si>
  <si>
    <t>http://clientes.infosis-arg.com:8090/pages/viewpage.action?pageId=27623634</t>
  </si>
  <si>
    <t>Bodypel</t>
  </si>
  <si>
    <t>ISHOP + 1 Acceso EC Advanced</t>
  </si>
  <si>
    <t>https://crm.infosis.tech/crm/deal/details/4153/</t>
  </si>
  <si>
    <t>http://clientes.infosis-arg.com:8090/pages/viewpage.action?pageId=27623640</t>
  </si>
  <si>
    <t>Bohnke Articulos Rurales SAS</t>
  </si>
  <si>
    <t>https://crm.infosis.tech/crm/deal/details/3887/</t>
  </si>
  <si>
    <t>http://clientes.infosis-arg.com:8090/pages/viewpage.action?pageId=27623650</t>
  </si>
  <si>
    <t>Ronde SRL</t>
  </si>
  <si>
    <t>https://crm.infosis.tech/crm/deal/details/4187/</t>
  </si>
  <si>
    <t>http://clientes.infosis-arg.com:8090/display/IMP/Ronde+SRL</t>
  </si>
  <si>
    <t>Lopez Ariel</t>
  </si>
  <si>
    <t>https://crm.infosis.tech/crm/deal/details/4189/</t>
  </si>
  <si>
    <t>http://clientes.infosis-arg.com:8090/display/IMP/KCE+LOPEZ+ARIEL+HERNAN</t>
  </si>
  <si>
    <t>LEAEL SRL</t>
  </si>
  <si>
    <t>https://crm.infosis.tech/crm/deal/details/4199/</t>
  </si>
  <si>
    <t>http://clientes.infosis-arg.com:8090/display/IMP/LEAEL+S.R.L.+-+%23+4199</t>
  </si>
  <si>
    <t>Bonanni Maria del Carmen</t>
  </si>
  <si>
    <t>https://crm.infosis.tech/crm/deal/details/4203/</t>
  </si>
  <si>
    <t>http://clientes.infosis-arg.com:8090/display/IMP/BONANNI+MARIA+DEL+CARMEN</t>
  </si>
  <si>
    <t>FRANFELIRENU</t>
  </si>
  <si>
    <t>https://crm.infosis.tech/crm/deal/details/4209/</t>
  </si>
  <si>
    <t>http://clientes.infosis-arg.com:8090/display/IMP/FRANFELIRENU+S.R.L.+%234209</t>
  </si>
  <si>
    <t>KAL SRL</t>
  </si>
  <si>
    <t>2 Full + 2 Pos + KCE Advanced</t>
  </si>
  <si>
    <t>Salta</t>
  </si>
  <si>
    <t>https://crm.infosis.tech/crm/lead/details/26247/</t>
  </si>
  <si>
    <t>http://clientes.infosis-arg.com:8090/display/IMP/KAL+SRL_OC</t>
  </si>
  <si>
    <t>Cooperativa de Vivienda Crucero Gral Belgrano de Pinamar Ltda</t>
  </si>
  <si>
    <t>https://crm.infosis.tech/crm/deal/details/4207/</t>
  </si>
  <si>
    <t>http://clientes.infosis-arg.com:8090/pages/viewpage.action?pageId=27623677</t>
  </si>
  <si>
    <t>De León Medina SRL</t>
  </si>
  <si>
    <t>PCP Advanced</t>
  </si>
  <si>
    <t>https://crm.infosis.tech/crm/deal/details/2126/</t>
  </si>
  <si>
    <t>http://clientes.infosis-arg.com:8090/display/IMP/PCP+DE+LEON+MEDINA+SRL</t>
  </si>
  <si>
    <t>Vicente Facundo Alberto / FPC Servicios Informáticos</t>
  </si>
  <si>
    <t>https://crm.infosis.tech/crm/deal/details/4227/</t>
  </si>
  <si>
    <t>http://clientes.infosis-arg.com:8090/display/IMP/VICENTE+FACUNDO+ALBERTO_OC</t>
  </si>
  <si>
    <t>La Quesera del Sur</t>
  </si>
  <si>
    <t>https://crm.infosis.tech/crm/deal/details/4229/</t>
  </si>
  <si>
    <t>http://clientes.infosis-arg.com:8090/display/IMP/La+Quesera+del+Sur+-+MENDIZABAL+JUAN+FRANCISCO</t>
  </si>
  <si>
    <t>La Blanqueria de Lucas</t>
  </si>
  <si>
    <t>https://crm.infosis.tech/crm/deal/details/4233/</t>
  </si>
  <si>
    <t>http://clientes.infosis-arg.com:8090/pages/viewpage.action?pageId=27623715</t>
  </si>
  <si>
    <t>Distribuidora Jade Takem</t>
  </si>
  <si>
    <t>https://crm.infosis.tech/crm/deal/details/4235/</t>
  </si>
  <si>
    <t>http://clientes.infosis-arg.com:8090/pages/viewpage.action?pageId=27623724</t>
  </si>
  <si>
    <t>Bertoia Claudio - Lactiques</t>
  </si>
  <si>
    <t>2 Total: 1 Full + 1 Pos Express</t>
  </si>
  <si>
    <t>https://crm.infosis.tech/crm/deal/details/4237/</t>
  </si>
  <si>
    <t>http://clientes.infosis-arg.com:8090/display/IMP/Bertoia+Claudio+-+Lactiques+-+%234237</t>
  </si>
  <si>
    <t>Pet Shop DCM</t>
  </si>
  <si>
    <t>4 Total: 2 Full + 2 Pos Express</t>
  </si>
  <si>
    <t>Animales y Mascotas</t>
  </si>
  <si>
    <t>https://crm.infosis.tech/crm/deal/details/4241/</t>
  </si>
  <si>
    <t>http://clientes.infosis-arg.com:8090/pages/viewpage.action?pageId=27623732</t>
  </si>
  <si>
    <t>1 Pos Advanced</t>
  </si>
  <si>
    <t>https://crm.infosis.tech/crm/deal/details/4243/</t>
  </si>
  <si>
    <t>http://clientes.infosis-arg.com:8090/pages/viewpage.action?pageId=27623734</t>
  </si>
  <si>
    <t>1 Full Express (Ampl)</t>
  </si>
  <si>
    <t>https://crm.infosis.tech/crm/deal/details/4245/</t>
  </si>
  <si>
    <t>http://clientes.infosis-arg.com:8090/display/IMP/LEAEL+S.R.L.+-+%234245</t>
  </si>
  <si>
    <t>Bosa Neco srl</t>
  </si>
  <si>
    <t>https://crm.infosis.tech/crm/deal/details/4247/</t>
  </si>
  <si>
    <t>http://clientes.infosis-arg.com:8090/display/IMP/Amplia+BOSSA+NECO+SRL</t>
  </si>
  <si>
    <t>Magliano Claudia Maria de las Mercedes / Tienda Deco</t>
  </si>
  <si>
    <t>1 Full Express + KCE Express</t>
  </si>
  <si>
    <t>https://crm.infosis.tech/crm/deal/details/4249/</t>
  </si>
  <si>
    <t>http://clientes.infosis-arg.com:8090/display/IMP/MAGLIANO+CLAUDIA+MARIA+DE+LAS+MERCEDES_OC</t>
  </si>
  <si>
    <t>Gazze Jorge Luis / Zaatar</t>
  </si>
  <si>
    <t>https://crm.infosis.tech/crm/deal/details/4115/</t>
  </si>
  <si>
    <t>http://clientes.infosis-arg.com:8090/display/IMP/GAZZE+JORGE+LUIS_OC</t>
  </si>
  <si>
    <t/>
  </si>
  <si>
    <t>https://crm.infosis.tech/crm/deal/details/4255/</t>
  </si>
  <si>
    <t>http://clientes.infosis-arg.com:8090/pages/viewpage.action?pageId=27623745</t>
  </si>
  <si>
    <t>Bashir (TROLLI ALICIA ANGELA)</t>
  </si>
  <si>
    <t>https://crm.infosis.tech/crm/deal/details/4257/</t>
  </si>
  <si>
    <t>http://clientes.infosis-arg.com:8090/pages/viewpage.action?pageId=27623749</t>
  </si>
  <si>
    <t>Deyacobbi</t>
  </si>
  <si>
    <t>4 Total: 3 Full + 1 Pos Advanced</t>
  </si>
  <si>
    <t>https://crm.infosis.tech/crm/deal/details/4251/</t>
  </si>
  <si>
    <t>http://clientes.infosis-arg.com:8090/pages/viewpage.action?pageId=27623741</t>
  </si>
  <si>
    <t>Vicente Camargo Quispe</t>
  </si>
  <si>
    <t>https://crm.infosis.tech/crm/deal/details/4253/</t>
  </si>
  <si>
    <t>http://clientes.infosis-arg.com:8090/display/IMP/VICENTE+CAMARGO+QUISPE</t>
  </si>
  <si>
    <t>Santiago Silvana Evangelina - Tichellio</t>
  </si>
  <si>
    <t>https://crm.infosis.tech/crm/deal/details/4269/</t>
  </si>
  <si>
    <t>http://clientes.infosis-arg.com:8090/display/IMP/Santiago+Silvana+Evangelina_OC</t>
  </si>
  <si>
    <t>Gestoso Jose Maria - Bajo Cero</t>
  </si>
  <si>
    <t>https://crm.infosis.tech/crm/deal/details/4273/</t>
  </si>
  <si>
    <t>http://clientes.infosis-arg.com:8090/display/IMP/GESTOSO+JOSE+MARIA_OC</t>
  </si>
  <si>
    <t>Calabria BA</t>
  </si>
  <si>
    <t>https://crm.infosis.tech/crm/deal/details/4277/</t>
  </si>
  <si>
    <t>http://clientes.infosis-arg.com:8090/pages/viewpage.action?pageId=27623649</t>
  </si>
  <si>
    <t>1 Pos Advanced (Ampl)</t>
  </si>
  <si>
    <t>https://crm.infosis.tech/crm/deal/details/4275/</t>
  </si>
  <si>
    <t>http://clientes.infosis-arg.com:8090/pages/viewpage.action?pageId=27623776</t>
  </si>
  <si>
    <t>King Bed / Sabemos de Almohadas</t>
  </si>
  <si>
    <t>http://clientes.infosis-arg.com:8090/display/IMP/Ampliacion+Sabemos+de+Almohadas</t>
  </si>
  <si>
    <t>SPARE PHONE</t>
  </si>
  <si>
    <t>https://crm.infosis.tech/crm/deal/details/4271/</t>
  </si>
  <si>
    <t>http://clientes.infosis-arg.com:8090/display/IMP/Spare+Phone_OC</t>
  </si>
  <si>
    <t>Cirilo Calderón</t>
  </si>
  <si>
    <t>https://crm.infosis.tech/crm/deal/details/4285/</t>
  </si>
  <si>
    <t>http://clientes.infosis-arg.com:8090/pages/viewpage.action?pageId=27623797</t>
  </si>
  <si>
    <t>https://crm.infosis.tech/crm/deal/details/4279/</t>
  </si>
  <si>
    <t>http://clientes.infosis-arg.com:8090/pages/viewpage.action?pageId=27623791</t>
  </si>
  <si>
    <t>Cabrera Cristian Dario - 7CAVAS</t>
  </si>
  <si>
    <t>4 Total: 1 Full + 3 Pos + KCE Express</t>
  </si>
  <si>
    <t>Gastronomía y Esparcimiento</t>
  </si>
  <si>
    <t>https://crm.infosis.tech/crm/deal/details/4281/</t>
  </si>
  <si>
    <t>http://clientes.infosis-arg.com:8090/display/IMP/Cabrera+Cristian+Dario+-+7CAVAS+-+4281</t>
  </si>
  <si>
    <t>PEGNI SOLUTIONS S.A.</t>
  </si>
  <si>
    <t>Multiempresa (Ampl)</t>
  </si>
  <si>
    <t>https://crm.infosis.tech/crm/deal/details/4287/</t>
  </si>
  <si>
    <t>http://clientes.infosis-arg.com:8090/pages/viewpage.action?pageId=27623799</t>
  </si>
  <si>
    <t>Materiales RIU</t>
  </si>
  <si>
    <t>4 Full Advanded</t>
  </si>
  <si>
    <t>Río Negro</t>
  </si>
  <si>
    <t>https://crm.infosis.tech/crm/deal/details/4291/</t>
  </si>
  <si>
    <t>http://clientes.infosis-arg.com:8090/pages/editpage.action?pageId=27623801</t>
  </si>
  <si>
    <t>Renault FM</t>
  </si>
  <si>
    <t>2 Total: 2 Full + KCE Advanced</t>
  </si>
  <si>
    <t>https://crm.infosis.tech/crm/deal/details/4261/</t>
  </si>
  <si>
    <t>http://clientes.infosis-arg.com:8090/display/IMP/RENAULT+FM++SRL+-+4261</t>
  </si>
  <si>
    <t>2 Total: 2 Pos Advanced (Ampl)</t>
  </si>
  <si>
    <t>https://crm.infosis.tech/crm/deal/details/4295/</t>
  </si>
  <si>
    <t>http://clientes.infosis-arg.com:8090/display/IMP/Konecta+-+AGUSTIN+ROST+-+Ampl+-+4295</t>
  </si>
  <si>
    <t>MOVIL NOA SRL</t>
  </si>
  <si>
    <t>7 Total: 2 Full + 5 Pos Advanced</t>
  </si>
  <si>
    <t>Santiago del Estero</t>
  </si>
  <si>
    <t>https://crm.infosis.tech/crm/deal/details/4299/</t>
  </si>
  <si>
    <t>http://clientes.infosis-arg.com:8090/display/IMP/MOVIL+NOA+SRL_OC</t>
  </si>
  <si>
    <t>Renovacion 2do Semestre 2020</t>
  </si>
  <si>
    <t>Martín</t>
  </si>
  <si>
    <t>Limpa</t>
  </si>
  <si>
    <t>ISHOP Advanced + 1 Acceso EC Advanced</t>
  </si>
  <si>
    <t>https://crm.infosis.tech/crm/deal/details/4303/</t>
  </si>
  <si>
    <t>http://clientes.infosis-arg.com:8090/pages/viewpage.action?pageId=27623818</t>
  </si>
  <si>
    <t>Top Class</t>
  </si>
  <si>
    <t>1 Total: 1 Full Advanced + KCE Advanced</t>
  </si>
  <si>
    <t>https://crm.infosis.tech/crm/deal/details/4309/</t>
  </si>
  <si>
    <t>http://clientes.infosis-arg.com:8090/display/IMP/TOP+CLASS+PASTRY+SRL+-+4309</t>
  </si>
  <si>
    <t>KCE Advanced (Ampl)</t>
  </si>
  <si>
    <t>http://clientes.infosis-arg.com:8090/pages/viewpage.action?title=RIOS+SEBASTIAN+CESAR&amp;spaceKey=IMP</t>
  </si>
  <si>
    <t>ARGENTINA PAINT CAR S.A.</t>
  </si>
  <si>
    <t>30-71037815-7</t>
  </si>
  <si>
    <t>1 Total: 1 Full + AVN</t>
  </si>
  <si>
    <t>https://crm.infosis.tech/crm/deal/details/4315/</t>
  </si>
  <si>
    <t>http://clientes.infosis-arg.com:8090/display/IMP/ARGENTINA+PAINT+CAR+-+4315</t>
  </si>
  <si>
    <t>PISCINAS SAS</t>
  </si>
  <si>
    <t>https://crm.infosis.tech/crm/deal/details/4327/</t>
  </si>
  <si>
    <t>http://clientes.infosis-arg.com:8090/display/IMP/PISCINAS+SAS_OC</t>
  </si>
  <si>
    <t>Libreria y Jugueteria "La Unica"</t>
  </si>
  <si>
    <t>3 Total: 1 Full + 2 Pos Advanced</t>
  </si>
  <si>
    <t>https://crm.infosis.tech/crm/deal/details/4317/</t>
  </si>
  <si>
    <t>http://clientes.infosis-arg.com:8090/pages/viewpage.action?pageId=27623836</t>
  </si>
  <si>
    <t>FRANFELIRENU S.R.L</t>
  </si>
  <si>
    <t>ISHOP Enterprise + 1 Acceso EC Advanced</t>
  </si>
  <si>
    <t>https://crm.infosis.tech/crm/deal/details/4319/</t>
  </si>
  <si>
    <t>http://clientes.infosis-arg.com:8090/pages/viewpage.action?pageId=27623850</t>
  </si>
  <si>
    <t>https://crm.infosis.tech/crm/deal/details/4325/</t>
  </si>
  <si>
    <t>http://clientes.infosis-arg.com:8090/pages/viewpage.action?pageId=27623852</t>
  </si>
  <si>
    <t>MARCOS COITIÑO EXEQUIEL - Ferretería Patagonia</t>
  </si>
  <si>
    <t>1 AVN Express (Ampl)</t>
  </si>
  <si>
    <t>DIEGO GERMAN SAUCO - EL ALMACÉN</t>
  </si>
  <si>
    <t>https://crm.infosis.tech/crm/deal/details/4333/</t>
  </si>
  <si>
    <t>http://clientes.infosis-arg.com:8090/display/IMP/Diego+German+Sauco_OC</t>
  </si>
  <si>
    <t>http://clientes.infosis-arg.com:8090/pages/viewpage.action?title=BITOMA+SRL&amp;spaceKey=IMP</t>
  </si>
  <si>
    <t>1 PCP Express (Ampl)</t>
  </si>
  <si>
    <t>https://crm.infosis.tech/crm/deal/details/4157/</t>
  </si>
  <si>
    <t>Repuestos YA</t>
  </si>
  <si>
    <t>15 Total: 8 Full + 7 Pos + KEC + KCE Premium</t>
  </si>
  <si>
    <t>NCdn - Desarrollo de Negocios</t>
  </si>
  <si>
    <t>https://crm.infosis.tech/crm/deal/details/4313/</t>
  </si>
  <si>
    <t>http://clientes.infosis-arg.com:8090/display/IMP/Repuestos+Ya+-+4313</t>
  </si>
  <si>
    <t>ISHOP Enterprise</t>
  </si>
  <si>
    <t>https://crm.infosis.tech/crm/deal/details/4323/</t>
  </si>
  <si>
    <t>http://clientes.infosis-arg.com:8090/pages/viewpage.action?pageId=27623865</t>
  </si>
  <si>
    <t>Bien al Sur GrowShop</t>
  </si>
  <si>
    <t>https://crm.infosis.tech/crm/deal/details/4331/</t>
  </si>
  <si>
    <t>http://clientes.infosis-arg.com:8090/display/IMP/Bien+Al+Sur+GrowShop</t>
  </si>
  <si>
    <t>Sex Shop SRL</t>
  </si>
  <si>
    <t>https://crm.infosis.tech/crm/deal/details/4347/</t>
  </si>
  <si>
    <t>http://clientes.infosis-arg.com:8090/pages/viewpage.action?pageId=27623879</t>
  </si>
  <si>
    <t>Tornado Herramientas</t>
  </si>
  <si>
    <t>https://crm.infosis.tech/crm/deal/details/4345/</t>
  </si>
  <si>
    <t>http://clientes.infosis-arg.com:8090/pages/viewpage.action?pageId=27623878</t>
  </si>
  <si>
    <t>Dimension Color</t>
  </si>
  <si>
    <t>https://crm.infosis.tech/crm/deal/details/4349/</t>
  </si>
  <si>
    <t>http://clientes.infosis-arg.com:8090/pages/viewpage.action?pageId=27623881</t>
  </si>
  <si>
    <t>Kolorea</t>
  </si>
  <si>
    <t>1 Full Advance</t>
  </si>
  <si>
    <t>CI.DI.ME. CENTRO INTEGRAL PARA DISCAPACITADOS MENTALES COSECHANDO TIEMPO</t>
  </si>
  <si>
    <t>https://crm.infosis.tech/crm/deal/details/4339/</t>
  </si>
  <si>
    <t>http://clientes.infosis-arg.com:8090/display/IMP/CI.DI.ME.+CENTRO+INTEGRAL+PARA+DISCAPACITADOS+MENTALES+COSECHANDO+TIEMPO</t>
  </si>
  <si>
    <t>Cendra Alejandra Beatriz</t>
  </si>
  <si>
    <t>https://crm.infosis.tech/crm/deal/details/4329/</t>
  </si>
  <si>
    <t>http://clientes.infosis-arg.com:8090/display/IMP/CENDRA+ALEJANDRA+BEATRIZ</t>
  </si>
  <si>
    <t>Totaldiet</t>
  </si>
  <si>
    <t>KCE + PCP</t>
  </si>
  <si>
    <t>https://crm.infosis.tech/crm/deal/details/4361/</t>
  </si>
  <si>
    <t>http://clientes.infosis-arg.com:8090/display/IMP/BY+DECOS+-+Haus+-+4361+KCE</t>
  </si>
  <si>
    <t>Pinturerias Tomas</t>
  </si>
  <si>
    <t>6 Total: 6 Full Avanced + KCE + 2 Tintometricos</t>
  </si>
  <si>
    <t>https://crm.infosis.tech/crm/deal/details/4365/</t>
  </si>
  <si>
    <t>http://clientes.infosis-arg.com:8090/pages/viewpage.action?pageId=27623898</t>
  </si>
  <si>
    <t xml:space="preserve">1 Full </t>
  </si>
  <si>
    <t>http://clientes.infosis-arg.com:8090/display/IMP/Up+Grade+FERRAMENTA+HNOS+SRL</t>
  </si>
  <si>
    <t>KEC Advanced (Ampl)</t>
  </si>
  <si>
    <t>https://crm.infosis.tech/crm/deal/details/4375/</t>
  </si>
  <si>
    <t>http://clientes.infosis-arg.com:8090/display/IMP/BY+DECOS+-+Haus+-+4375+KEC</t>
  </si>
  <si>
    <t>MAYOL RUBEN DARIO - PISA PISUELA JUNIOR</t>
  </si>
  <si>
    <t>1 Full + AVN Express</t>
  </si>
  <si>
    <t>https://crm.infosis.tech/crm/deal/details/4379/</t>
  </si>
  <si>
    <t>http://clientes.infosis-arg.com:8090/display/IMP/Mayol+Ruben+Dario_OC</t>
  </si>
  <si>
    <t>Tiribelli Agustin F (ex BONNNANI y BRK)</t>
  </si>
  <si>
    <t>Cambio Razon Social</t>
  </si>
  <si>
    <t>https://crm.infosis.tech/crm/deal/details/4373/</t>
  </si>
  <si>
    <t>http://clientes.infosis-arg.com:8090/display/IMP/TIRIBELLI+AGUSTIN+F+ALTA+RAZON+SOCIAL+-+BAJA+BRK+Y+BONANNI+MARIA+DEL+CARMEN</t>
  </si>
  <si>
    <t>https://crm.infosis.tech/crm/deal/details/4371/</t>
  </si>
  <si>
    <t>http://clientes.infosis-arg.com:8090/pages/viewpage.action?pageId=27623930</t>
  </si>
  <si>
    <t>1 Zeus Pos Advanced (Ampl)</t>
  </si>
  <si>
    <t>https://crm.infosis.tech/crm/deal/details/4377/</t>
  </si>
  <si>
    <t>http://clientes.infosis-arg.com:8090/display/IMP/TOP+CLASS+PASTRY+SRL+-+4377</t>
  </si>
  <si>
    <t>PATERNO EDGARDO GABRIEL / Tienda Náutica</t>
  </si>
  <si>
    <t>https://crm.infosis.tech/crm/deal/details/4381/</t>
  </si>
  <si>
    <t>http://clientes.infosis-arg.com:8090/display/IMP/PATERNO+EDGARDO+GABRIEL_OC</t>
  </si>
  <si>
    <t>JOLTRENDS SAS.</t>
  </si>
  <si>
    <t>1 KCE Advanced (Ampl) + EcomExperts Experto Plus</t>
  </si>
  <si>
    <t>https://crm.infosis.tech/crm/deal/details/4383/</t>
  </si>
  <si>
    <t>http://clientes.infosis-arg.com:8090/display/IMP/JOLTRENDS+SAS.+-+KCE</t>
  </si>
  <si>
    <t>CAMPELO MARIO ALBERTO - EXCEL NEA</t>
  </si>
  <si>
    <t>https://crm.infosis.tech/crm/lead/details/28437/</t>
  </si>
  <si>
    <t>http://clientes.infosis-arg.com:8090/display/IMP/Campelo+Mario+Alberto_OC</t>
  </si>
  <si>
    <t>ZAIPER SRL - CENTRAL DE SOMMIERS</t>
  </si>
  <si>
    <t>https://crm.infosis.tech/crm/deal/details/4387/</t>
  </si>
  <si>
    <t>http://clientes.infosis-arg.com:8090/display/IMP/Zaiper+SRL_OC</t>
  </si>
  <si>
    <t>Corralon - Ferreteria San Jose</t>
  </si>
  <si>
    <t>https://crm.infosis.tech/crm/deal/details/4385/</t>
  </si>
  <si>
    <t>http://clientes.infosis-arg.com:8090/pages/viewpage.action?pageId=27852808</t>
  </si>
  <si>
    <t>GAMBOA DORA FELICIANA / Mercería Mimbi</t>
  </si>
  <si>
    <t>https://crm.infosis.tech/crm/deal/details/4391/</t>
  </si>
  <si>
    <t>http://clientes.infosis-arg.com:8090/display/IMP/GAMBOA+DORA+FELICIANA_OC</t>
  </si>
  <si>
    <t>Marjuar</t>
  </si>
  <si>
    <t>1 KEC Advanced</t>
  </si>
  <si>
    <t>https://crm.infosis.tech/crm/deal/details/4389/</t>
  </si>
  <si>
    <t>http://clientes.infosis-arg.com:8090/pages/viewpage.action?pageId=27852811</t>
  </si>
  <si>
    <t>1 AVN</t>
  </si>
  <si>
    <t>ALUMINIOS CORDOBA S.A</t>
  </si>
  <si>
    <t>30-70881493-4</t>
  </si>
  <si>
    <t>1 AVN + Reporte a Medida</t>
  </si>
  <si>
    <t>https://crm.infosis.tech/crm/deal/details/4393/</t>
  </si>
  <si>
    <t>http://clientes.infosis-arg.com:8090/pages/viewpage.action?pageId=27852817</t>
  </si>
  <si>
    <t>https://crm.infosis.tech/crm/deal/details/4181/</t>
  </si>
  <si>
    <t>http://clientes.infosis-arg.com:8090/display/IMP/Konecta+-+AGUSTIN+ROST</t>
  </si>
  <si>
    <t>https://crm.infosis.tech/crm/deal/details/4149/</t>
  </si>
  <si>
    <t>Leael SRL</t>
  </si>
  <si>
    <t>https://crm.infosis.tech/crm/deal/details/4201/</t>
  </si>
  <si>
    <t>https://crm.infosis.tech/crm/deal/details/4185/</t>
  </si>
  <si>
    <t>PASCUA MAURO DANIEL / La Esquina Fueguina</t>
  </si>
  <si>
    <t>https://crm.infosis.tech/crm/deal/details/4399/</t>
  </si>
  <si>
    <t>http://clientes.infosis-arg.com:8090/display/IMP/PASCUA+MAURO+DANIEL_OC</t>
  </si>
  <si>
    <t>Dvigi</t>
  </si>
  <si>
    <t>KEC</t>
  </si>
  <si>
    <t>https://crm.infosis.tech/crm/deal/details/4401/</t>
  </si>
  <si>
    <t>http://clientes.infosis-arg.com:8090/display/IMP/DVIGI+-+KEC+-+4401</t>
  </si>
  <si>
    <t>Ferreteria Metiz</t>
  </si>
  <si>
    <t>https://crm.infosis.tech/crm/deal/details/4403/</t>
  </si>
  <si>
    <t>http://clientes.infosis-arg.com:8090/pages/viewpage.action?pageId=27852835</t>
  </si>
  <si>
    <t>CIO ARGENTINA BROKERS</t>
  </si>
  <si>
    <t>https://crm.infosis.tech/crm/deal/details/4411/</t>
  </si>
  <si>
    <t>http://clientes.infosis-arg.com:8090/display/IMP/Oribe+Camilo+Ignacio_OC</t>
  </si>
  <si>
    <t>Pinturería Jorda SA - Colorshop</t>
  </si>
  <si>
    <t>5 Total: 2 Full + 3 Pos</t>
  </si>
  <si>
    <t>https://crm.infosis.tech/crm/lead/details/28771/</t>
  </si>
  <si>
    <t>http://clientes.infosis-arg.com:8090/display/IMP/PINTURERIA+JORDA+SA_OC</t>
  </si>
  <si>
    <t>Scott Concept Store</t>
  </si>
  <si>
    <t>ARGENTINA CONSTRU MET</t>
  </si>
  <si>
    <t>https://crm.infosis.tech/crm/deal/details/4417/</t>
  </si>
  <si>
    <t>http://clientes.infosis-arg.com:8090/display/IMP/Argentina+Constru+Met_OC</t>
  </si>
  <si>
    <t>Centro Luján SRL</t>
  </si>
  <si>
    <t>https://crm.infosis.tech/crm/deal/details/4419/</t>
  </si>
  <si>
    <t>http://clientes.infosis-arg.com:8090/pages/viewpage.action?pageId=28049426</t>
  </si>
  <si>
    <t>Bertoia - Lactiques</t>
  </si>
  <si>
    <t>https://crm.infosis.tech/crm/deal/details/4239/</t>
  </si>
  <si>
    <t>Megamix</t>
  </si>
  <si>
    <t>Pos BillApp - Tomador de Pedidos</t>
  </si>
  <si>
    <t>https://crm.infosis.tech/crm/deal/details/4421/</t>
  </si>
  <si>
    <t>http://clientes.infosis-arg.com:8090/pages/viewpage.action?pageId=28049429</t>
  </si>
  <si>
    <t>Ultracolor</t>
  </si>
  <si>
    <t>6 Total: 5 Full + 1 Pos + Tintometrico</t>
  </si>
  <si>
    <t>https://crm.infosis.tech/crm/lead/details/20835/</t>
  </si>
  <si>
    <t>http://clientes.infosis-arg.com:8090/display/IMP/Ultracolor+SRL+-+4413</t>
  </si>
  <si>
    <t>ISHOP Advance + 1 Acceso EC Advanced</t>
  </si>
  <si>
    <t>https://crm.infosis.tech/crm/deal/details/4425/</t>
  </si>
  <si>
    <t>http://clientes.infosis-arg.com:8090/pages/viewpage.action?pageId=28049439</t>
  </si>
  <si>
    <t>AIMÁ S.R.L.</t>
  </si>
  <si>
    <t>30-71427842-4</t>
  </si>
  <si>
    <t>5 Total: 3 Full + 2 Pos</t>
  </si>
  <si>
    <t>https://crm.infosis.tech/crm/deal/details/4427/</t>
  </si>
  <si>
    <t>http://clientes.infosis-arg.com:8090/pages/viewpage.action?pageId=28049452</t>
  </si>
  <si>
    <t>ACANTTIS</t>
  </si>
  <si>
    <t>https://crm.infosis.tech/crm/deal/details/4159/</t>
  </si>
  <si>
    <t>ALFAN SA</t>
  </si>
  <si>
    <t>2 Full + AVN</t>
  </si>
  <si>
    <t>https://crm.infosis.tech/crm/deal/details/4441/</t>
  </si>
  <si>
    <t>http://clientes.infosis-arg.com:8090/display/IMP/Alfan+SA_OC</t>
  </si>
  <si>
    <t>3 Pos (Ampl)</t>
  </si>
  <si>
    <t>https://crm.infosis.tech/crm/deal/details/4439/</t>
  </si>
  <si>
    <t>http://clientes.infosis-arg.com:8090/pages/viewpage.action?pageId=28049465</t>
  </si>
  <si>
    <t>GALLO RITA DEL VALLE / HASSO Solución en Limpieza</t>
  </si>
  <si>
    <t>1 AVN (Ampl)</t>
  </si>
  <si>
    <t>https://crm.infosis.tech/crm/lead/details/30227/</t>
  </si>
  <si>
    <t>FRESSINI INSTALACIONES</t>
  </si>
  <si>
    <t>https://crm.infosis.tech/crm/deal/details/4447/</t>
  </si>
  <si>
    <t>http://clientes.infosis-arg.com:8090/display/IMP/FRESSINI+INSTALACIONES+SOC.+COL</t>
  </si>
  <si>
    <t>DLM LOGISTICA CENTRALIZADA S.A.</t>
  </si>
  <si>
    <t>1 Full + 1 AVN</t>
  </si>
  <si>
    <t>https://crm.infosis.tech/crm/deal/details/4445/</t>
  </si>
  <si>
    <t>http://clientes.infosis-arg.com:8090/pages/viewpage.action?pageId=28049474</t>
  </si>
  <si>
    <t>DLM MISIONES S.A.</t>
  </si>
  <si>
    <t>https://crm.infosis.tech/crm/deal/details/4449/</t>
  </si>
  <si>
    <t>http://clientes.infosis-arg.com:8090/pages/viewpage.action?pageId=28049478</t>
  </si>
  <si>
    <t>https://crm.infosis.tech/crm/deal/details/4451/</t>
  </si>
  <si>
    <t>http://clientes.infosis-arg.com:8090/pages/viewpage.action?pageId=28049480</t>
  </si>
  <si>
    <t>https://crm.infosis.tech/crm/lead/details/29583/</t>
  </si>
  <si>
    <t>https://crm.infosis.tech/crm/deal/details/4217/</t>
  </si>
  <si>
    <t>https://crm.infosis.tech/crm/lead/details/30137/</t>
  </si>
  <si>
    <t>http://clientes.infosis-arg.com:8090/display/IMP/PINTURERIA+JORDA+SA_AMPL_UPGRADE</t>
  </si>
  <si>
    <t>Tienda Lolos SRL</t>
  </si>
  <si>
    <t>2 Total: 1 Full + 1 Acceso eCommerce</t>
  </si>
  <si>
    <t>https://crm.infosis.tech/crm/deal/details/4455/</t>
  </si>
  <si>
    <t>http://clientes.infosis-arg.com:8090/pages/viewpage.action?pageId=28049485</t>
  </si>
  <si>
    <t>Jade Takem SA</t>
  </si>
  <si>
    <t>26 Total: 19 Full + 5 Pos + API + AVN + KCE (Ampl)</t>
  </si>
  <si>
    <t>https://crm.infosis.tech/crm/deal/details/4443/</t>
  </si>
  <si>
    <t>http://clientes.infosis-arg.com:8090/pages/viewpage.action?pageId=28049486</t>
  </si>
  <si>
    <t>Color&amp;ando SAS</t>
  </si>
  <si>
    <t>https://crm.infosis.tech/crm/deal/details/4457/</t>
  </si>
  <si>
    <t>http://clientes.infosis-arg.com:8090/pages/viewpage.action?pageId=28049495</t>
  </si>
  <si>
    <t>7Cavas</t>
  </si>
  <si>
    <t>https://crm.infosis.tech/crm/deal/details/4283/</t>
  </si>
  <si>
    <t>Gorosito Edith</t>
  </si>
  <si>
    <t>https://crm.infosis.tech/crm/deal/details/4461/</t>
  </si>
  <si>
    <t>http://clientes.infosis-arg.com:8090/display/IMP/Gorosito+Edith+Elida</t>
  </si>
  <si>
    <t>Golosinas B40</t>
  </si>
  <si>
    <t>https://crm.infosis.tech/crm/deal/details/4463/</t>
  </si>
  <si>
    <t>http://clientes.infosis-arg.com:8090/pages/viewpage.action?pageId=28049504</t>
  </si>
  <si>
    <t>https://crm.infosis.tech/crm/deal/details/4459/</t>
  </si>
  <si>
    <t>http://clientes.infosis-arg.com:8090/pages/viewpage.action?pageId=28049510</t>
  </si>
  <si>
    <t>Franfelirenu</t>
  </si>
  <si>
    <t>https://crm.infosis.tech/crm/deal/details/4213/</t>
  </si>
  <si>
    <t>WEURBANS</t>
  </si>
  <si>
    <t>https://crm.infosis.tech/crm/deal/details/4469/</t>
  </si>
  <si>
    <t>http://clientes.infosis-arg.com:8090/display/IMP/ROVETTO+GABRIELA+ALEJANDRA_OC</t>
  </si>
  <si>
    <t>Rodriguez Reinoso Facundo</t>
  </si>
  <si>
    <t>https://crm.infosis.tech/crm/deal/details/4473/</t>
  </si>
  <si>
    <t>http://clientes.infosis-arg.com:8090/display/IMP/RODRIGUEZ+REINOSO+FACUNDO</t>
  </si>
  <si>
    <t>Ortíz Juan Cruz</t>
  </si>
  <si>
    <t>https://crm.infosis.tech/crm/deal/details/4465/</t>
  </si>
  <si>
    <t>http://clientes.infosis-arg.com:8090/display/IMP/ORTIZ+JUAN+CRUZ</t>
  </si>
  <si>
    <t>CENTRO LUJAN S.R.L.</t>
  </si>
  <si>
    <t>30-71508171-3</t>
  </si>
  <si>
    <t>https://crm.infosis.tech/crm/deal/details/4475/</t>
  </si>
  <si>
    <t>http://clientes.infosis-arg.com:8090/pages/viewpage.action?pageId=28049524</t>
  </si>
  <si>
    <t>SEAL SRL</t>
  </si>
  <si>
    <t>30-71476369-1</t>
  </si>
  <si>
    <t>Horas Zeus - Nueva Razon Social</t>
  </si>
  <si>
    <t>https://crm.infosis.tech/crm/deal/details/4479/</t>
  </si>
  <si>
    <t>http://clientes.infosis-arg.com:8090/display/IMP/Seal+SRL_OC</t>
  </si>
  <si>
    <t>https://crm.infosis.tech/crm/deal/details/4481/</t>
  </si>
  <si>
    <t>http://clientes.infosis-arg.com:8090/pages/viewpage.action?pageId=28049531</t>
  </si>
  <si>
    <t>Elephant Design</t>
  </si>
  <si>
    <t>https://crm.infosis.tech/crm/deal/details/4483/</t>
  </si>
  <si>
    <t>http://clientes.infosis-arg.com:8090/pages/viewpage.action?pageId=28049533</t>
  </si>
  <si>
    <t>https://crm.infosis.tech/crm/deal/details/4267/</t>
  </si>
  <si>
    <t>Pinturerias Integradas</t>
  </si>
  <si>
    <t>Regularización: 4 Pos</t>
  </si>
  <si>
    <t>https://crm.infosis.tech/crm/deal/details/4485/</t>
  </si>
  <si>
    <t>http://clientes.infosis-arg.com:8090/pages/viewpage.action?pageId=28049535</t>
  </si>
  <si>
    <t>PCP</t>
  </si>
  <si>
    <t>AVN + KCE</t>
  </si>
  <si>
    <t>https://crm.infosis.tech/crm/deal/details/4265/</t>
  </si>
  <si>
    <t>https://crm.infosis.tech/crm/deal/details/4165/</t>
  </si>
  <si>
    <t>https://crm.infosis.tech/crm/deal/details/4263/</t>
  </si>
  <si>
    <t>http://clientes.infosis-arg.com:8090/pages/viewpage.action?pageId=27427024</t>
  </si>
  <si>
    <t>MATERIALES IANTOM GROUP SA - MYG QUIMICA.</t>
  </si>
  <si>
    <t>3 Total: 1 Full + 1 Pos + AVN</t>
  </si>
  <si>
    <t>https://crm.infosis.tech/crm/deal/details/4487/</t>
  </si>
  <si>
    <t>http://clientes.infosis-arg.com:8090/display/IMP/MATERIALES+IANTOM+GROUP+SA+%28MIG%29_OC</t>
  </si>
  <si>
    <t>https://crm.infosis.tech/crm/deal/details/4489/</t>
  </si>
  <si>
    <t>http://clientes.infosis-arg.com:8090/pages/viewpage.action?pageId=28049546</t>
  </si>
  <si>
    <t>JRD SERVICIOS SA</t>
  </si>
  <si>
    <t>https://crm.infosis.tech/crm/deal/details/4491/</t>
  </si>
  <si>
    <t>http://clientes.infosis-arg.com:8090/pages/viewpage.action?pageId=28049551</t>
  </si>
  <si>
    <t>CAMILOSSI ELIAS ANDRES</t>
  </si>
  <si>
    <t>https://crm.infosis.tech/crm/deal/details/4497/</t>
  </si>
  <si>
    <t>http://clientes.infosis-arg.com:8090/pages/viewpage.action?pageId=28049555</t>
  </si>
  <si>
    <t>WOX</t>
  </si>
  <si>
    <t>2 Full + 1 AVN</t>
  </si>
  <si>
    <t>https://crm.infosis.tech/crm/deal/details/4493/</t>
  </si>
  <si>
    <t>http://clientes.infosis-arg.com:8090/display/IMP/WOX+SRL+-+WOX+PINTURERIAS+-+4493</t>
  </si>
  <si>
    <t>Pintureria Sendra</t>
  </si>
  <si>
    <t>Regularización: 6 Pos</t>
  </si>
  <si>
    <t>CAcom - Campaña Comercial</t>
  </si>
  <si>
    <t>https://crm.infosis.tech/crm/deal/details/4501/</t>
  </si>
  <si>
    <t>http://clientes.infosis-arg.com:8090/pages/viewpage.action?pageId=28049564</t>
  </si>
  <si>
    <t>Gualfatt</t>
  </si>
  <si>
    <t>https://crm.infosis.tech/crm/deal/details/4503/</t>
  </si>
  <si>
    <t>http://clientes.infosis-arg.com:8090/pages/viewpage.action?pageId=28049568</t>
  </si>
  <si>
    <t>https://crm.infosis.tech/crm/deal/details/4223/</t>
  </si>
  <si>
    <t>http://clientes.infosis-arg.com:8090/pages/viewpage.action?title=KAL+SRL_OC&amp;spaceKey=IMP</t>
  </si>
  <si>
    <t>MATERIALES RIU SRL</t>
  </si>
  <si>
    <t>https://crm.infosis.tech/crm/deal/details/4297/</t>
  </si>
  <si>
    <t>http://clientes.infosis-arg.com:8090/display/IMP/MATERIALES+RIU+SRL</t>
  </si>
  <si>
    <t>VERA GUSTAVO JAVIER</t>
  </si>
  <si>
    <t>https://crm.infosis.tech/crm/deal/details/4507/</t>
  </si>
  <si>
    <t>http://clientes.infosis-arg.com:8090/pages/viewpage.action?pageId=28049583</t>
  </si>
  <si>
    <t>Quimtex Oeste</t>
  </si>
  <si>
    <t>Horas Zeus - Multiempresa</t>
  </si>
  <si>
    <t>https://crm.infosis.tech/crm/deal/details/4505/</t>
  </si>
  <si>
    <t>http://clientes.infosis-arg.com:8090/pages/viewpage.action?pageId=28049573</t>
  </si>
  <si>
    <t>BULNES AUSTRAL SRL</t>
  </si>
  <si>
    <t>https://crm.infosis.tech/crm/deal/details/4511/</t>
  </si>
  <si>
    <t>http://clientes.infosis-arg.com:8090/display/IMP/BULNES+AUSTRAL+SRL</t>
  </si>
  <si>
    <t>Picasso Decoraciones</t>
  </si>
  <si>
    <t>AVN</t>
  </si>
  <si>
    <t>https://crm.infosis.tech/crm/deal/details/4513/</t>
  </si>
  <si>
    <t>http://clientes.infosis-arg.com:8090/pages/viewpage.action?pageId=28049587</t>
  </si>
  <si>
    <t>JALIL JORGE LUCAS - SOUK</t>
  </si>
  <si>
    <t>https://crm.infosis.tech/crm/deal/details/4515/</t>
  </si>
  <si>
    <t>http://clientes.infosis-arg.com:8090/pages/viewpage.action?title=JORGE+LUCAS+JALIL_OC&amp;spaceKey=IMP</t>
  </si>
  <si>
    <t>GAZZE JORGE LUIS - ZAATAR</t>
  </si>
  <si>
    <t>https://crm.infosis.tech/crm/deal/details/4407/</t>
  </si>
  <si>
    <t>http://clientes.infosis-arg.com:8090/pages/viewpage.action?title=GAZZE+JORGE+LUIS_OC&amp;spaceKey=IMP</t>
  </si>
  <si>
    <t>EMPRENDIMIENTOS MALAL SA</t>
  </si>
  <si>
    <t>https://crm.infosis.tech/crm/deal/details/4517/</t>
  </si>
  <si>
    <t>http://clientes.infosis-arg.com:8090/pages/viewpage.action?pageId=28049590</t>
  </si>
  <si>
    <t>Todo Re Suelto</t>
  </si>
  <si>
    <t>5 Total: 3 Full + 1 Pos + AVN</t>
  </si>
  <si>
    <t>https://crm.infosis.tech/crm/deal/details/4519/</t>
  </si>
  <si>
    <t>http://clientes.infosis-arg.com:8090/pages/viewpage.action?pageId=28049592</t>
  </si>
  <si>
    <t>Miño y Davila SRL</t>
  </si>
  <si>
    <t>https://crm.infosis.tech/crm/deal/details/4521/</t>
  </si>
  <si>
    <t>http://clientes.infosis-arg.com:8090/pages/viewpage.action?pageId=28049604</t>
  </si>
  <si>
    <t>Victor Gullo SRL</t>
  </si>
  <si>
    <t>Regularización: 2 Pos</t>
  </si>
  <si>
    <t>https://crm.infosis.tech/crm/deal/details/4547/</t>
  </si>
  <si>
    <t>http://clientes.infosis-arg.com:8090/pages/viewpage.action?pageId=28049615</t>
  </si>
  <si>
    <t>Ezequiel Ignacio Lanzavecchia</t>
  </si>
  <si>
    <t>https://crm.infosis.tech/crm/deal/details/4523/</t>
  </si>
  <si>
    <t>http://clientes.infosis-arg.com:8090/pages/viewpage.action?pageId=28049612</t>
  </si>
  <si>
    <t>Pescaderia Santa Barbara</t>
  </si>
  <si>
    <t>7 Total: 4 Full + 2 Pos + AVN</t>
  </si>
  <si>
    <t>https://crm.infosis.tech/crm/deal/details/4525/</t>
  </si>
  <si>
    <t>http://clientes.infosis-arg.com:8090/pages/viewpage.action?pageId=28049608</t>
  </si>
  <si>
    <t>https://crm.infosis.tech/crm/deal/details/4529/</t>
  </si>
  <si>
    <t>http://clientes.infosis-arg.com:8090/pages/viewpage.action?pageId=28049623</t>
  </si>
  <si>
    <t>https://crm.infosis.tech/crm/deal/details/4531/</t>
  </si>
  <si>
    <t>http://clientes.infosis-arg.com:8090/pages/viewpage.action?pageId=28049633</t>
  </si>
  <si>
    <t>Mandarin</t>
  </si>
  <si>
    <t>https://crm.infosis.tech/crm/deal/details/4533/</t>
  </si>
  <si>
    <t>http://clientes.infosis-arg.com:8090/display/IMP/Bazar+Mandarin+SRL+-+4533</t>
  </si>
  <si>
    <t>Quiero Tienda Natural</t>
  </si>
  <si>
    <t>https://crm.infosis.tech/crm/deal/details/4535/</t>
  </si>
  <si>
    <t>http://clientes.infosis-arg.com:8090/pages/viewpage.action?pageId=28049628</t>
  </si>
  <si>
    <t>GRUPO ADAPTAR SA</t>
  </si>
  <si>
    <t>https://crm.infosis.tech/crm/deal/details/4539/</t>
  </si>
  <si>
    <t>http://clientes.infosis-arg.com:8090/pages/viewpage.action?pageId=28049652</t>
  </si>
  <si>
    <t>Ingia</t>
  </si>
  <si>
    <t>2 Pos</t>
  </si>
  <si>
    <t>https://crm.infosis.tech/crm/lead/details/31441/</t>
  </si>
  <si>
    <t>http://clientes.infosis-arg.com:8090/pages/viewpage.action?pageId=28049654</t>
  </si>
  <si>
    <t>BAZAR Y CIA S.A.</t>
  </si>
  <si>
    <t>2 Total. 1 Full + 1 Pos</t>
  </si>
  <si>
    <t>https://crm.infosis.tech/crm/deal/details/4537/</t>
  </si>
  <si>
    <t>http://clientes.infosis-arg.com:8090/display/IMP/Megamix+-+Bazar+y+Cia+-+Ampl+-+4537</t>
  </si>
  <si>
    <t>Distribuidora Encor</t>
  </si>
  <si>
    <t>https://crm.infosis.tech/crm/deal/details/4543/</t>
  </si>
  <si>
    <t>http://clientes.infosis-arg.com:8090/pages/viewpage.action?pageId=28049644</t>
  </si>
  <si>
    <t>PINTURERIAS LAZARO SA</t>
  </si>
  <si>
    <t>Regularización 6 Pos</t>
  </si>
  <si>
    <t>https://crm.infosis.tech/crm/deal/details/4545/</t>
  </si>
  <si>
    <t>http://clientes.infosis-arg.com:8090/pages/viewpage.action?pageId=28049670</t>
  </si>
  <si>
    <t>Renaul FM</t>
  </si>
  <si>
    <t>https://crm.infosis.tech/crm/deal/details/4293/</t>
  </si>
  <si>
    <t>https://crm.infosis.tech/crm/deal/details/4147/</t>
  </si>
  <si>
    <t>https://crm.infosis.tech/crm/deal/details/4549/</t>
  </si>
  <si>
    <t>http://clientes.infosis-arg.com:8090/pages/viewpage.action?pageId=28049684&amp;moved=true</t>
  </si>
  <si>
    <t>https://crm.infosis.tech/crm/deal/details/4551/</t>
  </si>
  <si>
    <t>http://clientes.infosis-arg.com:8090/pages/viewpage.action?pageId=28049688</t>
  </si>
  <si>
    <t>MARCELO N. MARTÍNEZ ARIAS</t>
  </si>
  <si>
    <t>6 Full + AVN + PCP</t>
  </si>
  <si>
    <t>https://crm.infosis.tech/crm/deal/details/4553/</t>
  </si>
  <si>
    <t>http://clientes.infosis-arg.com:8090/display/IMP/Marcelo+N.+Martinez+Arias_OC</t>
  </si>
  <si>
    <t>GO UNIVERSITARIO ALEM</t>
  </si>
  <si>
    <t>1 Full + 1 Pos</t>
  </si>
  <si>
    <t>https://crm.infosis.tech/crm/deal/details/4559/</t>
  </si>
  <si>
    <t>http://clientes.infosis-arg.com:8090/display/IMP/GO+UNIVERSITARIO+ALEM</t>
  </si>
  <si>
    <t>Tresneco SA</t>
  </si>
  <si>
    <t>https://crm.infosis.tech/crm/deal/details/4567/</t>
  </si>
  <si>
    <t>http://clientes.infosis-arg.com:8090/pages/viewpage.action?pageId=28049699</t>
  </si>
  <si>
    <t>KCE</t>
  </si>
  <si>
    <t>https://crm.infosis.tech/crm/deal/details/4357/</t>
  </si>
  <si>
    <t>Pinturerias Coronado</t>
  </si>
  <si>
    <t>http://clientes.infosis-arg.com:8090/pages/viewpage.action?pageId=28049708</t>
  </si>
  <si>
    <t>NUSA / Zentra</t>
  </si>
  <si>
    <t>https://crm.infosis.tech/crm/deal/details/4571/</t>
  </si>
  <si>
    <t>http://clientes.infosis-arg.com:8090/pages/viewpage.action?pageId=28049720</t>
  </si>
  <si>
    <t>Distribuidora Jade Takem S.A.</t>
  </si>
  <si>
    <t>E-commerce I-Shop</t>
  </si>
  <si>
    <t>https://crm.infosis.tech/crm/deal/details/4557/</t>
  </si>
  <si>
    <t>http://clientes.infosis-arg.com:8090/display/IMP/Distribuidora+Jade+Takem+S.A.+-+E-Commerce+ISHOP+ROLLPIX+%234557</t>
  </si>
  <si>
    <t>COLOMBO LEONARDO GABRIEL</t>
  </si>
  <si>
    <t>20-22007018-3</t>
  </si>
  <si>
    <t>Cambio Razón Social</t>
  </si>
  <si>
    <t>https://crm.infosis.tech/crm/deal/details/4573/</t>
  </si>
  <si>
    <t>http://clientes.infosis-arg.com:8090/pages/viewpage.action?pageId=28049723</t>
  </si>
  <si>
    <t>https://crm.infosis.tech/crm/lead/details/31905/</t>
  </si>
  <si>
    <t>http://clientes.infosis-arg.com:8090/pages/viewpage.action?pageId=28049731</t>
  </si>
  <si>
    <t>MANZO GUILLERMO CLAUDIO</t>
  </si>
  <si>
    <t>https://crm.infosis.tech/crm/deal/details/4575/</t>
  </si>
  <si>
    <t>http://clientes.infosis-arg.com:8090/pages/viewpage.action?pageId=28049736</t>
  </si>
  <si>
    <t>https://crm.infosis.tech/crm/deal/details/4577/</t>
  </si>
  <si>
    <t>http://clientes.infosis-arg.com:8090/pages/viewpage.action?pageId=28049725</t>
  </si>
  <si>
    <t>Amplia 1 Full</t>
  </si>
  <si>
    <t>https://crm.infosis.tech/crm/lead/details/31679/</t>
  </si>
  <si>
    <t>http://clientes.infosis-arg.com:8090/pages/viewpage.action?pageId=28049738</t>
  </si>
  <si>
    <t>GIRGOLAS DE LA GRANJA SS</t>
  </si>
  <si>
    <t>https://crm.infosis.tech/crm/deal/details/4581/</t>
  </si>
  <si>
    <t>http://clientes.infosis-arg.com:8090/display/IMP/GIRGOLAS+DE+LA+GRANJA+SS</t>
  </si>
  <si>
    <t>No Cualquier Verdura</t>
  </si>
  <si>
    <t>https://crm.infosis.tech/crm/lead/details/30427/</t>
  </si>
  <si>
    <t>http://clientes.infosis-arg.com:8090/pages/viewpage.action?pageId=28049667</t>
  </si>
  <si>
    <t>REVESTIMIENTOS MODENA</t>
  </si>
  <si>
    <t>3 Full + 3 Pos + AVN</t>
  </si>
  <si>
    <t>https://crm.infosis.tech/crm/deal/details/4607/</t>
  </si>
  <si>
    <t>http://clientes.infosis-arg.com:8090/display/IMP/REVESTIMIENTOS+MODENA+S.+A.+-+PINTURERIAS+MODENA+-+4607</t>
  </si>
  <si>
    <t>https://crm.infosis.tech/crm/deal/details/4397/</t>
  </si>
  <si>
    <t>SAUCO DIEGO GERMAN</t>
  </si>
  <si>
    <t>FELITERE SA</t>
  </si>
  <si>
    <t>5 Full + 4 Pos + AVN + AEC</t>
  </si>
  <si>
    <t>https://crm.infosis.tech/crm/deal/details/4585/</t>
  </si>
  <si>
    <t>http://clientes.infosis-arg.com:8090/display/IMP/FELITERE+ARG+SA+-+GIANTOYS+-+4585</t>
  </si>
  <si>
    <t>5 POS TEMPORADA</t>
  </si>
  <si>
    <t>https://crm.infosis.tech/crm/deal/details/4569/</t>
  </si>
  <si>
    <t>http://clientes.infosis-arg.com:8090/pages/viewpage.action?pageId=28049729</t>
  </si>
  <si>
    <t>TONEL 51 SA</t>
  </si>
  <si>
    <t>https://crm.infosis.tech/crm/deal/details/4609/</t>
  </si>
  <si>
    <t>http://clientes.infosis-arg.com:8090/pages/viewpage.action?pageId=28049787</t>
  </si>
  <si>
    <t>Sendra</t>
  </si>
  <si>
    <t>https://crm.infosis.tech/crm/deal/details/4611/</t>
  </si>
  <si>
    <t>http://clientes.infosis-arg.com:8090/pages/viewpage.action?pageId=28049789</t>
  </si>
  <si>
    <t>Libreria Brandi</t>
  </si>
  <si>
    <t>https://crm.infosis.tech/crm/deal/details/4615/?IFRAME_TYPE=SIDE_SLIDER&amp;any=details%2F4615%2F</t>
  </si>
  <si>
    <t>http://clientes.infosis-arg.com:8090/pages/viewpage.action?pageId=28049785</t>
  </si>
  <si>
    <t>MEGAMIX</t>
  </si>
  <si>
    <t>2 FULL</t>
  </si>
  <si>
    <t>https://crm.infosis.tech/crm/deal/details/4613/</t>
  </si>
  <si>
    <t>http://clientes.infosis-arg.com:8090/display/IMP/Megamix+-+Bazar+y+Cia+-+Ampl+-+4613</t>
  </si>
  <si>
    <t>1 POS</t>
  </si>
  <si>
    <t>https://crm.infosis.tech/crm/deal/details/4617/?IFRAME_TYPE=SIDE_SLIDER&amp;any=details%2F4617%2F</t>
  </si>
  <si>
    <t>http://clientes.infosis-arg.com:8090/pages/viewpage.action?pageId=28049807</t>
  </si>
  <si>
    <t>SEX SHOP SRL</t>
  </si>
  <si>
    <t>https://crm.infosis.tech/crm/deal/details/4601/</t>
  </si>
  <si>
    <t>TOP CLASS</t>
  </si>
  <si>
    <t>https://crm.infosis.tech/crm/deal/details/4311/</t>
  </si>
  <si>
    <t>PINAZO</t>
  </si>
  <si>
    <t>1 FULL</t>
  </si>
  <si>
    <t>https://crm.infosis.tech/crm/deal/details/4619/</t>
  </si>
  <si>
    <t>http://clientes.infosis-arg.com:8090/pages/viewpage.action?pageId=28049809</t>
  </si>
  <si>
    <t>PAINT CAR</t>
  </si>
  <si>
    <t>2 POS</t>
  </si>
  <si>
    <t>https://crm.infosis.tech/crm/lead/details/32437/</t>
  </si>
  <si>
    <t>http://clientes.infosis-arg.com:8090/display/IMP/ARGENTINA+PAINT+CAR+-+Ampl+-+4621</t>
  </si>
  <si>
    <t>FERRETERIA METIZ</t>
  </si>
  <si>
    <t>https://crm.infosis.tech/crm/deal/details/4599/</t>
  </si>
  <si>
    <t>https://crm.infosis.tech/crm/deal/details/4623/</t>
  </si>
  <si>
    <t>http://clientes.infosis-arg.com:8090/pages/viewpage.action?pageId=28049817</t>
  </si>
  <si>
    <t>GC COMERCIAL</t>
  </si>
  <si>
    <t>https://crm.infosis.tech/crm/deal/details/4625/</t>
  </si>
  <si>
    <t>http://clientes.infosis-arg.com:8090/pages/viewpage.action?pageId=28049819</t>
  </si>
  <si>
    <t>JORGE RENE GONZALEZ</t>
  </si>
  <si>
    <t>https://crm.infosis.tech/crm/deal/details/4629/</t>
  </si>
  <si>
    <t>http://clientes.infosis-arg.com:8090/pages/viewpage.action?pageId=28049821</t>
  </si>
  <si>
    <t>VAXEL SA</t>
  </si>
  <si>
    <t>https://crm.infosis.tech/crm/deal/details/4631/</t>
  </si>
  <si>
    <t>http://clientes.infosis-arg.com:8090/pages/viewpage.action?pageId=28049823</t>
  </si>
  <si>
    <t>DISTRIBUIDORA ENCOR</t>
  </si>
  <si>
    <t>https://crm.infosis.tech/crm/deal/details/4633/</t>
  </si>
  <si>
    <t>http://clientes.infosis-arg.com:8090/pages/viewpage.action?pageId=28049826</t>
  </si>
  <si>
    <t>PINTURERIA TOMAS</t>
  </si>
  <si>
    <t>https://crm.infosis.tech/crm/deal/details/4367/</t>
  </si>
  <si>
    <t>JUGUETERIA DEL TOMATE</t>
  </si>
  <si>
    <t>https://crm.infosis.tech/crm/deal/details/4641/</t>
  </si>
  <si>
    <t>http://clientes.infosis-arg.com:8090/pages/viewpage.action?pageId=28049828</t>
  </si>
  <si>
    <t>LOPEZ ARIEL</t>
  </si>
  <si>
    <t>https://crm.infosis.tech/crm/deal/details/4635/</t>
  </si>
  <si>
    <t>http://clientes.infosis-arg.com:8090/pages/viewpage.action?pageId=28049833</t>
  </si>
  <si>
    <t>MARCELO GABRIEL BINI</t>
  </si>
  <si>
    <t>https://crm.infosis.tech/crm/deal/details/4637/</t>
  </si>
  <si>
    <t>http://clientes.infosis-arg.com:8090/pages/viewpage.action?pageId=28049836</t>
  </si>
  <si>
    <t>AMANTES DE LA PLAYA S.A</t>
  </si>
  <si>
    <t>30-71604469-2</t>
  </si>
  <si>
    <t>3 POS</t>
  </si>
  <si>
    <t>https://crm.infosis.tech/crm/deal/details/4643/</t>
  </si>
  <si>
    <t>http://clientes.infosis-arg.com:8090/pages/viewpage.action?pageId=28049845</t>
  </si>
  <si>
    <t>SANTIAGO SILVANA EVANGELINA - PINTURERIA TICHELLIO</t>
  </si>
  <si>
    <t>1 FULL + 2 POS</t>
  </si>
  <si>
    <t>http://clientes.infosis-arg.com:8090/pages/viewpage.action?pageId=28049848</t>
  </si>
  <si>
    <t>https://crm.infosis.com.ar/crm/deal/details/4645/</t>
  </si>
  <si>
    <t>PONCE FABIO ROMAN - MEGA COLOR</t>
  </si>
  <si>
    <t>http://clientes.infosis-arg.com:8090/pages/viewpage.action?pageId=28049850</t>
  </si>
  <si>
    <t>https://crm.infosis.com.ar/crm/deal/details/4647/</t>
  </si>
  <si>
    <t>CRISTALES NORTE S.R.L.</t>
  </si>
  <si>
    <t>Auditoría</t>
  </si>
  <si>
    <t>https://crm.infosis.tech/crm/deal/details/4649/</t>
  </si>
  <si>
    <t>http://clientes.infosis-arg.com:8090/pages/viewpage.action?pageId=28049854</t>
  </si>
  <si>
    <t>PINTURERIA Y FERRETERIA EL SOL SA</t>
  </si>
  <si>
    <t>3 FULL</t>
  </si>
  <si>
    <t>https://crm.infosis.tech/crm/deal/details/4651/</t>
  </si>
  <si>
    <t>http://clientes.infosis-arg.com:8090/pages/viewpage.action?pageId=28049856</t>
  </si>
  <si>
    <t>SCALZO OSVALDO NESTOR</t>
  </si>
  <si>
    <t>https://crm.infosis.tech/crm/deal/details/4653/</t>
  </si>
  <si>
    <t>http://clientes.infosis-arg.com:8090/pages/viewpage.action?pageId=28049860</t>
  </si>
  <si>
    <t>HOMEMADE SRL</t>
  </si>
  <si>
    <t>https://crm.infosis.tech/crm/lead/details/32671/</t>
  </si>
  <si>
    <t>http://clientes.infosis-arg.com:8090/pages/viewpage.action?pageId=28049861</t>
  </si>
  <si>
    <t>TOP CLASS PASTRY</t>
  </si>
  <si>
    <t>2 POS + Hs Desarrollo</t>
  </si>
  <si>
    <t>https://crm.infosis.tech/crm/deal/details/4639/?IFRAME_TYPE=SIDE_SLIDER&amp;any=details%2F4639%2F</t>
  </si>
  <si>
    <t>http://clientes.infosis-arg.com:8090/pages/viewpage.action?pageId=28049840</t>
  </si>
  <si>
    <t>GAMACOR</t>
  </si>
  <si>
    <t>3 FULL + 5 POS</t>
  </si>
  <si>
    <t>https://crm.infosis.tech/crm/deal/details/4657/</t>
  </si>
  <si>
    <t>http://clientes.infosis-arg.com:8090/display/IMP/GAMACOR+S.R.L.+-+%28AMPL%29+4657</t>
  </si>
  <si>
    <t>LA FRANCO HELENICA</t>
  </si>
  <si>
    <t>1 EC</t>
  </si>
  <si>
    <t>NCem - E-mail Marketing</t>
  </si>
  <si>
    <t>https://crm.infosis.tech/crm/deal/details/4663/</t>
  </si>
  <si>
    <t>http://clientes.infosis-arg.com:8090/display/IMP/Amplia+LA+FRANCO+HELENICA+SRL</t>
  </si>
  <si>
    <t>PINTURERIAS DEL CARMEN</t>
  </si>
  <si>
    <t>https://crm.infosis.tech/crm/deal/details/4665/</t>
  </si>
  <si>
    <t>http://clientes.infosis-arg.com:8090/pages/viewpage.action?pageId=28049881</t>
  </si>
  <si>
    <t>MIRNER ORMAN BRIAN D. Y MIRNER ORMAN JOHANNA V. S.H.</t>
  </si>
  <si>
    <t>https://crm.infosis.tech/crm/deal/details/4667/</t>
  </si>
  <si>
    <t>http://clientes.infosis-arg.com:8090/pages/viewpage.action?pageId=28049886</t>
  </si>
  <si>
    <t>MILANO PABLO ALEJANDRO</t>
  </si>
  <si>
    <t>4 POS</t>
  </si>
  <si>
    <t>https://crm.infosis.tech/crm/deal/details/4669/</t>
  </si>
  <si>
    <t>http://clientes.infosis-arg.com:8090/pages/viewpage.action?pageId=28049889</t>
  </si>
  <si>
    <t>DIAZ MATIAS ALEJANDRO</t>
  </si>
  <si>
    <t>1 TCP</t>
  </si>
  <si>
    <t>https://crm.infosis.tech/crm/deal/details/4671/</t>
  </si>
  <si>
    <t>http://clientes.infosis-arg.com:8090/pages/viewpage.action?pageId=28049891</t>
  </si>
  <si>
    <t>NITRO BIKE</t>
  </si>
  <si>
    <t>2 FULL + 2 POS</t>
  </si>
  <si>
    <t>https://crm.infosis.tech/crm/deal/details/4659/</t>
  </si>
  <si>
    <t>http://clientes.infosis-arg.com:8090/pages/viewpage.action?pageId=28049871</t>
  </si>
  <si>
    <t>MORELLI ERIC</t>
  </si>
  <si>
    <t>https://crm.infosis.tech/crm/deal/details/4673/</t>
  </si>
  <si>
    <t>http://clientes.infosis-arg.com:8090/display/IMP/MORELLI+ERIC+ALAN+-+BORDOLI+INSUMOS+Y+HERRAMIENTAS+%28Ampl%29+4673</t>
  </si>
  <si>
    <t>CHRISTIAN HERNAN SANTIAGO</t>
  </si>
  <si>
    <t>https://crm.infosis.tech/crm/deal/details/4627/</t>
  </si>
  <si>
    <t>http://clientes.infosis-arg.com:8090/pages/viewpage.action?pageId=28049897</t>
  </si>
  <si>
    <t>BUTTMAN ARGENTINA</t>
  </si>
  <si>
    <t>https://crm.infosis.tech/crm/deal/details/4675/</t>
  </si>
  <si>
    <t>http://clientes.infosis-arg.com:8090/pages/viewpage.action?pageId=28049900</t>
  </si>
  <si>
    <t>DE BLASIS LUIS S, SEGURA DARIO A, Y COSTA GUSTAVO S.H</t>
  </si>
  <si>
    <t>https://crm.infosis.tech/crm/deal/details/4677/</t>
  </si>
  <si>
    <t>http://clientes.infosis-arg.com:8090/pages/viewpage.action?pageId=28049903</t>
  </si>
  <si>
    <t>PICASSO DECORACIONES S.R.L.</t>
  </si>
  <si>
    <t>https://crm.infosis.tech/crm/deal/details/4687/</t>
  </si>
  <si>
    <t>http://clientes.infosis-arg.com:8090/pages/viewpage.action?pageId=28049906</t>
  </si>
  <si>
    <t>RELUMAR</t>
  </si>
  <si>
    <t>10 FULL</t>
  </si>
  <si>
    <t>https://crm.infosis.tech/crm/lead/details/32847/</t>
  </si>
  <si>
    <t>http://clientes.infosis-arg.com:8090/pages/viewpage.action?pageId=28049911</t>
  </si>
  <si>
    <t>SERRENTINO</t>
  </si>
  <si>
    <t>2 FULL + 3 POS</t>
  </si>
  <si>
    <t>https://crm.infosis.tech/crm/deal/details/4689/</t>
  </si>
  <si>
    <t>http://clientes.infosis-arg.com:8090/pages/editpage.action?pageId=28049908</t>
  </si>
  <si>
    <t>MANDARIN</t>
  </si>
  <si>
    <t>https://crm.infosis.tech/crm/deal/details/4693/</t>
  </si>
  <si>
    <t>http://clientes.infosis-arg.com:8090/display/IMP/Bazar+Mandarin+SRL+-+Ampl+-+4693</t>
  </si>
  <si>
    <t>VELTI</t>
  </si>
  <si>
    <t>5 Full + 3 POS + AVN + AEC</t>
  </si>
  <si>
    <t>https://crm.infosis.tech/crm/deal/details/4695/</t>
  </si>
  <si>
    <t>http://clientes.infosis-arg.com:8090/display/IMP/VELTI+S.A.+4695</t>
  </si>
  <si>
    <t>CAPORASO</t>
  </si>
  <si>
    <t>https://crm.infosis.tech/crm/deal/details/4697/</t>
  </si>
  <si>
    <t>http://clientes.infosis-arg.com:8090/pages/viewpage.action?pageId=28049925</t>
  </si>
  <si>
    <t>BELLA PAZ</t>
  </si>
  <si>
    <t>https://crm.infosis.tech/crm/deal/details/4699/</t>
  </si>
  <si>
    <t>http://clientes.infosis-arg.com:8090/pages/viewpage.action?pageId=28049932</t>
  </si>
  <si>
    <t>ROVETTO GABRIELA ALEJANDRA - WE URBANS</t>
  </si>
  <si>
    <t>https://crm.infosis.tech/crm/deal/details/4703/</t>
  </si>
  <si>
    <t>EQUIPOS COMPACTOS S.R.L.</t>
  </si>
  <si>
    <t>https://crm.infosis.tech/crm/deal/details/4701/</t>
  </si>
  <si>
    <t>http://clientes.infosis-arg.com:8090/pages/viewpage.action?pageId=28049946</t>
  </si>
  <si>
    <t>ELEPHANT DESIGN</t>
  </si>
  <si>
    <t>1 KCE</t>
  </si>
  <si>
    <t>https://crm.infosis.tech/crm/deal/details/4705/</t>
  </si>
  <si>
    <t>http://clientes.infosis-arg.com:8090/pages/viewpage.action?pageId=28049948</t>
  </si>
  <si>
    <t>REPUESTOS YA</t>
  </si>
  <si>
    <t>KCE + PCP + AVN + AEC</t>
  </si>
  <si>
    <t>https://crm.infosis.tech/crm/deal/details/4395/</t>
  </si>
  <si>
    <t>CP S.A. CAÑADA PINTURERIAS</t>
  </si>
  <si>
    <t>5 FULL</t>
  </si>
  <si>
    <t>https://crm.infosis.tech/crm/deal/details/4709/</t>
  </si>
  <si>
    <t>http://clientes.infosis-arg.com:8090/pages/viewpage.action?pageId=28049957</t>
  </si>
  <si>
    <t>LA UNION E HIJOS</t>
  </si>
  <si>
    <t>4 FULL</t>
  </si>
  <si>
    <t>https://crm.infosis.tech/crm/deal/details/4713/</t>
  </si>
  <si>
    <t>http://clientes.infosis-arg.com:8090/pages/viewpage.action?pageId=28049963</t>
  </si>
  <si>
    <t>INSUMOS GASTRONOMICOS DEL PLATA</t>
  </si>
  <si>
    <t>https://crm.infosis.tech/crm/deal/details/4715/</t>
  </si>
  <si>
    <t>http://clientes.infosis-arg.com:8090/display/IMP/INSUMOS+GASTRONOMICOS+DEL+PLATA+S.A.+AMPLIACION</t>
  </si>
  <si>
    <t>MARTIN URIA</t>
  </si>
  <si>
    <t>https://crm.infosis.tech/crm/deal/details/4717/?IFRAME_TYPE=SIDE_SLIDER&amp;any=details%2F4717%2F</t>
  </si>
  <si>
    <t>http://clientes.infosis-arg.com:8090/pages/viewpage.action?pageId=28049978</t>
  </si>
  <si>
    <t>LAVECCHIA SEBASTIAN PABLO</t>
  </si>
  <si>
    <t>https://crm.infosis.tech/crm/deal/details/4711/</t>
  </si>
  <si>
    <t>http://clientes.infosis-arg.com:8090/pages/viewpage.action?pageId=28049961</t>
  </si>
  <si>
    <t>CAÑA CON RUDA</t>
  </si>
  <si>
    <t>https://crm.infosis.tech/crm/deal/details/4719/</t>
  </si>
  <si>
    <t>http://clientes.infosis-arg.com:8090/pages/viewpage.action?pageId=28049972</t>
  </si>
  <si>
    <t>IACONO E HIJOS S.A.</t>
  </si>
  <si>
    <t>https://crm.infosis.tech/crm/deal/details/4721/</t>
  </si>
  <si>
    <t>http://clientes.infosis-arg.com:8090/pages/viewpage.action?pageId=28049982</t>
  </si>
  <si>
    <t>PENELAS LEANDRO EZEQUIEL</t>
  </si>
  <si>
    <t>https://crm.infosis.tech/crm/deal/details/4723/</t>
  </si>
  <si>
    <t>http://clientes.infosis-arg.com:8090/pages/viewpage.action?pageId=28049986</t>
  </si>
  <si>
    <t>BILANCIERI ANDRES GERARDO</t>
  </si>
  <si>
    <t>https://crm.infosis.tech/crm/deal/details/4725/</t>
  </si>
  <si>
    <t>http://clientes.infosis-arg.com:8090/pages/viewpage.action?pageId=28049997</t>
  </si>
  <si>
    <t>RUTENIA</t>
  </si>
  <si>
    <t>1 FULL + 1 POS</t>
  </si>
  <si>
    <t>https://crm.infosis.tech/crm/deal/details/4727/</t>
  </si>
  <si>
    <t>http://clientes.infosis-arg.com:8090/pages/viewpage.action?pageId=28049998</t>
  </si>
  <si>
    <t>SWIBOWICZ PABLO</t>
  </si>
  <si>
    <t>https://crm.infosis.tech/crm/deal/details/4729/</t>
  </si>
  <si>
    <t>http://clientes.infosis-arg.com:8090/pages/editpage.action?pageId=28050000</t>
  </si>
  <si>
    <t>PINTURERIA SENDRA</t>
  </si>
  <si>
    <t>https://crm.infosis.tech/crm/deal/details/4731/</t>
  </si>
  <si>
    <t>http://clientes.infosis-arg.com:8090/pages/viewpage.action?pageId=28050001</t>
  </si>
  <si>
    <t>ROJO GRACIELA TEODORA - INSERIR</t>
  </si>
  <si>
    <t>https://crm.infosis.tech/crm/deal/details/4733/</t>
  </si>
  <si>
    <t>http://clientes.infosis-arg.com:8090/pages/viewpage.action?pageId=28050003</t>
  </si>
  <si>
    <t>CASA MARTÍN DE C. V. MARTÍN Y A. G. MARTÍN</t>
  </si>
  <si>
    <t>https://crm.infosis.tech/crm/deal/details/4737/</t>
  </si>
  <si>
    <t>http://clientes.infosis-arg.com:8090/pages/viewpage.action?pageId=28050009</t>
  </si>
  <si>
    <t>FACUNDO RODRIGUEZ REINOSO</t>
  </si>
  <si>
    <t>https://crm.infosis.tech/crm/deal/details/4471/</t>
  </si>
  <si>
    <t>http://clientes.infosis-arg.com:8090/pages/viewpage.action?pageId=28050011</t>
  </si>
  <si>
    <t>ORGANIZACIÓN ITAR</t>
  </si>
  <si>
    <t>https://crm.infosis.tech/crm/deal/details/4739/</t>
  </si>
  <si>
    <t>ARLEQUINO S.R.L.</t>
  </si>
  <si>
    <t>https://crm.infosis.tech/crm/deal/details/4741/</t>
  </si>
  <si>
    <t>http://clientes.infosis-arg.com:8090/pages/viewpage.action?pageId=28050013</t>
  </si>
  <si>
    <t>CASA FUEGIA</t>
  </si>
  <si>
    <t>NCcom - Campaña Comercial</t>
  </si>
  <si>
    <t>https://crm.infosis.tech/crm/deal/details/4743/</t>
  </si>
  <si>
    <t>http://clientes.infosis-arg.com:8090/pages/viewpage.action?pageId=28050015</t>
  </si>
  <si>
    <t>CENTRO LUJAN SRL</t>
  </si>
  <si>
    <t>https://crm.infosis.tech/crm/deal/details/4745/</t>
  </si>
  <si>
    <t>http://clientes.infosis-arg.com:8090/pages/viewpage.action?pageId=28050017</t>
  </si>
  <si>
    <t>DISTRIBUIDORA JADE TAKEN</t>
  </si>
  <si>
    <t>https://crm.infosis.tech/crm/deal/details/4747/?IFRAME_TYPE=SIDE_SLIDER&amp;any=details%2F4747%2F</t>
  </si>
  <si>
    <t>http://clientes.infosis-arg.com:8090/pages/viewpage.action?pageId=28050019</t>
  </si>
  <si>
    <t>QUIMTEX1</t>
  </si>
  <si>
    <t>2FULL</t>
  </si>
  <si>
    <t>https://crm.infosis.tech/crm/deal/details/4749/</t>
  </si>
  <si>
    <t>http://clientes.infosis-arg.com:8090/pages/viewpage.action?pageId=28050023</t>
  </si>
  <si>
    <t>GOLOSINAS B40</t>
  </si>
  <si>
    <t>https://crm.infosis.tech/crm/deal/details/4605/</t>
  </si>
  <si>
    <t>BOGNANNI MARIANA VERONICA</t>
  </si>
  <si>
    <t>3 TCP</t>
  </si>
  <si>
    <t>https://crm.infosis.tech/crm/deal/details/4751/</t>
  </si>
  <si>
    <t>http://clientes.infosis-arg.com:8090/pages/viewpage.action?pageId=28050027</t>
  </si>
  <si>
    <t>BORO BAHIA SRL</t>
  </si>
  <si>
    <t>https://crm.infosis.tech/crm/deal/details/4753/</t>
  </si>
  <si>
    <t>http://clientes.infosis-arg.com:8090/display/IMP/Amplia+y+regulariza+BORO+BAHIA+SRL</t>
  </si>
  <si>
    <t>https://crm.infosis.tech/crm/deal/details/4755/</t>
  </si>
  <si>
    <t>http://clientes.infosis-arg.com:8090/pages/viewpage.action?pageId=28050032</t>
  </si>
  <si>
    <t>HASSAN MARTIN ALEJANDRO</t>
  </si>
  <si>
    <t>https://crm.infosis.tech/crm/deal/details/4757/</t>
  </si>
  <si>
    <t>http://clientes.infosis-arg.com:8090/pages/viewpage.action?pageId=28050034</t>
  </si>
  <si>
    <t>TINTOMETRICO - ACT</t>
  </si>
  <si>
    <t>https://crm.infosis.tech/crm/deal/details/4759/</t>
  </si>
  <si>
    <t>http://clientes.infosis-arg.com:8090/pages/viewpage.action?pageId=28050036</t>
  </si>
  <si>
    <t>PESQUERA DEL ESTE SA</t>
  </si>
  <si>
    <t>https://crm.infosis.tech/crm/deal/details/4761/</t>
  </si>
  <si>
    <t>http://clientes.infosis-arg.com:8090/pages/viewpage.action?pageId=28050039</t>
  </si>
  <si>
    <t>TIRIBELLI AGUSTIN F</t>
  </si>
  <si>
    <t>https://crm.infosis.tech/crm/deal/details/4661/</t>
  </si>
  <si>
    <t>http://clientes.infosis-arg.com:8090/display/IMP/AMPLIA+TIRIBELLI+AGUSTIN+F</t>
  </si>
  <si>
    <t>ELECTROPLAZA DM</t>
  </si>
  <si>
    <t>https://crm.infosis.tech/crm/deal/details/4763/</t>
  </si>
  <si>
    <t>http://clientes.infosis-arg.com:8090/pages/viewpage.action?pageId=28050043</t>
  </si>
  <si>
    <t>ULTRACOLOR</t>
  </si>
  <si>
    <t>https://crm.infosis.tech/crm/deal/details/4423/</t>
  </si>
  <si>
    <t>TIENDA LOLOS SRL</t>
  </si>
  <si>
    <t>https://crm.infosis.tech/crm/deal/details/4603/</t>
  </si>
  <si>
    <t>MARKIN SANTIAGO MATIAS</t>
  </si>
  <si>
    <t>https://crm.infosis.tech/crm/deal/details/4765/</t>
  </si>
  <si>
    <t>http://clientes.infosis-arg.com:8090/pages/viewpage.action?pageId=28050047</t>
  </si>
  <si>
    <t>ORTIZ JUAN CRUZ</t>
  </si>
  <si>
    <t>https://crm.infosis.tech/crm/deal/details/4467/</t>
  </si>
  <si>
    <t>ELECTRO STOCK SA</t>
  </si>
  <si>
    <t>https://crm.infosis.tech/crm/deal/details/4771/</t>
  </si>
  <si>
    <t>http://clientes.infosis-arg.com:8090/pages/viewpage.action?pageId=28050053</t>
  </si>
  <si>
    <t>GODOY ALFREDO MARIO</t>
  </si>
  <si>
    <t>https://crm.infosis.tech/crm/deal/details/4773/</t>
  </si>
  <si>
    <t>http://clientes.infosis-arg.com:8090/display/IMP/Amplia+y+regulariza+GODOY+ALFREDO+MARIO</t>
  </si>
  <si>
    <t>GUALFATT</t>
  </si>
  <si>
    <t>1 Full + 1 POS</t>
  </si>
  <si>
    <t>https://crm.infosis.tech/crm/deal/details/4775/</t>
  </si>
  <si>
    <t>http://clientes.infosis-arg.com:8090/pages/viewpage.action?pageId=28050058</t>
  </si>
  <si>
    <t>SOLDASUR</t>
  </si>
  <si>
    <t>https://crm.infosis.tech/crm/lead/details/33309/</t>
  </si>
  <si>
    <t>http://clientes.infosis-arg.com:8090/pages/viewpage.action?pageId=28050064</t>
  </si>
  <si>
    <t>https://crm.infosis.tech/crm/deal/details/4509/</t>
  </si>
  <si>
    <t>FIRPO LUIS ALBERTO</t>
  </si>
  <si>
    <t>https://crm.infosis.tech/crm/deal/details/4781/</t>
  </si>
  <si>
    <t>http://clientes.infosis-arg.com:8090/pages/viewpage.action?pageId=28050069</t>
  </si>
  <si>
    <t>ONE ART ARGENTINA S.A.S.</t>
  </si>
  <si>
    <t>https://crm.infosis.tech/crm/deal/details/4783/</t>
  </si>
  <si>
    <t>http://clientes.infosis-arg.com:8090/pages/viewpage.action?pageId=28050073</t>
  </si>
  <si>
    <t>KURABIE DESARROLLOS S.A</t>
  </si>
  <si>
    <t>30-71481649-3</t>
  </si>
  <si>
    <t>https://crm.infosis.tech/crm/deal/details/4785/</t>
  </si>
  <si>
    <t>http://clientes.infosis-arg.com:8090/pages/viewpage.action?pageId=28050075</t>
  </si>
  <si>
    <t>https://crm.infosis.tech/crm/deal/details/4787/</t>
  </si>
  <si>
    <t>http://clientes.infosis-arg.com:8090/pages/viewpage.action?pageId=28050077</t>
  </si>
  <si>
    <t>SURCROPS SRL</t>
  </si>
  <si>
    <t>https://crm.infosis.tech/crm/deal/details/4789/</t>
  </si>
  <si>
    <t>http://clientes.infosis-arg.com:8090/pages/viewpage.action?pageId=28050081</t>
  </si>
  <si>
    <t>LIMPA S.A.</t>
  </si>
  <si>
    <t>https://crm.infosis.tech/crm/deal/details/4791/</t>
  </si>
  <si>
    <t>http://clientes.infosis-arg.com:8090/pages/viewpage.action?pageId=28050083</t>
  </si>
  <si>
    <t>JOSE IGNACIO CASTELLINI</t>
  </si>
  <si>
    <t>https://crm.infosis.tech/crm/deal/details/4793/</t>
  </si>
  <si>
    <t>http://clientes.infosis-arg.com:8090/pages/viewpage.action?pageId=28050085</t>
  </si>
  <si>
    <t>HS DESARROLLO</t>
  </si>
  <si>
    <t>http://clientes.infosis-arg.com:8090/pages/viewpage.action?pageId=28050087</t>
  </si>
  <si>
    <t>PINTURERIAS FIORENTINO</t>
  </si>
  <si>
    <t>https://crm.infosis.tech/crm/deal/details/4795/</t>
  </si>
  <si>
    <t>http://clientes.infosis-arg.com:8090/pages/viewpage.action?pageId=28050093</t>
  </si>
  <si>
    <t>MERCADITO FIT &amp; CO DE LUIS SCAGLIOLA</t>
  </si>
  <si>
    <t>1 FULL, 1 POS, 1 AVN</t>
  </si>
  <si>
    <t>https://crm.infosis.tech/crm/lead/details/33165/</t>
  </si>
  <si>
    <t>http://clientes.infosis-arg.com:8090/pages/viewpage.action?pageId=28050089</t>
  </si>
  <si>
    <t>CAMINO 1</t>
  </si>
  <si>
    <t>1 FULL + 3 POS</t>
  </si>
  <si>
    <t>https://crm.infosis.tech/crm/deal/details/4799/</t>
  </si>
  <si>
    <t>http://clientes.infosis-arg.com:8090/pages/viewpage.action?pageId=28050102</t>
  </si>
  <si>
    <t>MASTRONARDI</t>
  </si>
  <si>
    <t>https://crm.infosis.tech/crm/deal/details/4801/</t>
  </si>
  <si>
    <t>http://clientes.infosis-arg.com:8090/pages/viewpage.action?pageId=28050106</t>
  </si>
  <si>
    <t>https://crm.infosis.tech/crm/deal/details/4803/</t>
  </si>
  <si>
    <t>http://clientes.infosis-arg.com:8090/pages/viewpage.action?pageId=28050113</t>
  </si>
  <si>
    <t>MARCOS COITIÑO EXEQUIEL</t>
  </si>
  <si>
    <t>https://crm.infosis.tech/crm/deal/details/4805/</t>
  </si>
  <si>
    <t>http://clientes.infosis-arg.com:8090/pages/viewpage.action?pageId=28050118</t>
  </si>
  <si>
    <t>GRUPPA 3</t>
  </si>
  <si>
    <t>6 FULL + 3 POS + AVN</t>
  </si>
  <si>
    <t>https://crm.infosis.tech/crm/deal/details/4807/</t>
  </si>
  <si>
    <t>http://clientes.infosis-arg.com:8090/display/IMP/GRUPPA+3+S.R.L.++COLORSHOP+-+4807</t>
  </si>
  <si>
    <t>INDUSTRIAS METALURGICAS LARROQUE</t>
  </si>
  <si>
    <t>https://crm.infosis.tech/crm/deal/details/4809/</t>
  </si>
  <si>
    <t>http://clientes.infosis-arg.com:8090/display/IMP/INDUSTRIAS+METALURGICAS+LARROQUE+SA+AMPLIACION</t>
  </si>
  <si>
    <t>DISTRIBUIDORA AVE</t>
  </si>
  <si>
    <t>4 FULL + 6 POS</t>
  </si>
  <si>
    <t>https://crm.infosis.tech/crm/deal/details/4811/</t>
  </si>
  <si>
    <t>http://clientes.infosis-arg.com:8090/pages/viewpage.action?pageId=28050131</t>
  </si>
  <si>
    <t>MATERIALES IANTOM GROUP SA</t>
  </si>
  <si>
    <t>https://crm.infosis.tech/crm/deal/details/4813/</t>
  </si>
  <si>
    <t>http://clientes.infosis-arg.com:8090/pages/viewpage.action?pageId=28050138</t>
  </si>
  <si>
    <t>EZEQUIEL IGNACIO LANZAVECCHIA</t>
  </si>
  <si>
    <t>https://crm.infosis.tech/crm/deal/details/4527/</t>
  </si>
  <si>
    <t>https://crm.infosis.tech/crm/deal/details/4815/</t>
  </si>
  <si>
    <t>http://clientes.infosis-arg.com:8090/pages/viewpage.action?pageId=28050141</t>
  </si>
  <si>
    <t>KONECTA</t>
  </si>
  <si>
    <t>20-37053329-7</t>
  </si>
  <si>
    <t>https://crm.infosis.tech/crm/deal/details/4819/</t>
  </si>
  <si>
    <t>http://clientes.infosis-arg.com:8090/pages/viewpage.action?pageId=28050145</t>
  </si>
  <si>
    <t>30-68996956-5</t>
  </si>
  <si>
    <t>https://crm.infosis.tech/crm/deal/details/4821/</t>
  </si>
  <si>
    <t>http://clientes.infosis-arg.com:8090/pages/viewpage.action?pageId=28050151</t>
  </si>
  <si>
    <t>GO UNIVERSITARIO ALEM - LUCAS CAMPISI</t>
  </si>
  <si>
    <t>33-71655223-9</t>
  </si>
  <si>
    <t>1 FULL + 3 POS + AVN</t>
  </si>
  <si>
    <t>https://crm.infosis.tech/crm/deal/details/4823/</t>
  </si>
  <si>
    <t>http://clientes.infosis-arg.com:8090/display/IMP/Amplia+GO+UNIVERSITARIO+ALEM</t>
  </si>
  <si>
    <t>ALACAHAN NADIN FILORISA</t>
  </si>
  <si>
    <t>27-92036053-5</t>
  </si>
  <si>
    <t>https://crm.infosis.tech/crm/deal/details/4825/</t>
  </si>
  <si>
    <t>http://clientes.infosis-arg.com:8090/pages/viewpage.action?pageId=28050156</t>
  </si>
  <si>
    <t>30-57230920-3</t>
  </si>
  <si>
    <t>https://crm.infosis.tech/crm/deal/details/4827/</t>
  </si>
  <si>
    <t>http://clientes.infosis-arg.com:8090/pages/viewpage.action?pageId=28050158</t>
  </si>
  <si>
    <t>DEPORVIDA SRL</t>
  </si>
  <si>
    <t>30-70893088-8</t>
  </si>
  <si>
    <t>https://crm.infosis.tech/crm/deal/details/4829/</t>
  </si>
  <si>
    <t>http://clientes.infosis-arg.com:8090/pages/viewpage.action?pageId=2951133</t>
  </si>
  <si>
    <t>GUALTIERI IGNACIO JAVIER</t>
  </si>
  <si>
    <t>20-29173751-0</t>
  </si>
  <si>
    <t>https://crm.infosis.tech/crm/deal/details/4831/</t>
  </si>
  <si>
    <t>http://clientes.infosis-arg.com:8090/pages/viewpage.action?pageId=28050164</t>
  </si>
  <si>
    <t>MAG TECNOLOGIAS SAS</t>
  </si>
  <si>
    <t>30-71647161-2</t>
  </si>
  <si>
    <t>https://crm.infosis.tech/crm/deal/details/4833/</t>
  </si>
  <si>
    <t>http://clientes.infosis-arg.com:8090/pages/viewpage.action?pageId=28050166</t>
  </si>
  <si>
    <t>HUGO OSCAR DAGATTI</t>
  </si>
  <si>
    <t>20-10389713-1</t>
  </si>
  <si>
    <t>https://crm.infosis.tech/crm/deal/details/4595/</t>
  </si>
  <si>
    <t>RUSSO PABLO DAMIAN</t>
  </si>
  <si>
    <t>20-27902546-7</t>
  </si>
  <si>
    <t>CAMBIO DE RAZON SOCIAL</t>
  </si>
  <si>
    <t>https://crm.infosis.tech/crm/deal/details/4835/</t>
  </si>
  <si>
    <t>http://clientes.infosis-arg.com:8090/pages/viewpage.action?pageId=28050174</t>
  </si>
  <si>
    <t>AMSTERDAM SB SAS</t>
  </si>
  <si>
    <t>33-71644285-9</t>
  </si>
  <si>
    <t>https://crm.infosis.tech/crm/deal/details/4597/</t>
  </si>
  <si>
    <t>BSMO SA</t>
  </si>
  <si>
    <t>https://crm.infosis.tech/crm/lead/details/33143/</t>
  </si>
  <si>
    <t>http://clientes.infosis-arg.com:8090/display/IMP/BSMO+SA</t>
  </si>
  <si>
    <t>LA UNION E HIJOS S.R.L.</t>
  </si>
  <si>
    <t>30-70736960-0</t>
  </si>
  <si>
    <t>https://crm.infosis.tech/crm/deal/details/4839/</t>
  </si>
  <si>
    <t>http://clientes.infosis-arg.com:8090/pages/viewpage.action?pageId=28050177</t>
  </si>
  <si>
    <t>DISTRIBUIDORA JADE TAKEM SA</t>
  </si>
  <si>
    <t>30-71112432-9</t>
  </si>
  <si>
    <t>33-71517147-9</t>
  </si>
  <si>
    <t>https://crm.infosis.tech/crm/deal/details/4583/</t>
  </si>
  <si>
    <t>PALLOTTA ANGEL DANIEL</t>
  </si>
  <si>
    <t>20-13340037-1</t>
  </si>
  <si>
    <t>https://crm.infosis.tech/crm/deal/details/4843/</t>
  </si>
  <si>
    <t>http://clientes.infosis-arg.com:8090/pages/viewpage.action?pageId=28050187</t>
  </si>
  <si>
    <t>LONGTAIL SRL</t>
  </si>
  <si>
    <t>30-71703204-3</t>
  </si>
  <si>
    <t>1 FULL + 1 POS + AVN</t>
  </si>
  <si>
    <t>https://crm.infosis.tech/crm/deal/details/4845/</t>
  </si>
  <si>
    <t>http://clientes.infosis-arg.com:8090/display/IMP/LONGTAIL+SRL_OC</t>
  </si>
  <si>
    <t>CASERIANA DEL MAR SA</t>
  </si>
  <si>
    <t>30-71696328-0</t>
  </si>
  <si>
    <t>4 FULL + 1POS + AVN</t>
  </si>
  <si>
    <t>https://crm.infosis.tech/crm/deal/details/4847/</t>
  </si>
  <si>
    <t>http://clientes.infosis-arg.com:8090/pages/viewpage.action?pageId=28050181</t>
  </si>
  <si>
    <t>DARDO TE FIRNOVELLI</t>
  </si>
  <si>
    <t>23-16464726-9</t>
  </si>
  <si>
    <t>https://crm.infosis.tech/crm/deal/details/4849/</t>
  </si>
  <si>
    <t>http://clientes.infosis-arg.com:8090/display/IMP/DARDO+TE+FIORNOVELLI_OC</t>
  </si>
  <si>
    <t>ENRIQUE RAÚL MENA</t>
  </si>
  <si>
    <t>20-16323721-1</t>
  </si>
  <si>
    <t>https://crm.infosis.tech/crm/deal/details/4851/</t>
  </si>
  <si>
    <t>http://clientes.infosis-arg.com:8090/pages/viewpage.action?pageId=28050198</t>
  </si>
  <si>
    <t>FLORENCIA CANILLAS</t>
  </si>
  <si>
    <t>27–30456711-8</t>
  </si>
  <si>
    <t>1 FULL + AVN</t>
  </si>
  <si>
    <t>https://crm.infosis.tech/crm/deal/details/4853/</t>
  </si>
  <si>
    <t>http://clientes.infosis-arg.com:8090/pages/viewpage.action?pageId=28050200</t>
  </si>
  <si>
    <t>LEANDRO JOSE CRISTINO</t>
  </si>
  <si>
    <t>https://crm.infosis.tech/crm/deal/details/4857/</t>
  </si>
  <si>
    <t>http://clientes.infosis-arg.com:8090/pages/viewpage.action?pageId=28050206</t>
  </si>
  <si>
    <t>GARCIA EMILIANO DANIEL</t>
  </si>
  <si>
    <t>20-30862309-3</t>
  </si>
  <si>
    <t>https://crm.infosis.tech/crm/deal/details/4861/</t>
  </si>
  <si>
    <t>http://clientes.infosis-arg.com:8090/pages/viewpage.action?pageId=28050214</t>
  </si>
  <si>
    <t>JTC MAR DEL PLATA, S.A</t>
  </si>
  <si>
    <t>33-71705926-9</t>
  </si>
  <si>
    <t>https://crm.infosis.tech/crm/deal/details/4863/</t>
  </si>
  <si>
    <t>http://clientes.infosis-arg.com:8090/pages/viewpage.action?pageId=28050216</t>
  </si>
  <si>
    <t xml:space="preserve">20-34143854-4 </t>
  </si>
  <si>
    <t>https://crm.infosis.tech/crm/lead/details/32251/</t>
  </si>
  <si>
    <t>http://clientes.infosis-arg.com:8090/pages/viewpage.action?pageId=28050223</t>
  </si>
  <si>
    <t>VICTOR GULLO S.R.L.</t>
  </si>
  <si>
    <t>30-71312420-2</t>
  </si>
  <si>
    <t>https://crm.infosis.tech/crm/deal/details/4867/</t>
  </si>
  <si>
    <t>http://clientes.infosis-arg.com:8090/pages/viewpage.action?pageId=28050227</t>
  </si>
  <si>
    <t>POUSO NORBERTO FABIAN</t>
  </si>
  <si>
    <t>20-17067349-3</t>
  </si>
  <si>
    <t>https://crm.infosis.tech/crm/deal/details/4869/</t>
  </si>
  <si>
    <t>http://clientes.infosis-arg.com:8090/pages/viewpage.action?pageId=28050233</t>
  </si>
  <si>
    <t>https://crm.infosis.tech/crm/deal/details/4871/</t>
  </si>
  <si>
    <t>http://clientes.infosis-arg.com:8090/display/IMP/ADJENA+S.R.L</t>
  </si>
  <si>
    <t>PERFUMERÍA BURGOS S.R.L.</t>
  </si>
  <si>
    <t>30-70862288-1</t>
  </si>
  <si>
    <t>https://crm.infosis.tech/crm/deal/details/4873/</t>
  </si>
  <si>
    <t>http://clientes.infosis-arg.com:8090/pages/viewpage.action?pageId=28050235</t>
  </si>
  <si>
    <t>MAR DEL PLATA HUBSI SA</t>
  </si>
  <si>
    <t>30-70794648-9</t>
  </si>
  <si>
    <t>2 FULL + AVN</t>
  </si>
  <si>
    <t>https://crm.infosis.tech/crm/deal/details/4875/</t>
  </si>
  <si>
    <t>http://clientes.infosis-arg.com:8090/display/IMP/MAR+DEL+PLATA+HUBSI+SA</t>
  </si>
  <si>
    <t>WASINGER ALBANO EZEQUIEL</t>
  </si>
  <si>
    <t>20-26910033-9</t>
  </si>
  <si>
    <t>https://crm.infosis.tech/crm/deal/details/4877/</t>
  </si>
  <si>
    <t>http://clientes.infosis-arg.com:8090/pages/viewpage.action?pageId=28050244</t>
  </si>
  <si>
    <t>ORFALI ALEXIS MIGUEL</t>
  </si>
  <si>
    <t>20-28909938-8</t>
  </si>
  <si>
    <t>https://crm.infosis.com.ar/crm/deal/details/4883/</t>
  </si>
  <si>
    <t>BELEN HECTOR ALCIDES</t>
  </si>
  <si>
    <t>20-299002323-2</t>
  </si>
  <si>
    <t>https://crm.infosis.tech/crm/deal/details/4885/</t>
  </si>
  <si>
    <t>http://clientes.infosis-arg.com:8090/display/IMP/BELEN+HECTOR+ALCIDES_OC</t>
  </si>
  <si>
    <t>BODY &amp; SUIT S.A.S</t>
  </si>
  <si>
    <t>30-71623071-2</t>
  </si>
  <si>
    <t>https://crm.infosis.tech/crm/deal/details/4887/</t>
  </si>
  <si>
    <t>http://clientes.infosis-arg.com:8090/pages/viewpage.action?pageId=28050252</t>
  </si>
  <si>
    <t>30-71234972-3</t>
  </si>
  <si>
    <t>http://clientes.infosis-arg.com:8090/pages/viewpage.action?pageId=28050256</t>
  </si>
  <si>
    <t>https://crm.infosis.com.ar/crm/deal/details/4889/</t>
  </si>
  <si>
    <t>CAMILO MANUEL RODRIGUEZ</t>
  </si>
  <si>
    <t>20-23413285-8</t>
  </si>
  <si>
    <t>https://crm.infosis.com.ar/crm/deal/details/4593/</t>
  </si>
  <si>
    <t>JORGE FLORES E HIJOS S.A.</t>
  </si>
  <si>
    <t>30-56468052-0</t>
  </si>
  <si>
    <t>https://crm.infosis.tech/crm/deal/details/4891/</t>
  </si>
  <si>
    <t>http://clientes.infosis-arg.com:8090/pages/viewpage.action?pageId=28050260</t>
  </si>
  <si>
    <t>RUTENIA SA</t>
  </si>
  <si>
    <t>30-71200330-4</t>
  </si>
  <si>
    <t>1 AEC</t>
  </si>
  <si>
    <t>https://crm.infosis.tech/crm/deal/details/4893/</t>
  </si>
  <si>
    <t>http://clientes.infosis-arg.com:8090/pages/viewpage.action?pageId=28050262</t>
  </si>
  <si>
    <t>30-71580305-0</t>
  </si>
  <si>
    <t>https://crm.infosis.tech/crm/deal/details/4895/</t>
  </si>
  <si>
    <t>http://clientes.infosis-arg.com:8090/pages/viewpage.action?pageId=28050264</t>
  </si>
  <si>
    <t xml:space="preserve">20-93726627-9 </t>
  </si>
  <si>
    <t>https://crm.infosis.tech/crm/deal/details/4913/</t>
  </si>
  <si>
    <t>http://clientes.infosis-arg.com:8090/pages/viewpage.action?pageId=28050267</t>
  </si>
  <si>
    <t>SERVICIOS INTEGRALES CATERING SRL</t>
  </si>
  <si>
    <t>30-71245285-0</t>
  </si>
  <si>
    <t>https://crm.infosis.tech/crm/deal/details/4915/</t>
  </si>
  <si>
    <t>http://clientes.infosis-arg.com:8090/pages/viewpage.action?pageId=28050271</t>
  </si>
  <si>
    <t>BERTOIA CLAUDIO</t>
  </si>
  <si>
    <t>33-71624103-9</t>
  </si>
  <si>
    <t>http://clientes.infosis-arg.com:8090/display/IMP/Bertoia+Claudio+-+Lactiques+-+Ampl+-+4919</t>
  </si>
  <si>
    <t>http://clientes.infosis-arg.com:8090/display/IMP/Bertoia+Claudio+-+Lactiques+-+Ampl+-+4912</t>
  </si>
  <si>
    <t>REVESTIMIENTOS MODENA SA</t>
  </si>
  <si>
    <t>30-71645073-9</t>
  </si>
  <si>
    <t>https://crm.infosis.tech/crm/deal/details/4923/</t>
  </si>
  <si>
    <t>http://clientes.infosis-arg.com:8090/pages/viewpage.action?pageId=28050278</t>
  </si>
  <si>
    <t>FK UHNO S.A.S.</t>
  </si>
  <si>
    <t>30-71580689-0</t>
  </si>
  <si>
    <t>1 FULL  (MIG STARTER)</t>
  </si>
  <si>
    <t>https://crm.infosis.tech/crm/deal/details/4925/</t>
  </si>
  <si>
    <t>http://clientes.infosis-arg.com:8090/pages/viewpage.action?pageId=28050281</t>
  </si>
  <si>
    <t>SN PER-ROS S.A.</t>
  </si>
  <si>
    <t>30-71534738-1</t>
  </si>
  <si>
    <t>https://crm.infosis.tech/crm/deal/details/4927/</t>
  </si>
  <si>
    <t>http://clientes.infosis-arg.com:8090/pages/viewpage.action?pageId=28050285</t>
  </si>
  <si>
    <t>NUEVO GEMA S.A.</t>
  </si>
  <si>
    <t>30-68831651-7</t>
  </si>
  <si>
    <t>https://crm.infosis.tech/crm/deal/details/4929/</t>
  </si>
  <si>
    <t>http://clientes.infosis-arg.com:8090/pages/viewpage.action?pageId=28050288</t>
  </si>
  <si>
    <t>FLEXAS HUGO HORACIO</t>
  </si>
  <si>
    <t xml:space="preserve">27-13180358-9 </t>
  </si>
  <si>
    <t>2 FULL + 3 POS + AVN</t>
  </si>
  <si>
    <t>https://crm.infosis.tech/crm/deal/details/4933/</t>
  </si>
  <si>
    <t>http://clientes.infosis-arg.com:8090/display/IMP/FLEXAS+HUGO+HORACIO</t>
  </si>
  <si>
    <t>AMORIM ISRAELIAN JORGE LUIS</t>
  </si>
  <si>
    <t>20-28987722-4</t>
  </si>
  <si>
    <t>1 FULL (MIG STARTER)</t>
  </si>
  <si>
    <t>https://crm.infosis.tech/crm/deal/details/4935/</t>
  </si>
  <si>
    <t>http://clientes.infosis-arg.com:8090/pages/viewpage.action?pageId=28050292</t>
  </si>
  <si>
    <t>23-16012002-9</t>
  </si>
  <si>
    <t>https://crm.infosis.tech/crm/deal/details/5217/</t>
  </si>
  <si>
    <t>PINTURERIAS DEL FONDO</t>
  </si>
  <si>
    <t>30-64612706-4</t>
  </si>
  <si>
    <t>https://crm.infosis.tech/crm/deal/details/4981/</t>
  </si>
  <si>
    <t>MC PINTURAS</t>
  </si>
  <si>
    <t>30-71428499-8</t>
  </si>
  <si>
    <t>1 FULL + 2 POS + TINTOMETRICO</t>
  </si>
  <si>
    <t>https://crm.infosis.tech/crm/deal/details/5013/</t>
  </si>
  <si>
    <t>RISSO PATRON CARMEN</t>
  </si>
  <si>
    <t>27-27211317-9</t>
  </si>
  <si>
    <t>https://crm.infosis.tech/crm/deal/details/4979/</t>
  </si>
  <si>
    <t>D´ARIA HNOS SAC</t>
  </si>
  <si>
    <t>30-57882169-0</t>
  </si>
  <si>
    <t>https://crm.infosis.tech/crm/deal/details/5021/</t>
  </si>
  <si>
    <t>AULINO RUBEN</t>
  </si>
  <si>
    <t>20-08427556-6</t>
  </si>
  <si>
    <t>1 FULL + 2 POS + AVN</t>
  </si>
  <si>
    <t>https://crm.infosis.tech/crm/deal/details/4993/</t>
  </si>
  <si>
    <t>DEL MONACO MAXIMO</t>
  </si>
  <si>
    <t>20-41185584-9</t>
  </si>
  <si>
    <t>https://crm.infosis.tech/crm/deal/details/5047/</t>
  </si>
  <si>
    <t xml:space="preserve">LAVECCHIA SEBASTIAN PABLO, CASTIGLIA PABLO DAMIAN Y BRIZI GUIDO </t>
  </si>
  <si>
    <t xml:space="preserve">30-71704726-1    </t>
  </si>
  <si>
    <t>1 FULL + MULTIEMPRESA</t>
  </si>
  <si>
    <t>https://crm.infosis.tech/crm/deal/details/5077/</t>
  </si>
  <si>
    <t>DE LEON MEDINA</t>
  </si>
  <si>
    <t>3-70833391-9</t>
  </si>
  <si>
    <t>4 POS + 1 TCP</t>
  </si>
  <si>
    <t>https://crm.infosis.tech/crm/deal/details/5061/</t>
  </si>
  <si>
    <t>CENTRO MAYORISTA DEL LITORAL</t>
  </si>
  <si>
    <t>0-71602305-9</t>
  </si>
  <si>
    <t>https://crm.infosis.tech/crm/deal/details/5063/</t>
  </si>
  <si>
    <t>D.L.M. MISIONES</t>
  </si>
  <si>
    <t>0-71493718-5</t>
  </si>
  <si>
    <t>https://crm.infosis.tech/crm/deal/details/5065/</t>
  </si>
  <si>
    <t>LM LOGISTICA CENTRALIZADA</t>
  </si>
  <si>
    <t>0-71691964-8</t>
  </si>
  <si>
    <t>https://crm.infosis.tech/crm/deal/details/5067/</t>
  </si>
  <si>
    <t>BAZAR Y CIA</t>
  </si>
  <si>
    <t>30-71058761-9</t>
  </si>
  <si>
    <t>https://crm.infosis.tech/crm/deal/details/4917/</t>
  </si>
  <si>
    <t>MAKUS S.R.L.</t>
  </si>
  <si>
    <t>30-71593391-4</t>
  </si>
  <si>
    <t>1 POS BILLAPP</t>
  </si>
  <si>
    <t>https://crm.infosis.tech/crm/deal/details/5096/</t>
  </si>
  <si>
    <t>ITURBE SILVIA ADRIANA</t>
  </si>
  <si>
    <t>27-14501095-6</t>
  </si>
  <si>
    <t>https://crm.infosis.tech/crm/deal/details/5100/</t>
  </si>
  <si>
    <t>PASQUETTI SERGIO</t>
  </si>
  <si>
    <t>20-06142200-6</t>
  </si>
  <si>
    <t>https://crm.infosis.tech/crm/deal/details/5107/</t>
  </si>
  <si>
    <t>ORGANIZACIÓN ITAR S.A.</t>
  </si>
  <si>
    <t>https://crm.infosis.tech/crm/deal/details/5109/</t>
  </si>
  <si>
    <t>BUTTMAN ARGENTINA S.A.</t>
  </si>
  <si>
    <t>30-70853961-5</t>
  </si>
  <si>
    <t>https://crm.infosis.tech/crm/deal/details/5127/</t>
  </si>
  <si>
    <t>INDUGAR S.R.L.</t>
  </si>
  <si>
    <t>30-68290379-8</t>
  </si>
  <si>
    <t>https://crm.infosis.tech/crm/deal/details/5131/</t>
  </si>
  <si>
    <t>PINAZO EMANUEL MATIAS</t>
  </si>
  <si>
    <t>20-37008829-3</t>
  </si>
  <si>
    <t>Digitales</t>
  </si>
  <si>
    <t>https://crm.infosis.tech/crm/deal/details/5135/</t>
  </si>
  <si>
    <t>PABLO DAMIAN RUSSO</t>
  </si>
  <si>
    <t>https://crm.infosis.tech/crm/deal/details/5145/</t>
  </si>
  <si>
    <t>30-71610598-5</t>
  </si>
  <si>
    <t>https://crm.infosis.tech/crm/deal/details/5151/</t>
  </si>
  <si>
    <t>GONZALEZ LUCAS MARTIN</t>
  </si>
  <si>
    <t>23-31367657-9</t>
  </si>
  <si>
    <t>https://crm.infosis.tech/crm/deal/details/5157/</t>
  </si>
  <si>
    <t>30-71665500-4</t>
  </si>
  <si>
    <t>https://crm.infosis.tech/crm/deal/details/5163/</t>
  </si>
  <si>
    <t>ULLUA RUBEN FERNANDO</t>
  </si>
  <si>
    <t>20-18423826-9</t>
  </si>
  <si>
    <t>3 FULL + 1 POS</t>
  </si>
  <si>
    <t>https://crm.infosis.tech/crm/deal/details/5173/</t>
  </si>
  <si>
    <t>DISTRIBUIDORA BLUECHEM</t>
  </si>
  <si>
    <t>30-71518274-9</t>
  </si>
  <si>
    <t>https://crm.infosis.tech/crm/deal/details/5171/</t>
  </si>
  <si>
    <t>BIKE NETWORK</t>
  </si>
  <si>
    <t>6 POS + 2 TCP</t>
  </si>
  <si>
    <t>https://crm.infosis.tech/crm/deal/details/5187/</t>
  </si>
  <si>
    <t>https://crm.infosis.tech/crm/deal/details/5191/</t>
  </si>
  <si>
    <t>DE LEON MEDINA S.R.L</t>
  </si>
  <si>
    <t>33-70833391-9</t>
  </si>
  <si>
    <t>1 API APP</t>
  </si>
  <si>
    <t>https://crm.infosis.tech/crm/deal/details/5193/</t>
  </si>
  <si>
    <t>OTERO RUBEN DANIEL</t>
  </si>
  <si>
    <t>20-12333652-7</t>
  </si>
  <si>
    <t>1 FULL + 1 EC</t>
  </si>
  <si>
    <t>https://crm.infosis.tech/crm/deal/details/5207/</t>
  </si>
  <si>
    <t>COMERCIAL ITALIANA SA</t>
  </si>
  <si>
    <t>30-67580479-2</t>
  </si>
  <si>
    <t>AEC + ISHOP B2C</t>
  </si>
  <si>
    <t>https://crm.infosis.tech/crm/deal/details/5199/</t>
  </si>
  <si>
    <t>https://crm.infosis.tech/crm/deal/details/5225/</t>
  </si>
  <si>
    <t>CHALDU CLAUDIO FERNANDO</t>
  </si>
  <si>
    <t>27-27756895-6</t>
  </si>
  <si>
    <t>https://crm.infosis.tech/crm/deal/details/5233/</t>
  </si>
  <si>
    <t>REVESTIMIENTOS MODENA S.A</t>
  </si>
  <si>
    <t>https://crm.infosis.tech/crm/deal/details/5247/</t>
  </si>
  <si>
    <t>MONTONE S.R.L</t>
  </si>
  <si>
    <t>33-71274200-9</t>
  </si>
  <si>
    <t>https://crm.infosis.tech/crm/deal/details/5255/</t>
  </si>
  <si>
    <t>SOLDASUR S.A</t>
  </si>
  <si>
    <t>30-61299793-0</t>
  </si>
  <si>
    <t>https://crm.infosis.tech/crm/deal/details/5257/</t>
  </si>
  <si>
    <t>https://crm.infosis.tech/crm/deal/details/5251/</t>
  </si>
  <si>
    <t>LA ESTRELLA DE ANTA SRL</t>
  </si>
  <si>
    <t>30-71639864-8</t>
  </si>
  <si>
    <t>https://crm.infosis.tech/crm/deal/details/5273/</t>
  </si>
  <si>
    <t>https://crm.infosis.tech/crm/deal/details/5277/</t>
  </si>
  <si>
    <t>https://crm.infosis.tech/crm/deal/details/5285/</t>
  </si>
  <si>
    <t>OPTIMALL SAS</t>
  </si>
  <si>
    <t>33-71619130-9</t>
  </si>
  <si>
    <t>https://crm.infosis.tech/crm/deal/details/5309/</t>
  </si>
  <si>
    <t>SÁEZ GISEL</t>
  </si>
  <si>
    <t>27-32452004-5</t>
  </si>
  <si>
    <t>https://crm.infosis.tech/crm/deal/details/5311/</t>
  </si>
  <si>
    <t>FUHR LEONARDO EZEQUIEL</t>
  </si>
  <si>
    <t>20-38407172-5</t>
  </si>
  <si>
    <t>https://crm.infosis.tech/crm/deal/details/5313/</t>
  </si>
  <si>
    <t>ZIMMERMANN LEONEL MARIANO</t>
  </si>
  <si>
    <t>20-36399525-0</t>
  </si>
  <si>
    <t>https://crm.infosis.tech/crm/deal/details/5315/</t>
  </si>
  <si>
    <t>DAVILA EMILIO NICOLAS</t>
  </si>
  <si>
    <t>20-27574299-7</t>
  </si>
  <si>
    <t>https://crm.infosis.tech/crm/deal/details/5325/</t>
  </si>
  <si>
    <t>BAZAR MANDARIN</t>
  </si>
  <si>
    <t>2 FULL + 1 POS</t>
  </si>
  <si>
    <t>https://crm.infosis.tech/crm/deal/details/5339/</t>
  </si>
  <si>
    <t>RUNKE NESTOR OSCAR</t>
  </si>
  <si>
    <t>20-42715606-1</t>
  </si>
  <si>
    <t>1 FULL + AVM</t>
  </si>
  <si>
    <t>https://crm.infosis.tech/crm/deal/details/5347/</t>
  </si>
  <si>
    <t>https://crm.infosis.tech/crm/deal/details/5345/</t>
  </si>
  <si>
    <t>7 FULL</t>
  </si>
  <si>
    <t>https://crm.infosis.tech/crm/deal/details/5357/</t>
  </si>
  <si>
    <t>DIEGO FACUNDO ALVAREZ</t>
  </si>
  <si>
    <t>20-27563677-1</t>
  </si>
  <si>
    <t>2 FULL + 2 POS + AVM</t>
  </si>
  <si>
    <t>https://crm.infosis.tech/crm/deal/details/5363/</t>
  </si>
  <si>
    <t>TABAREZ FRANCO LUIS</t>
  </si>
  <si>
    <t>20-29606287-2</t>
  </si>
  <si>
    <t>https://crm.infosis.tech/crm/deal/details/5366/</t>
  </si>
  <si>
    <t>SYPIG SAS</t>
  </si>
  <si>
    <t>30-71662125-8</t>
  </si>
  <si>
    <t>https://crm.infosis.tech/crm/deal/details/5371/</t>
  </si>
  <si>
    <t>STDOMINIC SRL</t>
  </si>
  <si>
    <t>30-71680054-3</t>
  </si>
  <si>
    <t>1 FULL + 1POS + AVM</t>
  </si>
  <si>
    <t>https://crm.infosis.tech/crm/deal/details/5377/</t>
  </si>
  <si>
    <t>DIESEL LOS INCAS S.R.L.</t>
  </si>
  <si>
    <t>30-71623452-1</t>
  </si>
  <si>
    <t>https://crm.infosis.tech/crm/deal/details/5385/</t>
  </si>
  <si>
    <t>https://crm.infosis.tech/crm/deal/details/5397/</t>
  </si>
  <si>
    <t>PINTURAS LUJAN DISTRIBUCIONES S.R.L</t>
  </si>
  <si>
    <t xml:space="preserve">30-70994832-2 </t>
  </si>
  <si>
    <t>https://crm.infosis.tech/crm/deal/details/5391/</t>
  </si>
  <si>
    <t>27-30456711-8</t>
  </si>
  <si>
    <t>https://crm.infosis.tech/crm/deal/details/4855/</t>
  </si>
  <si>
    <t>ELEPHANT DESIGN S.A.S.</t>
  </si>
  <si>
    <t>30-71654528-4</t>
  </si>
  <si>
    <t>https://crm.infosis.tech/crm/deal/details/5411/</t>
  </si>
  <si>
    <t>8 FULL</t>
  </si>
  <si>
    <t>https://crm.infosis.tech/crm/deal/details/5419/</t>
  </si>
  <si>
    <t>DE BLASIS L.S. SEGURA D.A. Y COSTA G.H. S.H.</t>
  </si>
  <si>
    <t>30-71499231-3</t>
  </si>
  <si>
    <t>https://crm.infosis.tech/crm/deal/details/5427/</t>
  </si>
  <si>
    <t>PINTURERIAS LAZARO S.A.</t>
  </si>
  <si>
    <t>30-66603683-9</t>
  </si>
  <si>
    <t>https://crm.infosis.tech/crm/deal/details/5425/</t>
  </si>
  <si>
    <t>BRIOSSO RICARDO AGUSTIN</t>
  </si>
  <si>
    <t>20-29525887-0</t>
  </si>
  <si>
    <t>https://crm.infosis.tech/crm/deal/details/5437/</t>
  </si>
  <si>
    <t>JUAN MARTIN URIA</t>
  </si>
  <si>
    <t>20-13454247-1</t>
  </si>
  <si>
    <t>27 POS</t>
  </si>
  <si>
    <t>https://crm.infosis.tech/crm/deal/details/5441/</t>
  </si>
  <si>
    <t>SANTOS RICARDO ANDRES</t>
  </si>
  <si>
    <t>20-31161136-5</t>
  </si>
  <si>
    <t>https://crm.infosis.tech/crm/deal/details/5449/</t>
  </si>
  <si>
    <t>23-30036336-9</t>
  </si>
  <si>
    <t>https://crm.infosis.tech/crm/deal/details/5453/</t>
  </si>
  <si>
    <t xml:space="preserve">INSUMOS GASTRONÓMICOS DEL PLATA S.A.   </t>
  </si>
  <si>
    <t xml:space="preserve">33-70894708-9 </t>
  </si>
  <si>
    <t>https://crm.infosis.tech/crm/deal/details/5461/</t>
  </si>
  <si>
    <t>https://crm.infosis.tech/crm/deal/details/5465/</t>
  </si>
  <si>
    <t>TURE SA</t>
  </si>
  <si>
    <t>30-70875165-7</t>
  </si>
  <si>
    <t>https://crm.infosis.tech/crm/deal/details/5473/</t>
  </si>
  <si>
    <t>ALTA RAZÓN SOCIAL</t>
  </si>
  <si>
    <t>https://crm.infosis.tech/crm/deal/details/5481/</t>
  </si>
  <si>
    <t>BALEKJIAN CARLINI CLAUDIO DANIEL RAMON</t>
  </si>
  <si>
    <t>20-35656592-5</t>
  </si>
  <si>
    <t>https://crm.infosis.tech/crm/deal/details/5487/</t>
  </si>
  <si>
    <t>GOLOSINAS B40 S.A.S</t>
  </si>
  <si>
    <t>https://crm.infosis.tech/crm/deal/details/5489/</t>
  </si>
  <si>
    <t>CURRÁ ANTONIO</t>
  </si>
  <si>
    <t>20-93664022-3</t>
  </si>
  <si>
    <t>1 FULL + 4 POS</t>
  </si>
  <si>
    <t>https://crm.infosis.tech/crm/deal/details/5491/</t>
  </si>
  <si>
    <t>NORIELI</t>
  </si>
  <si>
    <t>30-58385797-0</t>
  </si>
  <si>
    <t>https://crm.infosis.tech/crm/deal/details/5503/</t>
  </si>
  <si>
    <t>GC COMERCIAL S.R.L.</t>
  </si>
  <si>
    <t>30-71518867-4</t>
  </si>
  <si>
    <t>https://crm.infosis.tech/crm/deal/details/5511/</t>
  </si>
  <si>
    <t>ESCUDERO ROCIO GISELE</t>
  </si>
  <si>
    <t>27-34513894-9</t>
  </si>
  <si>
    <t>https://crm.infosis.tech/crm/deal/details/5517/</t>
  </si>
  <si>
    <t>FERRETERIA DON FEFO</t>
  </si>
  <si>
    <t>30-71713333-8</t>
  </si>
  <si>
    <t>https://crm.infosis.tech/crm/deal/details/5523/</t>
  </si>
  <si>
    <t>https://crm.infosis.tech/crm/deal/details/5531/</t>
  </si>
  <si>
    <t>https://crm.infosis.tech/crm/deal/details/5525/</t>
  </si>
  <si>
    <t>SANCHEZ DIEGO ARIEL</t>
  </si>
  <si>
    <t>20-27159349-0</t>
  </si>
  <si>
    <t>1 FULL + 1 POS + AVM</t>
  </si>
  <si>
    <t>https://crm.infosis.tech/crm/deal/details/5533/</t>
  </si>
  <si>
    <t>FRASCONA LEONARDO HERNAN</t>
  </si>
  <si>
    <t>20-23223133-6</t>
  </si>
  <si>
    <t>https://crm.infosis.tech/crm/deal/details/5547/</t>
  </si>
  <si>
    <t>https://crm.infosis.tech/crm/deal/details/5549/</t>
  </si>
  <si>
    <t>CASADO MATIAS ANDRES</t>
  </si>
  <si>
    <t>20-20332307-8</t>
  </si>
  <si>
    <t>https://crm.infosis.tech/crm/deal/details/5559/</t>
  </si>
  <si>
    <t>GUALFATT SRL</t>
  </si>
  <si>
    <t>30-71114904-6</t>
  </si>
  <si>
    <t>https://crm.infosis.tech/crm/deal/details/5565/</t>
  </si>
  <si>
    <t>SOSA CRISTIAN HERNAN</t>
  </si>
  <si>
    <t>20-23090278-0</t>
  </si>
  <si>
    <t xml:space="preserve">TINTOMETRICO </t>
  </si>
  <si>
    <t>https://crm.infosis.tech/crm/deal/details/5569/</t>
  </si>
  <si>
    <t>https://crm.infosis.tech/crm/deal/details/5589/</t>
  </si>
  <si>
    <t>https://crm.infosis.tech/crm/deal/details/5593/</t>
  </si>
  <si>
    <t>MEIER GERMAN</t>
  </si>
  <si>
    <t>20-29952194-0</t>
  </si>
  <si>
    <t>3 FULL + AVM</t>
  </si>
  <si>
    <t>https://crm.infosis.tech/crm/deal/details/5597/</t>
  </si>
  <si>
    <t>KROMACOLOR PINTURERIAS S.R.L</t>
  </si>
  <si>
    <t>30-71502618-6</t>
  </si>
  <si>
    <t>https://crm.infosis.tech/crm/deal/details/5595/</t>
  </si>
  <si>
    <t>KAL SOCIEDAD DE RESPONSABILIDAD LIMITADA</t>
  </si>
  <si>
    <t>30-71438733-9</t>
  </si>
  <si>
    <t>https://crm.infosis.tech/crm/deal/details/5613/</t>
  </si>
  <si>
    <t>https://crm.infosis.tech/crm/deal/details/5619/</t>
  </si>
  <si>
    <t>LEAL LUIS ESTEBAN</t>
  </si>
  <si>
    <t>20-16315536-3</t>
  </si>
  <si>
    <t>2 FULL + AVM</t>
  </si>
  <si>
    <t>https://crm.infosis.tech/crm/deal/details/5625/</t>
  </si>
  <si>
    <t>CAMINO 1 SRL</t>
  </si>
  <si>
    <t>30-70767417-9</t>
  </si>
  <si>
    <t>https://crm.infosis.tech/crm/deal/details/5631/</t>
  </si>
  <si>
    <t>ACANTTIS SA</t>
  </si>
  <si>
    <t>30-71678815-2</t>
  </si>
  <si>
    <t>https://crm.infosis.tech/crm/deal/details/5637/</t>
  </si>
  <si>
    <t>GOLOSINAS B40 S.A.S.</t>
  </si>
  <si>
    <t>https://crm.infosis.tech/crm/deal/details/5644/</t>
  </si>
  <si>
    <t>BY DECOS S.A.</t>
  </si>
  <si>
    <t>33-71664956-9</t>
  </si>
  <si>
    <t>https://crm.infosis.tech/crm/deal/details/5642/</t>
  </si>
  <si>
    <t>ALTO ARACOELIS S.A</t>
  </si>
  <si>
    <t>30-71500506-5</t>
  </si>
  <si>
    <t>6 TCP</t>
  </si>
  <si>
    <t>https://crm.infosis.tech/crm/deal/details/5650/</t>
  </si>
  <si>
    <t>https://crm.infosis.tech/crm/deal/details/5658/</t>
  </si>
  <si>
    <t>https://crm.infosis.tech/crm/deal/details/5662/</t>
  </si>
  <si>
    <t>ACEROS CAS S.A.</t>
  </si>
  <si>
    <t>30-71420736-5</t>
  </si>
  <si>
    <t>https://crm.infosis.tech/crm/deal/details/5674/</t>
  </si>
  <si>
    <t>PINTURERIAS IMAGEN</t>
  </si>
  <si>
    <t>30-65547034-0</t>
  </si>
  <si>
    <t>13 POS</t>
  </si>
  <si>
    <t>https://crm.infosis.tech/crm/deal/details/5670/</t>
  </si>
  <si>
    <t>DROGUERIA SAN FRANCISCO</t>
  </si>
  <si>
    <t>33-68125608-9</t>
  </si>
  <si>
    <t>https://crm.infosis.tech/crm/deal/details/5686/</t>
  </si>
  <si>
    <t>SANITARIOS JULICAM</t>
  </si>
  <si>
    <t>30-71717346-1</t>
  </si>
  <si>
    <t>https://crm.infosis.tech/crm/deal/details/5690/</t>
  </si>
  <si>
    <t>ASEGURALO PRODUCTORES ASESORES DE SEGUROS</t>
  </si>
  <si>
    <t>30-71673196-7</t>
  </si>
  <si>
    <t>https://crm.infosis.tech/crm/deal/details/5700/</t>
  </si>
  <si>
    <t>RANICO</t>
  </si>
  <si>
    <t>30-71057206-9</t>
  </si>
  <si>
    <t>3 FULL + 2 POS + AVM</t>
  </si>
  <si>
    <t>https://crm.infosis.tech/crm/deal/details/5708/</t>
  </si>
  <si>
    <t>30-71532576-0</t>
  </si>
  <si>
    <t>https://crm.infosis.tech/crm/lead/details/36233/</t>
  </si>
  <si>
    <t>CAVERSASIO FERNANDO ARIEL</t>
  </si>
  <si>
    <t>20-23670971-0</t>
  </si>
  <si>
    <t>3 FULL + 1 AVM</t>
  </si>
  <si>
    <t>https://crm.infosis.tech/crm/deal/details/5714/</t>
  </si>
  <si>
    <t>BURGOLD SA</t>
  </si>
  <si>
    <t>30-70981417-2</t>
  </si>
  <si>
    <t>https://crm.infosis.tech/crm/deal/details/5688/</t>
  </si>
  <si>
    <t>MARTINEZ ARIAS MARCELO NICOLAS</t>
  </si>
  <si>
    <t>20-23855214-2</t>
  </si>
  <si>
    <t>https://crm.infosis.tech/crm/deal/details/5726/</t>
  </si>
  <si>
    <t>KINGBED S.A</t>
  </si>
  <si>
    <t>33-71662754-9</t>
  </si>
  <si>
    <t xml:space="preserve">CAMBIO TITULARIDAD </t>
  </si>
  <si>
    <t>https://crm.infosis.tech/crm/deal/details/5734/</t>
  </si>
  <si>
    <t>IGNACIO MARTIN AIXALA</t>
  </si>
  <si>
    <t>20-29041272-3</t>
  </si>
  <si>
    <t>https://crm.infosis.tech/crm/deal/details/5754/</t>
  </si>
  <si>
    <t>30-71628303-4</t>
  </si>
  <si>
    <t>https://crm.infosis.tech/crm/deal/details/5760/</t>
  </si>
  <si>
    <t>ESTEVEZ GOMEZ OSVALDO LUIS JORGE</t>
  </si>
  <si>
    <t>20-14010322-6</t>
  </si>
  <si>
    <t>https://crm.infosis.tech/crm/deal/details/5762/</t>
  </si>
  <si>
    <t>GANDINI GERMAN RAUL</t>
  </si>
  <si>
    <t>30-70971582-4</t>
  </si>
  <si>
    <t>1 FULL + 2 POS + AVM</t>
  </si>
  <si>
    <t>https://crm.infosis.tech/crm/deal/details/5778/</t>
  </si>
  <si>
    <t>KEYMASTER SRL</t>
  </si>
  <si>
    <t>30-71136305-6</t>
  </si>
  <si>
    <t>https://crm.infosis.tech/crm/deal/details/5788/</t>
  </si>
  <si>
    <t>BORBOTONES PAINT S.A.</t>
  </si>
  <si>
    <t>30-71001384-1</t>
  </si>
  <si>
    <t>ACTUALIZACIÓN TINTOMÉTRICO</t>
  </si>
  <si>
    <t>https://crm.infosis.tech/crm/deal/details/5794/</t>
  </si>
  <si>
    <t>JALIL JORGE LUCAS</t>
  </si>
  <si>
    <t>23-31449744-9</t>
  </si>
  <si>
    <t>ALTA RAZÓN SOCIAL + CAMBIO TITULARIDAD</t>
  </si>
  <si>
    <t>https://crm.infosis.tech/crm/deal/details/5806/</t>
  </si>
  <si>
    <t>11 FULL</t>
  </si>
  <si>
    <t>https://crm.infosis.tech/crm/deal/details/5812/</t>
  </si>
  <si>
    <t>DERECHO S.A.</t>
  </si>
  <si>
    <t>30-67605558-0</t>
  </si>
  <si>
    <t>https://crm.infosis.tech/crm/deal/details/5818/</t>
  </si>
  <si>
    <t>30-71433318-2</t>
  </si>
  <si>
    <t>https://crm.infosis.tech/crm/deal/details/5826/</t>
  </si>
  <si>
    <t xml:space="preserve">1 POS </t>
  </si>
  <si>
    <t>https://crm.infosis.tech/crm/deal/details/5814/</t>
  </si>
  <si>
    <t>https://crm.infosis.tech/crm/deal/details/5834/</t>
  </si>
  <si>
    <t>MASTRA S.R.L.</t>
  </si>
  <si>
    <t xml:space="preserve">33-70066951-9 </t>
  </si>
  <si>
    <t xml:space="preserve">1 FULL + 2 POS </t>
  </si>
  <si>
    <t>https://crm.infosis.tech/crm/deal/details/5836/</t>
  </si>
  <si>
    <t>GONZALEZ JOSE EDUARDO</t>
  </si>
  <si>
    <t>20-29481861-9</t>
  </si>
  <si>
    <t>https://crm.infosis.tech/crm/deal/details/5844/</t>
  </si>
  <si>
    <t>EMPRENDIMIENTO COMERCIAL LEOPOLDA</t>
  </si>
  <si>
    <t>33-71591863-9</t>
  </si>
  <si>
    <t>2 FULL + 1 POS + AC</t>
  </si>
  <si>
    <t>https://crm.infosis.tech/crm/deal/details/5846/</t>
  </si>
  <si>
    <t>PEREZ HUGO ALBERTO</t>
  </si>
  <si>
    <t>20-13152307-7</t>
  </si>
  <si>
    <t>https://crm.infosis.tech/crm/deal/details/5850/</t>
  </si>
  <si>
    <t>LEGEN GRIMPAL SOCIEDAD ANONIMA</t>
  </si>
  <si>
    <t>30-71659884-1</t>
  </si>
  <si>
    <t>1 POS + 1 TCP</t>
  </si>
  <si>
    <t>https://crm.infosis.tech/crm/deal/details/5866/</t>
  </si>
  <si>
    <t>SOLDASUR S.A.</t>
  </si>
  <si>
    <t>https://crm.infosis.tech/crm/deal/details/5872/</t>
  </si>
  <si>
    <t>BRENZHA S.R.L</t>
  </si>
  <si>
    <t>30-71644138-1</t>
  </si>
  <si>
    <t>https://crm.infosis.tech/crm/deal/details/5876/</t>
  </si>
  <si>
    <t>DOS TOROS SRL</t>
  </si>
  <si>
    <t>30-71216228-3</t>
  </si>
  <si>
    <t>https://crm.infosis.tech/crm/deal/details/5888/</t>
  </si>
  <si>
    <t>ELEPHANT DESIGN SAS</t>
  </si>
  <si>
    <t>https://crm.infosis.tech/crm/deal/details/5894/</t>
  </si>
  <si>
    <t>ESTEBAN JUAN MANUEL Y ERCOLANI AGOSTINA S.H.</t>
  </si>
  <si>
    <t>30-71606826-5</t>
  </si>
  <si>
    <t>https://crm.infosis.tech/crm/deal/details/5900/</t>
  </si>
  <si>
    <t>BOSTON CELULAR TECH SRL</t>
  </si>
  <si>
    <t>30-71542018-6</t>
  </si>
  <si>
    <t>1 FULL + 1 POS  + 1 AVM</t>
  </si>
  <si>
    <t>https://crm.infosis.tech/crm/deal/details/5906/</t>
  </si>
  <si>
    <t>ALIMENTACION FD GROUP S.R.L.</t>
  </si>
  <si>
    <t>33-71581544-9</t>
  </si>
  <si>
    <t>https://crm.infosis.tech/crm/deal/details/5912/</t>
  </si>
  <si>
    <t>LAUMA TRELEW S.R.L. + ROMA TRELEW SRL</t>
  </si>
  <si>
    <t>30-71116913-6</t>
  </si>
  <si>
    <t>2 FULL + 8 POS + 3 TCP + 2 AVM</t>
  </si>
  <si>
    <r>
      <rPr>
        <rFont val="Ubuntu"/>
        <color rgb="FF1155CC"/>
        <u/>
      </rPr>
      <t>https://crm.infosis.tech/crm/deal/details/5914/</t>
    </r>
    <r>
      <rPr>
        <rFont val="Ubuntu"/>
      </rPr>
      <t xml:space="preserve">  +  </t>
    </r>
    <r>
      <rPr>
        <rFont val="Ubuntu"/>
        <color rgb="FF1155CC"/>
        <u/>
      </rPr>
      <t>https://crm.infosis.tech/crm/deal/details/5916/</t>
    </r>
  </si>
  <si>
    <t>AGROTRANSPORTE EL DIAMANTE SRL</t>
  </si>
  <si>
    <t>30-71565367-9</t>
  </si>
  <si>
    <t xml:space="preserve">1 FULL </t>
  </si>
  <si>
    <t>https://crm.infosis.tech/crm/deal/details/5958/</t>
  </si>
  <si>
    <t>BLASIS L.S. SEGURA D.A Y COSTA G.H.S.H</t>
  </si>
  <si>
    <t>https://crm.infosis.tech/crm/deal/details/5964/</t>
  </si>
  <si>
    <t>BARRILETE S.A.</t>
  </si>
  <si>
    <t>30-70862989-4</t>
  </si>
  <si>
    <t>https://crm.infosis.tech/crm/deal/details/5968/</t>
  </si>
  <si>
    <t>CUATRO CARNES SRL</t>
  </si>
  <si>
    <t>33-71621542-9</t>
  </si>
  <si>
    <t>2 FULL + 3 POS + AVM</t>
  </si>
  <si>
    <t>https://crm.infosis.tech/crm/deal/details/5976/</t>
  </si>
  <si>
    <t>GC COMERCIAL SRL</t>
  </si>
  <si>
    <t>ALTA RAZÓN SOCIAL + 1 FULL</t>
  </si>
  <si>
    <t>https://crm.infosis.tech/crm/deal/details/5982/</t>
  </si>
  <si>
    <t>AVALOS ESTEBAN MIGUEL</t>
  </si>
  <si>
    <t>20-23360297-4</t>
  </si>
  <si>
    <t>https://crm.infosis.tech/crm/deal/details/5986/</t>
  </si>
  <si>
    <t>SAAD GUSTAVO ALEJANDRO</t>
  </si>
  <si>
    <t>20-25042316-1</t>
  </si>
  <si>
    <t>7 FULL + 27 POS + AVM + PCP</t>
  </si>
  <si>
    <t>https://crm.infosis.tech/crm/deal/details/5984/</t>
  </si>
  <si>
    <t>COOP DE TRABAJO GRAFICA SER BOL LTDA</t>
  </si>
  <si>
    <t>30-71725403-8</t>
  </si>
  <si>
    <t>1 FULL + 1 AVM</t>
  </si>
  <si>
    <t>https://crm.infosis.tech/crm/deal/details/5992/</t>
  </si>
  <si>
    <t>LAZZARO LUCAS MARTIN</t>
  </si>
  <si>
    <t>20-30368879-0</t>
  </si>
  <si>
    <t>https://crm.infosis.tech/crm/deal/details/5998/</t>
  </si>
  <si>
    <t>KARUWA S.A.S.</t>
  </si>
  <si>
    <t>30-71680255-4</t>
  </si>
  <si>
    <t>https://crm.infosis.tech/crm/deal/details/6010/</t>
  </si>
  <si>
    <t>INGIA SRLA</t>
  </si>
  <si>
    <t xml:space="preserve">30-71551353-2 </t>
  </si>
  <si>
    <t>https://crm.infosis.tech/crm/deal/details/6014/</t>
  </si>
  <si>
    <t>https://crm.infosis.tech/crm/deal/details/6016/</t>
  </si>
  <si>
    <t>PINTURERÍAS DEL CARMEN S.A.</t>
  </si>
  <si>
    <t>30-56972401-1</t>
  </si>
  <si>
    <t>https://crm.infosis.tech/crm/deal/details/6026/</t>
  </si>
  <si>
    <t>ROJO GRACIELA TEODORA</t>
  </si>
  <si>
    <t>27-16083913-4</t>
  </si>
  <si>
    <t>ALTA RAZÓN SOCIAL + 1 AVM</t>
  </si>
  <si>
    <t>https://crm.infosis.tech/crm/deal/details/6028/</t>
  </si>
  <si>
    <t>ARIAS MARCELINO RUBEN</t>
  </si>
  <si>
    <t>20-08508266-4</t>
  </si>
  <si>
    <t>https://crm.infosis.tech/crm/deal/details/6032/</t>
  </si>
  <si>
    <t>CAMINO 1 S.R.L.</t>
  </si>
  <si>
    <t>https://crm.infosis.tech/crm/deal/details/6044/</t>
  </si>
  <si>
    <t>https://crm.infosis.tech/crm/deal/details/6060/</t>
  </si>
  <si>
    <t>QUIROGA LUCRECIA ZOE</t>
  </si>
  <si>
    <t>27-40110144-1</t>
  </si>
  <si>
    <t>https://crm.infosis.tech/crm/deal/details/6072/</t>
  </si>
  <si>
    <t>https://crm.infosis.tech/crm/deal/details/6076/</t>
  </si>
  <si>
    <t>https://crm.infosis.tech/crm/deal/details/6082/</t>
  </si>
  <si>
    <t>CAMBIO TITULARIDAD</t>
  </si>
  <si>
    <t>https://crm.infosis.tech/crm/deal/details/6090/</t>
  </si>
  <si>
    <t>PINTURERIAS CAPORASO HNOS</t>
  </si>
  <si>
    <t>30-70850637-7</t>
  </si>
  <si>
    <t>NUEVO TINTOMETRICO</t>
  </si>
  <si>
    <t>https://crm.infosis.tech/crm/deal/details/6092/</t>
  </si>
  <si>
    <t>AVF</t>
  </si>
  <si>
    <t>https://crm.infosis.tech/crm/deal/details/6106/</t>
  </si>
  <si>
    <t>OCCHIUZZI MIGUEL ANGEL</t>
  </si>
  <si>
    <t>20-27037360-8</t>
  </si>
  <si>
    <t>https://crm.infosis.tech/crm/deal/details/6098/</t>
  </si>
  <si>
    <t>https://crm.infosis.tech/crm/deal/details/6114/</t>
  </si>
  <si>
    <t>https://crm.infosis.tech/crm/deal/details/6118/</t>
  </si>
  <si>
    <t>MUÑOZ GERMAN ARIEL</t>
  </si>
  <si>
    <t>20-18908176-7</t>
  </si>
  <si>
    <t>https://crm.infosis.tech/crm/deal/details/6122/</t>
  </si>
  <si>
    <t>https://crm.infosis.tech/crm/deal/details/6132/</t>
  </si>
  <si>
    <t>https://crm.infosis.tech/crm/deal/details/6138/</t>
  </si>
  <si>
    <t>https://crm.infosis.tech/crm/deal/details/6144/</t>
  </si>
  <si>
    <t xml:space="preserve">FREIRE JORGE ELADIO </t>
  </si>
  <si>
    <t>20-11224209-1</t>
  </si>
  <si>
    <t>https://crm.infosis.tech/crm/deal/details/6150/</t>
  </si>
  <si>
    <t>https://crm.infosis.tech/crm/deal/details/6158/</t>
  </si>
  <si>
    <t>https://crm.infosis.tech/crm/deal/details/6156/</t>
  </si>
  <si>
    <t>DARIA HNOS S.A.</t>
  </si>
  <si>
    <t>https://crm.infosis.tech/crm/deal/details/6164/</t>
  </si>
  <si>
    <t>D.V. S.R.L</t>
  </si>
  <si>
    <t>30-71156730-1</t>
  </si>
  <si>
    <t>https://crm.infosis.tech/crm/deal/details/6174/</t>
  </si>
  <si>
    <t>RIVAROLA MARTA FABIANA</t>
  </si>
  <si>
    <t>27-20033523-1</t>
  </si>
  <si>
    <t>https://crm.infosis.tech/crm/deal/details/6180/</t>
  </si>
  <si>
    <t>DAVID NEUMÁTICOS SRL</t>
  </si>
  <si>
    <t>33-69978850-9</t>
  </si>
  <si>
    <t>2 FULL + 1 POS + 1 TCP</t>
  </si>
  <si>
    <t>https://crm.infosis.tech/crm/deal/details/6186/</t>
  </si>
  <si>
    <t>ANDRES MERINO PINTURERIAS</t>
  </si>
  <si>
    <t>30-70859144-7</t>
  </si>
  <si>
    <t>https://crm.infosis.tech/crm/deal/details/6184/</t>
  </si>
  <si>
    <t>30 71518274 9</t>
  </si>
  <si>
    <t>REA PABLO</t>
  </si>
  <si>
    <t>20-31970008-1</t>
  </si>
  <si>
    <t>https://crm.infosis.tech/crm/deal/details/6200/</t>
  </si>
  <si>
    <t xml:space="preserve">1 POS TEMPORADA </t>
  </si>
  <si>
    <t>https://crm.infosis.tech/crm/deal/details/6202/</t>
  </si>
  <si>
    <t>INGIA SRL</t>
  </si>
  <si>
    <t>30-71551353-2</t>
  </si>
  <si>
    <t>https://crm.infosis.tech/crm/deal/details/6222/</t>
  </si>
  <si>
    <t>https://crm.infosis.tech/crm/deal/details/6228/</t>
  </si>
  <si>
    <t>20-30603698-0</t>
  </si>
  <si>
    <t>https://crm.infosis.tech/crm/deal/details/6234/</t>
  </si>
  <si>
    <t>VOLAR S.A.</t>
  </si>
  <si>
    <t>30-70973815-8</t>
  </si>
  <si>
    <t>https://crm.infosis.tech/crm/deal/details/6240/</t>
  </si>
  <si>
    <t>PINTURERIA IMAGEN</t>
  </si>
  <si>
    <t>https://crm.infosis.tech/crm/deal/details/6246/</t>
  </si>
  <si>
    <t>PUBLILED S.R.L.</t>
  </si>
  <si>
    <t>30-71405387-2</t>
  </si>
  <si>
    <t>https://crm.infosis.tech/crm/deal/details/6252/</t>
  </si>
  <si>
    <t>27-24136169-7</t>
  </si>
  <si>
    <t>https://crm.infosis.tech/crm/deal/details/6256/</t>
  </si>
  <si>
    <t>SAENZ PEÑA SRL</t>
  </si>
  <si>
    <t>30-59139416-5</t>
  </si>
  <si>
    <t>https://crm.infosis.tech/crm/deal/details/6264/</t>
  </si>
  <si>
    <t>https://crm.infosis.tech/crm/deal/details/6266/</t>
  </si>
  <si>
    <t>OSTERTAG KAREN</t>
  </si>
  <si>
    <t>27-37032295-9</t>
  </si>
  <si>
    <t>https://crm.infosis.tech/crm/deal/details/6276/</t>
  </si>
  <si>
    <t>https://crm.infosis.tech/crm/deal/details/6280/</t>
  </si>
  <si>
    <t>https://crm.infosis.tech/crm/deal/details/6288/</t>
  </si>
  <si>
    <t>LAUMA TRELEW S.R.L.</t>
  </si>
  <si>
    <t>https://crm.infosis.tech/crm/deal/details/6298/</t>
  </si>
  <si>
    <t>https://crm.infosis.tech/crm/deal/details/6296/</t>
  </si>
  <si>
    <t>EMBALAJES MARPLATENSES</t>
  </si>
  <si>
    <t>30-71560003-6</t>
  </si>
  <si>
    <t>7 FULL + AVM</t>
  </si>
  <si>
    <t>https://crm.infosis.tech/crm/deal/details/6294/</t>
  </si>
  <si>
    <t>https://crm.infosis.tech/crm/deal/details/6310/</t>
  </si>
  <si>
    <t>LUIS ZIMMERMANN Y HERNAN ZIMMERMANN S.H.</t>
  </si>
  <si>
    <t>30-70385661-2</t>
  </si>
  <si>
    <t>https://crm.infosis.tech/crm/deal/details/6324/</t>
  </si>
  <si>
    <t>https://crm.infosis.tech/crm/deal/details/6330/</t>
  </si>
  <si>
    <t>https://crm.infosis.tech/crm/deal/details/6332/</t>
  </si>
  <si>
    <t>RESSIA RODRIGO NICO</t>
  </si>
  <si>
    <t>20-29199918-3</t>
  </si>
  <si>
    <t>https://crm.infosis.tech/crm/deal/details/6338/</t>
  </si>
  <si>
    <t>FEMPRA S.R.L</t>
  </si>
  <si>
    <t>33-71441669-9</t>
  </si>
  <si>
    <t>https://crm.infosis.tech/crm/deal/details/6340/</t>
  </si>
  <si>
    <t>MONTEMARANO CRISTIAN ANDRES</t>
  </si>
  <si>
    <t>23-31438789-9</t>
  </si>
  <si>
    <t>1 FULL + 1 POS + AVM + 1 PCP</t>
  </si>
  <si>
    <t>https://crm.infosis.tech/crm/deal/details/6350/</t>
  </si>
  <si>
    <t>PINTURERIA LAZARO</t>
  </si>
  <si>
    <t>https://crm.infosis.tech/crm/deal/details/6346/</t>
  </si>
  <si>
    <t>30-71627585-6</t>
  </si>
  <si>
    <t>https://crm.infosis.tech/crm/deal/details/6370/</t>
  </si>
  <si>
    <t>MENA ENRIQUE RAUL</t>
  </si>
  <si>
    <t>https://crm.infosis.tech/crm/deal/details/6374/</t>
  </si>
  <si>
    <t>GEZATEK SRL</t>
  </si>
  <si>
    <t>30-71363860-5</t>
  </si>
  <si>
    <t>3 FULL + 5 POS + AVM + AE</t>
  </si>
  <si>
    <t>https://crm.infosis.tech/crm/deal/details/6366/</t>
  </si>
  <si>
    <t>https://crm.infosis.tech/crm/deal/details/6384/</t>
  </si>
  <si>
    <t>BD GROUP S.A. - FARMACIA EL LEON</t>
  </si>
  <si>
    <t>30-71626684-9</t>
  </si>
  <si>
    <t>https://crm.infosis.tech/crm/deal/details/6390/</t>
  </si>
  <si>
    <t>FELITERE ARG SA EN FORMACION</t>
  </si>
  <si>
    <t>27-39338537-0</t>
  </si>
  <si>
    <t>https://crm.infosis.tech/crm/deal/details/6398/</t>
  </si>
  <si>
    <t>MAJLUF HEBE B. Y KEMEL IRMA U. S.H.</t>
  </si>
  <si>
    <t>33-67263277-9</t>
  </si>
  <si>
    <t>https://crm.infosis.tech/crm/deal/details/6404/</t>
  </si>
  <si>
    <t>https://crm.infosis.tech/crm/deal/details/6406/</t>
  </si>
  <si>
    <t>CURRA ANTONIO</t>
  </si>
  <si>
    <t>https://crm.infosis.tech/crm/deal/details/6416</t>
  </si>
  <si>
    <t>FERRETERIA DON FEFO SA</t>
  </si>
  <si>
    <t>https://crm.infosis.tech/crm/deal/details/6422/</t>
  </si>
  <si>
    <t>FG DISTRIBUCIONES S.R.L.</t>
  </si>
  <si>
    <t>30-70987792-1</t>
  </si>
  <si>
    <t>https://crm.infosis.tech/crm/deal/details/6430/</t>
  </si>
  <si>
    <t>https://crm.infosis.tech/crm/deal/details/6436/</t>
  </si>
  <si>
    <t>EMPRENDIMIENTO COMERCIAL LEOPOLDA, S.A</t>
  </si>
  <si>
    <t>https://crm.infosis.tech/crm/deal/details/6442/</t>
  </si>
  <si>
    <t>PINTURERIAS LAZARO S A</t>
  </si>
  <si>
    <t>https://crm.infosis.tech/crm/deal/details/6446/</t>
  </si>
  <si>
    <t>https://crm.infosis.tech/crm/deal/details/6458</t>
  </si>
  <si>
    <t>RB DISTRIBUIDORA BARRERA MARTINEZ S.H.</t>
  </si>
  <si>
    <t>30-70820515-6</t>
  </si>
  <si>
    <t>https://crm.infosis.tech/crm/deal/details/6460</t>
  </si>
  <si>
    <t>LARREA BROKERS S.A.</t>
  </si>
  <si>
    <t>30-71050923-5</t>
  </si>
  <si>
    <t>AVM + ALTA RAZÓN SOCIAL</t>
  </si>
  <si>
    <t>https://crm.infosis.tech/crm/deal/details/6466</t>
  </si>
  <si>
    <t>JTC MAR DEL PLATA S.A</t>
  </si>
  <si>
    <t>https://crm.infosis.tech/crm/deal/details/6472/</t>
  </si>
  <si>
    <t>PINTURERIA DEL FONDO SA</t>
  </si>
  <si>
    <t>https://crm.infosis.tech/crm/deal/details/6482</t>
  </si>
  <si>
    <t>BRENZHA S.R.L.</t>
  </si>
  <si>
    <t>https://crm.infosis.tech/crm/deal/details/6488/</t>
  </si>
  <si>
    <t>https://crm.infosis.tech/crm/deal/details/6494/</t>
  </si>
  <si>
    <t>1 FULL TEMPORADA</t>
  </si>
  <si>
    <t>https://crm.infosis.tech/crm/deal/details/6496/</t>
  </si>
  <si>
    <t>HERRAJES DIAGONAL</t>
  </si>
  <si>
    <t>30-57034034-0</t>
  </si>
  <si>
    <t>1 FULL + 3 POS + AVM</t>
  </si>
  <si>
    <t>https://crm.infosis.tech/crm/deal/details/6506/</t>
  </si>
  <si>
    <t>BEEN DAHAN S.A</t>
  </si>
  <si>
    <t>30-71158968-2</t>
  </si>
  <si>
    <t>3 FULL + 3 POS + AVM</t>
  </si>
  <si>
    <t>https://crm.infosis.tech/crm/deal/details/6512/</t>
  </si>
  <si>
    <t>FARMACIA JUJUY S.A</t>
  </si>
  <si>
    <t>30-71646198-6</t>
  </si>
  <si>
    <t>https://crm.infosis.tech/crm/deal/details/6456/</t>
  </si>
  <si>
    <t>EL BARBY S R L</t>
  </si>
  <si>
    <t>30-69915169-2</t>
  </si>
  <si>
    <t>https://crm.infosis.tech/crm/deal/details/6454/</t>
  </si>
  <si>
    <t>https://crm.infosis.tech/crm/deal/details/6522/</t>
  </si>
  <si>
    <t>AGRO MOTORS</t>
  </si>
  <si>
    <t>30-70737306-3</t>
  </si>
  <si>
    <t>https://crm.infosis.tech/crm/deal/details/6520/</t>
  </si>
  <si>
    <t>https://crm.infosis.tech/crm/deal/details/6538/</t>
  </si>
  <si>
    <t>QUIMICA MAR DEL PLATA S.A.</t>
  </si>
  <si>
    <t>30-59422309-4</t>
  </si>
  <si>
    <t>https://crm.infosis.tech/crm/deal/details/6544/</t>
  </si>
  <si>
    <t>MARIANO CASTAGNI</t>
  </si>
  <si>
    <t>20-31256094-2</t>
  </si>
  <si>
    <t>https://crm.infosis.tech/crm/lead/details/10129/</t>
  </si>
  <si>
    <t>https://crm.infosis.tech/crm/deal/details/6556/</t>
  </si>
  <si>
    <t>EASYCOMMERCE B2C</t>
  </si>
  <si>
    <t>https://crm.infosis.tech/crm/lead/details/38720/</t>
  </si>
  <si>
    <t>1 AVM</t>
  </si>
  <si>
    <t>https://crm.infosis.tech/crm/deal/details/6560/</t>
  </si>
  <si>
    <t>https://crm.infosis.tech/crm/deal/details/6566/</t>
  </si>
  <si>
    <t>INTEGRACIÓN BALCONY - LITE</t>
  </si>
  <si>
    <t>https://crm.infosis.tech/crm/deal/details/6570/</t>
  </si>
  <si>
    <t>LEON ADRIAN GUSTAVO</t>
  </si>
  <si>
    <t>23-23192768-9</t>
  </si>
  <si>
    <t>https://crm.infosis.tech/crm/deal/details/6586/</t>
  </si>
  <si>
    <t>1 POS de TEMPORADA PRI-VE</t>
  </si>
  <si>
    <t>https://crm.infosis.tech/crm/deal/details/6590/</t>
  </si>
  <si>
    <t>https://crm.infosis.tech/crm/deal/details/6592/</t>
  </si>
  <si>
    <t>BY DECOS SAS</t>
  </si>
  <si>
    <t>INTEGRACIÓN BALCONY - PLUS</t>
  </si>
  <si>
    <t>https://crm.infosis.tech/crm/deal/details/6604/</t>
  </si>
  <si>
    <t>SCAGLIOLA LUIS OMAR</t>
  </si>
  <si>
    <t>20-13551498-6</t>
  </si>
  <si>
    <t>https://crm.infosis.tech/crm/deal/details/6610/</t>
  </si>
  <si>
    <t>https://crm.infosis.tech/crm/deal/details/6616/</t>
  </si>
  <si>
    <t>PINTURERIA JORDA S.A.</t>
  </si>
  <si>
    <t>30-71091747-3</t>
  </si>
  <si>
    <t>https://crm.infosis.tech/crm/deal/details/6620/</t>
  </si>
  <si>
    <t>LARRART MARIA LUJAN</t>
  </si>
  <si>
    <t>27-24425833-1</t>
  </si>
  <si>
    <t>https://crm.infosis.tech/crm/deal/details/6628/</t>
  </si>
  <si>
    <t xml:space="preserve">SIMON ILEANA ROSA </t>
  </si>
  <si>
    <t xml:space="preserve">27-17730770-5 </t>
  </si>
  <si>
    <t>https://crm.infosis.tech/crm/deal/details/6634</t>
  </si>
  <si>
    <t>MONTOYA CLARA ALICIA</t>
  </si>
  <si>
    <t>27-13551060-8</t>
  </si>
  <si>
    <t>1 FULL de TEMPORADA PRI-VE</t>
  </si>
  <si>
    <t>https://crm.infosis.tech/crm/deal/details/6638</t>
  </si>
  <si>
    <t>CAMBIO DE TITULARIDAD</t>
  </si>
  <si>
    <t>https://crm.infosis.tech/crm/deal/details/6642/</t>
  </si>
  <si>
    <t>KUBIK ANDREA FABIANA</t>
  </si>
  <si>
    <t>27-20330158-3</t>
  </si>
  <si>
    <t>https://crm.infosis.tech/crm/deal/details/6646/</t>
  </si>
  <si>
    <t>INDUGAR SRL</t>
  </si>
  <si>
    <t>https://crm.infosis.tech/crm/deal/details/6658/</t>
  </si>
  <si>
    <t>INTEGRACIÓN PRODUCTECA - SIGMA</t>
  </si>
  <si>
    <t>https://crm.infosis.tech/crm/deal/details/6660/</t>
  </si>
  <si>
    <t>CASTALDO VALENZUELA MIQUEAS LIONEL</t>
  </si>
  <si>
    <t>20-38851559-8</t>
  </si>
  <si>
    <t>https://crm.infosis.tech/crm/deal/details/6668/</t>
  </si>
  <si>
    <t>GAROZZO FRANCISCO LUIS</t>
  </si>
  <si>
    <t>20-12082232-3</t>
  </si>
  <si>
    <t>https://crm.infosis.tech/crm/deal/details/6680/</t>
  </si>
  <si>
    <t>https://crm.infosis.tech/crm/deal/details/6684</t>
  </si>
  <si>
    <t>https://crm.infosis.tech/crm/deal/details/6692</t>
  </si>
  <si>
    <t>NITRO BIKES S.R.L</t>
  </si>
  <si>
    <t>30-71174465-3</t>
  </si>
  <si>
    <t>https://crm.infosis.tech/crm/deal/details/6698/</t>
  </si>
  <si>
    <t>https://crm.infosis.tech/crm/deal/details/6700/</t>
  </si>
  <si>
    <t>20-31062003-4</t>
  </si>
  <si>
    <t>https://crm.infosis.tech/crm/deal/details/6710/</t>
  </si>
  <si>
    <t>https://crm.infosis.tech/crm/deal/details/6716/</t>
  </si>
  <si>
    <t>MIRADA COMERCIAL S.R.L.</t>
  </si>
  <si>
    <t>30-71715450-5</t>
  </si>
  <si>
    <t>MIGRA ECOM A BALCONY - ULTRA</t>
  </si>
  <si>
    <t>https://crm.infosis.tech/crm/deal/details/6722/</t>
  </si>
  <si>
    <t>FERNÁNDEZ MIGUEL ÁNGEL</t>
  </si>
  <si>
    <t>20-25675225-6</t>
  </si>
  <si>
    <t>https://crm.infosis.tech/crm/deal/details/6728/</t>
  </si>
  <si>
    <t>PROTO S.R.L</t>
  </si>
  <si>
    <t>30-61294309-1</t>
  </si>
  <si>
    <t>https://crm.infosis.tech/crm/deal/details/6732/</t>
  </si>
  <si>
    <t>https://crm.infosis.tech/crm/deal/details/6740/</t>
  </si>
  <si>
    <t>LONG TAIL SRL</t>
  </si>
  <si>
    <t>https://crm.infosis.tech/crm/deal/details/6746/</t>
  </si>
  <si>
    <t>GILES PINTURERIAS Y DECO S. A</t>
  </si>
  <si>
    <t>30-71744899-1</t>
  </si>
  <si>
    <t>2 FULL + 6 POS + AVM</t>
  </si>
  <si>
    <t>https://crm.infosis.tech/crm/deal/details/6752/</t>
  </si>
  <si>
    <t>CATAY MAR DEL PLATA S.A</t>
  </si>
  <si>
    <t>30-71431041-7</t>
  </si>
  <si>
    <t>AVM + ALTA DE RAZON SOCIAL</t>
  </si>
  <si>
    <t>https://crm.infosis.tech/crm/deal/details/6758</t>
  </si>
  <si>
    <t>RINAL S.R.L</t>
  </si>
  <si>
    <t>30-71728325-9</t>
  </si>
  <si>
    <t>https://crm.infosis.tech/crm/deal/details/6760/</t>
  </si>
  <si>
    <t>RUIZ NESTOR ENRIQUE</t>
  </si>
  <si>
    <t>20-37297300-6</t>
  </si>
  <si>
    <t>San Juan</t>
  </si>
  <si>
    <t>https://crm.infosis.tech/crm/deal/details/6770</t>
  </si>
  <si>
    <t>CONTINENTE NEGOCIOS S.R.L.</t>
  </si>
  <si>
    <t>30-71049728-8</t>
  </si>
  <si>
    <t>https://crm.infosis.tech/crm/deal/details/6782/</t>
  </si>
  <si>
    <t>CIVELLI LEO CARLOS JESUS</t>
  </si>
  <si>
    <t>23-92881378-9</t>
  </si>
  <si>
    <t>https://crm.infosis.tech/crm/deal/details/6784/</t>
  </si>
  <si>
    <t>ALTA 2 TINTOMÉTRICOS</t>
  </si>
  <si>
    <t>https://crm.infosis.tech/crm/deal/details/6794/</t>
  </si>
  <si>
    <t>DISTRIBUIDORA JADE TAKEM S.A.</t>
  </si>
  <si>
    <t>30-70854747-2</t>
  </si>
  <si>
    <t>https://crm.infosis.tech/crm/deal/details/6800/</t>
  </si>
  <si>
    <t>INGENIEROS ELECTRÓNICOS ASOCIADOS S.R.L</t>
  </si>
  <si>
    <t>33-62704588-9</t>
  </si>
  <si>
    <t>https://crm.infosis.tech/crm/deal/details/6810/</t>
  </si>
  <si>
    <t>https://crm.infosis.tech/crm/deal/details/6816/</t>
  </si>
  <si>
    <t>https://crm.infosis.tech/crm/deal/details/6822/</t>
  </si>
  <si>
    <t>VICTOR GULLO S.R.L</t>
  </si>
  <si>
    <t>https://crm.infosis.tech/crm/deal/details/6828/</t>
  </si>
  <si>
    <t>20-35816042-6</t>
  </si>
  <si>
    <t>https://crm.infosis.tech/crm/deal/details/6834/</t>
  </si>
  <si>
    <t>https://crm.infosis.tech/crm/deal/details/6840/</t>
  </si>
  <si>
    <t>MODENA PATAGONICA S.R.L</t>
  </si>
  <si>
    <t>30-71736718-5</t>
  </si>
  <si>
    <t>https://crm.infosis.tech/crm/deal/details/6846/</t>
  </si>
  <si>
    <t>https://crm.infosis.tech/crm/deal/details/6928/</t>
  </si>
  <si>
    <t>20-13340037-2</t>
  </si>
  <si>
    <t>https://crm.infosis.tech/crm/deal/details/6924/</t>
  </si>
  <si>
    <t>NUEVO GEMA, S.A</t>
  </si>
  <si>
    <t>API APP</t>
  </si>
  <si>
    <t>https://crm.infosis.tech/crm/deal/details/6852/</t>
  </si>
  <si>
    <t>https://crm.infosis.tech/crm/deal/details/6858/</t>
  </si>
  <si>
    <t>https://crm.infosis.tech/crm/deal/details/6862/</t>
  </si>
  <si>
    <t>INTEGRACIÓN BALCONY - LITE + TIENDA NUBE</t>
  </si>
  <si>
    <t>https://crm.infosis.tech/crm/deal/details/6868/</t>
  </si>
  <si>
    <t>https://crm.infosis.tech/crm/deal/details/6872/</t>
  </si>
  <si>
    <t>MARISA SUSANA REDEL</t>
  </si>
  <si>
    <t>27-26404266-1</t>
  </si>
  <si>
    <t>https://crm.infosis.tech/crm/deal/details/6876/</t>
  </si>
  <si>
    <t>BODY PEL S.R.L.</t>
  </si>
  <si>
    <t>30-70837777-1</t>
  </si>
  <si>
    <t>https://crm.infosis.tech/crm/deal/details/6880/</t>
  </si>
  <si>
    <t>https://crm.infosis.tech/crm/deal/details/6894/</t>
  </si>
  <si>
    <t>PINTURERIAS DEL CIELO</t>
  </si>
  <si>
    <t>30-71746869-0</t>
  </si>
  <si>
    <t>https://crm.infosis.tech/crm/deal/details/6898/</t>
  </si>
  <si>
    <t>MIGRA ECOM A BALCONY - LITE</t>
  </si>
  <si>
    <t>https://crm.infosis.tech/crm/deal/details/6906/</t>
  </si>
  <si>
    <t>20-34143854-4</t>
  </si>
  <si>
    <t>https://crm.infosis.tech/crm/deal/details/6912/</t>
  </si>
  <si>
    <t>https://crm.infosis.tech/crm/deal/details/6936/</t>
  </si>
  <si>
    <t>BAZAR MANDARÍN S.R.L</t>
  </si>
  <si>
    <t>https://crm.infosis.tech/crm/deal/details/6918/</t>
  </si>
  <si>
    <t>FRATE ROBERTO ANIBAL</t>
  </si>
  <si>
    <t xml:space="preserve">20-16435089-5 </t>
  </si>
  <si>
    <t>https://crm.infosis.tech/crm/deal/details/6940/</t>
  </si>
  <si>
    <t>FARMACIA EL LEÓN, S.A</t>
  </si>
  <si>
    <t>30-71185661-3</t>
  </si>
  <si>
    <t>https://crm.infosis.tech/crm/deal/details/6950/</t>
  </si>
  <si>
    <t>FIRE CONTROL, S.R.L</t>
  </si>
  <si>
    <t>33-71676539-9</t>
  </si>
  <si>
    <t>https://crm.infosis.tech/crm/deal/details/6952/</t>
  </si>
  <si>
    <t>CASTELLANI BEVACQUA MELANIE</t>
  </si>
  <si>
    <t>27-33834241-7</t>
  </si>
  <si>
    <t>https://crm.infosis.tech/crm/deal/details/6948/</t>
  </si>
  <si>
    <t xml:space="preserve">VICTOR GULLO S.R.L. </t>
  </si>
  <si>
    <t>https://crm.infosis.tech/crm/deal/details/6966/</t>
  </si>
  <si>
    <t>TROLLI ALICIA ANGELA</t>
  </si>
  <si>
    <t>27-20050746-6</t>
  </si>
  <si>
    <t>https://crm.infosis.tech/crm/deal/details/6972/</t>
  </si>
  <si>
    <t>https://crm.infosis.tech/crm/deal/details/6978/</t>
  </si>
  <si>
    <t>JORGE FLORES E HIJOS S.A</t>
  </si>
  <si>
    <t>https://crm.infosis.tech/crm/deal/details/6982/</t>
  </si>
  <si>
    <t>33-68139816-9</t>
  </si>
  <si>
    <t>https://crm.infosis.tech/crm/deal/details/6990/</t>
  </si>
  <si>
    <t>https://crm.infosis.tech/crm/deal/details/6996/</t>
  </si>
  <si>
    <t>https://crm.infosis.tech/crm/deal/details/6998/</t>
  </si>
  <si>
    <t>https://crm.infosis.tech/crm/deal/details/7004/</t>
  </si>
  <si>
    <t>TALLON TADEO CONCEPCION</t>
  </si>
  <si>
    <t>27-11856699-3</t>
  </si>
  <si>
    <t>6 FULL + 14 POS + AVM + TINTOM</t>
  </si>
  <si>
    <t>https://crm.infosis.tech/crm/deal/details/7014/</t>
  </si>
  <si>
    <t>https://crm.infosis.tech/crm/deal/details/7020/</t>
  </si>
  <si>
    <t>MORAN JOSÉ ROBERTO</t>
  </si>
  <si>
    <t>27-41882441-2</t>
  </si>
  <si>
    <t>https://crm.infosis.tech/crm/deal/details/7026/</t>
  </si>
  <si>
    <t>KOURVELIS S.A</t>
  </si>
  <si>
    <t xml:space="preserve">1 AEC </t>
  </si>
  <si>
    <t>https://crm.infosis.tech/crm/deal/details/7034/</t>
  </si>
  <si>
    <t>20-16435089-5</t>
  </si>
  <si>
    <t>ALTA TINTOMETRICO SHERWIN (HyO)</t>
  </si>
  <si>
    <t>https://crm.infosis.tech/crm/deal/details/7044/</t>
  </si>
  <si>
    <t>MEDINA RODOLFO M. Y MEDINA MARCELO R. S.H.</t>
  </si>
  <si>
    <t>30-71499899-0</t>
  </si>
  <si>
    <t>https://crm.infosis.tech/crm/deal/details/7048/</t>
  </si>
  <si>
    <t>https://crm.infosis.tech/crm/deal/details/7052/</t>
  </si>
  <si>
    <t>IMPORTADORA FUEGUINA SRL</t>
  </si>
  <si>
    <t>30-59326113-8</t>
  </si>
  <si>
    <t>https://crm.infosis.tech/crm/deal/details/7056/</t>
  </si>
  <si>
    <t>CHIAPPERO SILVIA MARISEL</t>
  </si>
  <si>
    <t>27-22394985-7</t>
  </si>
  <si>
    <t>https://crm.infosis.tech/crm/deal/details/7060/</t>
  </si>
  <si>
    <t>https://crm.infosis.tech/crm/deal/details/7070/</t>
  </si>
  <si>
    <t>TECNOSISTEM S.R.L.</t>
  </si>
  <si>
    <t>30-70775946-8</t>
  </si>
  <si>
    <t>https://crm.infosis.tech/crm/deal/details/7084/</t>
  </si>
  <si>
    <t>PRODYSER S.A.</t>
  </si>
  <si>
    <t>30-70839212-6</t>
  </si>
  <si>
    <t>https://crm.infosis.tech/crm/deal/details/7096/</t>
  </si>
  <si>
    <t>ORGANIZACION ITAR</t>
  </si>
  <si>
    <t>https://crm.infosis.tech/crm/deal/details/7100/</t>
  </si>
  <si>
    <t>MORELLI ERIC ALAN</t>
  </si>
  <si>
    <t>20-35426692-0</t>
  </si>
  <si>
    <t>https://crm.infosis.tech/crm/deal/details/7108/</t>
  </si>
  <si>
    <t>20-32765025-5</t>
  </si>
  <si>
    <t>https://crm.infosis.tech/crm/deal/details/7114/</t>
  </si>
  <si>
    <t>https://crm.infosis.tech/crm/deal/details/7120/</t>
  </si>
  <si>
    <t>GOICOECHEA KARINA ELIZABETH</t>
  </si>
  <si>
    <t>27-22695012-0</t>
  </si>
  <si>
    <t>https://crm.infosis.tech/crm/deal/details/7122/</t>
  </si>
  <si>
    <t>RECALADA S. A.</t>
  </si>
  <si>
    <t>30-71754368-4</t>
  </si>
  <si>
    <t>https://crm.infosis.tech/crm/deal/details/7128/</t>
  </si>
  <si>
    <t>PINTURERIAS IMAGEN S.A.</t>
  </si>
  <si>
    <t>https://crm.infosis.tech/crm/deal/details/7136/</t>
  </si>
  <si>
    <t>RELUMAR DISTRIBUIDORA S.R.L.</t>
  </si>
  <si>
    <t>30-69801060-2</t>
  </si>
  <si>
    <t>https://crm.infosis.tech/crm/deal/details/7144/</t>
  </si>
  <si>
    <t>MIGRA ECOM A BALCONY - PLUS</t>
  </si>
  <si>
    <t>https://crm.infosis.tech/crm/deal/details/7156/</t>
  </si>
  <si>
    <t>HERRAJES PATRICIOS SA</t>
  </si>
  <si>
    <t>30-68782966-9</t>
  </si>
  <si>
    <t>https://crm.infosis.tech/crm/deal/details/7162/</t>
  </si>
  <si>
    <t>EMPRENDIMIENTOS RIVERA, S.R.L</t>
  </si>
  <si>
    <t>30-71186207-9</t>
  </si>
  <si>
    <t>MIGRA ECOM A BALCONY - LITE + WOOCOMMERCE</t>
  </si>
  <si>
    <t>https://crm.infosis.tech/crm/deal/details/7166/</t>
  </si>
  <si>
    <t>https://crm.infosis.tech/crm/deal/details/7174/</t>
  </si>
  <si>
    <t>PINTURERIA GIANNONI S.A</t>
  </si>
  <si>
    <t>30-55691769-4</t>
  </si>
  <si>
    <t>https://crm.infosis.tech/crm/deal/details/7178/</t>
  </si>
  <si>
    <t>https://crm.infosis.tech/crm/deal/details/7180/</t>
  </si>
  <si>
    <t>MIGRA ECOM A BALCONY - PLUS + WOOCOMMERCE</t>
  </si>
  <si>
    <t>https://crm.infosis.tech/crm/deal/details/7182/</t>
  </si>
  <si>
    <t>https://crm.infosis.tech/crm/deal/details/7184/</t>
  </si>
  <si>
    <t>https://crm.infosis.tech/crm/deal/details/7186/</t>
  </si>
  <si>
    <t>MIGRA ECOM A BALCONY - PLUS + MERCADO SHOPS</t>
  </si>
  <si>
    <t>https://crm.infosis.tech/crm/deal/details/7210/</t>
  </si>
  <si>
    <t xml:space="preserve">MIGRA ECOM A BALCONY - PLUS </t>
  </si>
  <si>
    <t>https://crm.infosis.tech/crm/deal/details/7216/</t>
  </si>
  <si>
    <t>ASISTENCIA TECNICA INTEGRACION</t>
  </si>
  <si>
    <t>https://crm.infosis.tech/crm/deal/details/7222/</t>
  </si>
  <si>
    <t>PINTURERÍAS MAFER, S.A.</t>
  </si>
  <si>
    <t>30-55354794-2</t>
  </si>
  <si>
    <t>MIGRA ECOM A BALCONY - PLUS + TIENDA NUBE</t>
  </si>
  <si>
    <t>https://crm.infosis.tech/crm/deal/details/7234/</t>
  </si>
  <si>
    <t>VABEGU S.A</t>
  </si>
  <si>
    <t>30-71062028-4</t>
  </si>
  <si>
    <t>https://crm.infosis.tech/crm/deal/details/7238/</t>
  </si>
  <si>
    <t>https://crm.infosis.tech/crm/deal/details/7246/</t>
  </si>
  <si>
    <t>PUBLILED SRL</t>
  </si>
  <si>
    <t>https://crm.infosis.tech/crm/deal/details/7248/</t>
  </si>
  <si>
    <t>VAQUERO NESTOR OSCAR</t>
  </si>
  <si>
    <t>20-17454917-7</t>
  </si>
  <si>
    <t>https://crm.infosis.tech/crm/deal/details/7258/</t>
  </si>
  <si>
    <t>https://crm.infosis.tech/crm/deal/details/7262/</t>
  </si>
  <si>
    <t>https://crm.infosis.tech/crm/deal/details/7264/</t>
  </si>
  <si>
    <t>https://crm.infosis.tech/crm/deal/details/7275/</t>
  </si>
  <si>
    <t>MIGRA ECOM A BALCONY - LITE + TIENDA NUBE</t>
  </si>
  <si>
    <t>https://crm.infosis.tech/crm/deal/details/7278/</t>
  </si>
  <si>
    <t xml:space="preserve">PENELAS LEANDRO EZEQUIEL                                        </t>
  </si>
  <si>
    <t>20-35167008-9</t>
  </si>
  <si>
    <t>2 AEC</t>
  </si>
  <si>
    <t>https://crm.infosis.tech/crm/deal/details/7284/</t>
  </si>
  <si>
    <t>MIGRA ECOM A BALCONY - PLUS + 2 WOOCOMMERCE</t>
  </si>
  <si>
    <t>https://crm.infosis.tech/crm/deal/details/7288/</t>
  </si>
  <si>
    <t>https://crm.infosis.tech/crm/deal/details/7292/</t>
  </si>
  <si>
    <t>https://crm.infosis.tech/crm/deal/details/7296/</t>
  </si>
  <si>
    <t>ALTA RAZÓN SOCIAL + CAMBIO TITULARIDAD (REY JUAN MANUEL)</t>
  </si>
  <si>
    <t>https://crm.infosis.tech/crm/deal/details/7300/</t>
  </si>
  <si>
    <t>TOP CLASS PASTRY, S.R.L</t>
  </si>
  <si>
    <t>30-71587227-3</t>
  </si>
  <si>
    <t>https://crm.infosis.tech/crm/deal/details/7304/</t>
  </si>
  <si>
    <t>https://crm.infosis.tech/crm/deal/details/7308/</t>
  </si>
  <si>
    <t>https://crm.infosis.tech/crm/deal/details/7328/</t>
  </si>
  <si>
    <t>https://crm.infosis.tech/crm/deal/details/7332/</t>
  </si>
  <si>
    <t>https://crm.infosis.tech/crm/deal/details/7336/</t>
  </si>
  <si>
    <t>https://crm.infosis.tech/crm/deal/details/7346/</t>
  </si>
  <si>
    <t>ROMERO MONICA ALEJANDRA</t>
  </si>
  <si>
    <t>27-23865627-9</t>
  </si>
  <si>
    <t>https://crm.infosis.tech/crm/deal/details/7352/</t>
  </si>
  <si>
    <t>COOPERATIVA DE TRABAJO DE LA INDUSTRIA DEL PESCADO ALIMAR LIMITADA</t>
  </si>
  <si>
    <t xml:space="preserve">30-70886478-8 
</t>
  </si>
  <si>
    <t>4 FULL + AVM</t>
  </si>
  <si>
    <t>https://crm.infosis.tech/crm/deal/details/7358/</t>
  </si>
  <si>
    <t>HERRAJES DIAGONAL S A</t>
  </si>
  <si>
    <t>7 FULL + 4 POS</t>
  </si>
  <si>
    <t>https://crm.infosis.tech/crm/deal/details/7366/</t>
  </si>
  <si>
    <t>CORTESINI FERNANDO HORACIO</t>
  </si>
  <si>
    <t xml:space="preserve">20-27781719-6
</t>
  </si>
  <si>
    <t>https://crm.infosis.tech/crm/deal/details/7364/</t>
  </si>
  <si>
    <t xml:space="preserve">FRASCONA LEONARDO HERNAN </t>
  </si>
  <si>
    <t xml:space="preserve">20-23223133-6
</t>
  </si>
  <si>
    <t>https://crm.infosis.tech/crm/deal/details/7362/</t>
  </si>
  <si>
    <t>1 FULL TEMPORADA + 2 POS TEMPORADA</t>
  </si>
  <si>
    <t>https://crm.infosis.tech/crm/deal/details/7380/</t>
  </si>
  <si>
    <t>KROMACOLOR PINTURERIAS SRL</t>
  </si>
  <si>
    <t>https://crm.infosis.tech/crm/deal/details/7436/</t>
  </si>
  <si>
    <t>RODRIGUEZ ALEJO JEREMIAS</t>
  </si>
  <si>
    <t>20-43256040-7</t>
  </si>
  <si>
    <t>https://crm.infosis.tech/crm/deal/details/7446/</t>
  </si>
  <si>
    <t>https://crm.infosis.tech/crm/deal/details/7504/</t>
  </si>
  <si>
    <t xml:space="preserve">MERNOE S.A. </t>
  </si>
  <si>
    <t>30-71688916-1</t>
  </si>
  <si>
    <t>https://crm.infosis.tech/crm/deal/details/7444/</t>
  </si>
  <si>
    <t>https://crm.infosis.tech/crm/deal/details/7540/</t>
  </si>
  <si>
    <t>https://crm.infosis.tech/crm/deal/details/7580/</t>
  </si>
  <si>
    <t>GATTI MARIA DE LAS MERCEDE</t>
  </si>
  <si>
    <t>27-21653358-0</t>
  </si>
  <si>
    <t>https://crm.infosis.tech/crm/deal/details/7584/</t>
  </si>
  <si>
    <t>LOPEZ ARIEL HERNAN</t>
  </si>
  <si>
    <t>20-24314710-8</t>
  </si>
  <si>
    <t>INTEGRACIÒN BALCONY - LITE + TIENDA NUBE</t>
  </si>
  <si>
    <t>https://crm.infosis.tech/crm/deal/details/7620/</t>
  </si>
  <si>
    <t>https://crm.infosis.tech/crm/deal/details/7586/</t>
  </si>
  <si>
    <t>https://crm.infosis.tech/crm/deal/details/7618/</t>
  </si>
  <si>
    <t>CARLOS SILEO S.R.L</t>
  </si>
  <si>
    <t>30-71531117-4</t>
  </si>
  <si>
    <t>1 FULL + 1 POS + AVM + KCE</t>
  </si>
  <si>
    <t>https://crm.infosis.tech/crm/deal/details/7564/</t>
  </si>
  <si>
    <t>5 TCP TEMPORADA (OTO-INV)</t>
  </si>
  <si>
    <t>https://crm.infosis.tech/crm/deal/details/7596/</t>
  </si>
  <si>
    <t>https://crm.infosis.tech/crm/deal/details/7630/</t>
  </si>
  <si>
    <t xml:space="preserve">SÁEZ GISEL </t>
  </si>
  <si>
    <t xml:space="preserve">27-32452004-5
</t>
  </si>
  <si>
    <t>https://crm.infosis.tech/crm/deal/details/7402/</t>
  </si>
  <si>
    <t>BERARDI SA</t>
  </si>
  <si>
    <t>30-70753410-5</t>
  </si>
  <si>
    <t>https://crm.infosis.tech/crm/deal/details/7408/</t>
  </si>
  <si>
    <t xml:space="preserve">ALFONSO GARCIA PATRICIA LUJAN </t>
  </si>
  <si>
    <t>27-26398886-3</t>
  </si>
  <si>
    <t>https://crm.infosis.tech/crm/deal/details/7454/</t>
  </si>
  <si>
    <t>DORREGO MARIANA LAURA</t>
  </si>
  <si>
    <t>27-26849449-4</t>
  </si>
  <si>
    <t>https://crm.infosis.tech/crm/deal/details/7662/</t>
  </si>
  <si>
    <t xml:space="preserve">20-30862309-3
</t>
  </si>
  <si>
    <r>
      <rPr>
        <rFont val="Ubuntu"/>
        <color rgb="FF000000"/>
        <u/>
      </rPr>
      <t xml:space="preserve"> </t>
    </r>
    <r>
      <rPr>
        <rFont val="Ubuntu"/>
        <color rgb="FF000000"/>
        <u/>
      </rPr>
      <t>https://crm.infosis.tech/crm/deal/details/7670/</t>
    </r>
  </si>
  <si>
    <t xml:space="preserve">AIMÁ S.R.L.  </t>
  </si>
  <si>
    <t>https://crm.infosis.tech/crm/deal/details/7602/</t>
  </si>
  <si>
    <t>https://crm.infosis.tech/crm/deal/details/7702/</t>
  </si>
  <si>
    <t>PABLO FLORES</t>
  </si>
  <si>
    <t>20-32243920-3</t>
  </si>
  <si>
    <t>Nadia</t>
  </si>
  <si>
    <t>https://crm.infosis.tech/crm/deal/details/7648/</t>
  </si>
  <si>
    <t>20-32147449-8</t>
  </si>
  <si>
    <t>https://crm.infosis.tech/crm/deal/details/7440/</t>
  </si>
  <si>
    <t>MOYANO SEBASTIAN LEONARDO</t>
  </si>
  <si>
    <t>20-31559103-2</t>
  </si>
  <si>
    <t>https://crm.infosis.tech/crm/deal/details/7624/</t>
  </si>
  <si>
    <t>DAFFRA JORGE RENÉ RICARDO</t>
  </si>
  <si>
    <t>23-08460506-9</t>
  </si>
  <si>
    <t>https://crm.infosis.tech/crm/deal/details/7638/</t>
  </si>
  <si>
    <t>https://crm.infosis.tech/crm/deal/details/7734/</t>
  </si>
  <si>
    <t>ISHOP B2B</t>
  </si>
  <si>
    <t>https://crm.infosis.tech/crm/deal/details/7736/</t>
  </si>
  <si>
    <t>https://crm.infosis.tech/crm/deal/details/7732/</t>
  </si>
  <si>
    <t>https://crm.infosis.tech/crm/deal/details/7784/</t>
  </si>
  <si>
    <t>MONTERO CRISTIAN ARIEL</t>
  </si>
  <si>
    <t>20-28572893-3</t>
  </si>
  <si>
    <t>https://crm.infosis.tech/crm/deal/details/7510/</t>
  </si>
  <si>
    <t>https://crm.infosis.tech/crm/deal/details/7754/</t>
  </si>
  <si>
    <t>EQUIPOS COMPACTOS SRL</t>
  </si>
  <si>
    <t>30-71248011-0</t>
  </si>
  <si>
    <t>https://crm.infosis.tech/crm/deal/details/7810/</t>
  </si>
  <si>
    <t>BORDA SABRINA PAOLA</t>
  </si>
  <si>
    <t>27-32724956-3</t>
  </si>
  <si>
    <t>https://crm.infosis.tech/crm/deal/details/7844/</t>
  </si>
  <si>
    <t>https://crm.infosis.tech/crm/deal/details/7824/</t>
  </si>
  <si>
    <t>GUSTAVO ARTURO SATDJIAN</t>
  </si>
  <si>
    <t>20-24127123-5</t>
  </si>
  <si>
    <t>2 FULL + 4 POS + AVM + KCE + AEC</t>
  </si>
  <si>
    <t>https://crm.infosis.tech/crm/deal/details/7820/</t>
  </si>
  <si>
    <t>INTEGRACIÒN BALCONY - PLUS + TIENDA NUBE</t>
  </si>
  <si>
    <t>https://crm.infosis.tech/crm/deal/details/7880/</t>
  </si>
  <si>
    <t>https://crm.infosis.tech/crm/deal/details/7868/</t>
  </si>
  <si>
    <t>2 POS TEMPORADA (OTO-INV)</t>
  </si>
  <si>
    <t>https://crm.infosis.tech/crm/deal/details/7828/</t>
  </si>
  <si>
    <t>https://crm.infosis.tech/crm/deal/details/7842/</t>
  </si>
  <si>
    <t>USUARIO ADICIONAL ECOMMERCE BALCONY</t>
  </si>
  <si>
    <t>https://crm.infosis.tech/crm/deal/details/7748/</t>
  </si>
  <si>
    <t>https://crm.infosis.tech/crm/deal/details/7930/</t>
  </si>
  <si>
    <t>https://crm.infosis.tech/crm/deal/details/7928/</t>
  </si>
  <si>
    <t>https://crm.infosis.tech/crm/deal/details/7848/</t>
  </si>
  <si>
    <t>https://crm.infosis.tech/crm/deal/details/7908/</t>
  </si>
  <si>
    <t xml:space="preserve">BARBERO MIGUEL ANGEL  </t>
  </si>
  <si>
    <t xml:space="preserve">20-13696547-7
</t>
  </si>
  <si>
    <t xml:space="preserve"> https://crm.infosis.tech/crm/deal/details/7600/ </t>
  </si>
  <si>
    <t>EL</t>
  </si>
  <si>
    <t>20-93726627-9</t>
  </si>
  <si>
    <t>https://crm.infosis.tech/crm/deal/details/7940/</t>
  </si>
  <si>
    <t>CANDAMIO FAVIO HERNAN</t>
  </si>
  <si>
    <t xml:space="preserve">20-355606737-4
</t>
  </si>
  <si>
    <t>https://crm.infosis.tech/crm/deal/details/7852/</t>
  </si>
  <si>
    <t>KATAGURUMA S. A.</t>
  </si>
  <si>
    <t xml:space="preserve">30-71751701-2
</t>
  </si>
  <si>
    <t>https://crm.infosis.tech/crm/deal/details/7878/</t>
  </si>
  <si>
    <t xml:space="preserve">TEXTIL MCM S.R.L. </t>
  </si>
  <si>
    <t>33-71703545-9</t>
  </si>
  <si>
    <t>ALTA DE NUEVA RAZÓN SOCIAL Y CAMBIO DE TITULARIDAD</t>
  </si>
  <si>
    <t>https://crm.infosis.tech/crm/deal/details/7968/</t>
  </si>
  <si>
    <t>PH S.A.S.</t>
  </si>
  <si>
    <t xml:space="preserve">30-71671344-6
</t>
  </si>
  <si>
    <t>Matías</t>
  </si>
  <si>
    <t>https://crm.infosis.tech/crm/deal/details/7926/</t>
  </si>
  <si>
    <t>112021</t>
  </si>
  <si>
    <t>ACTUALIZACIÓN TINTOMÉTRICO ALBA HyO</t>
  </si>
  <si>
    <t>https://crm.infosis.tech/crm/deal/details/8060/</t>
  </si>
  <si>
    <t>ALTA TINTOMÉTRICO ANCLAFLEX</t>
  </si>
  <si>
    <t>https://crm.infosis.tech/crm/deal/details/8072/</t>
  </si>
  <si>
    <t>https://crm.infosis.tech/crm/deal/details/8134/</t>
  </si>
  <si>
    <t>30-61681192-0</t>
  </si>
  <si>
    <t xml:space="preserve">https://crm.infosis.tech/crm/deal/details/7964/ </t>
  </si>
  <si>
    <t>ALTA TINTOMÉTRICO SINTEPLAST</t>
  </si>
  <si>
    <t>https://crm.infosis.tech/crm/deal/details/8064/</t>
  </si>
  <si>
    <t>BORBOTONES PAINT SA</t>
  </si>
  <si>
    <t>Klaider</t>
  </si>
  <si>
    <t>https://crm.infosis.tech/crm/deal/details/7898/</t>
  </si>
  <si>
    <t>BARRILETE S.A</t>
  </si>
  <si>
    <t>AEC + KCE</t>
  </si>
  <si>
    <t>https://crm.infosis.tech/crm/deal/details/8126/</t>
  </si>
  <si>
    <t>INTEGRACIÒN BALCONY - LITE + WooCommerce</t>
  </si>
  <si>
    <t>https://crm.infosis.tech/crm/deal/details/8194/</t>
  </si>
  <si>
    <t>MINELLI S.A.</t>
  </si>
  <si>
    <t xml:space="preserve"> 30-71696921-1
</t>
  </si>
  <si>
    <t>1 FULL + KCE</t>
  </si>
  <si>
    <t>Patricia</t>
  </si>
  <si>
    <t>https://crm.infosis.tech/crm/deal/details/7994/</t>
  </si>
  <si>
    <t xml:space="preserve"> 30-71696921-1</t>
  </si>
  <si>
    <t>INTEGRACIÒN BALCONY - LITE</t>
  </si>
  <si>
    <t>https://crm.infosis.tech/crm/deal/details/7998/</t>
  </si>
  <si>
    <t>AMSTERDAM-SB S.A.S.</t>
  </si>
  <si>
    <t>https://crm.infosis.tech/crm/deal/details/8132/</t>
  </si>
  <si>
    <t>https://crm.infosis.tech/crm/deal/details/8202/</t>
  </si>
  <si>
    <t>PROTO S.R.L.</t>
  </si>
  <si>
    <t xml:space="preserve">30-61294309-1 
</t>
  </si>
  <si>
    <t>https://crm.infosis.tech/crm/deal/details/7892/</t>
  </si>
  <si>
    <t xml:space="preserve">TOUT INTERNATIONAL S.A </t>
  </si>
  <si>
    <t xml:space="preserve">30-71182274-3
</t>
  </si>
  <si>
    <t>5 FULL + 3 POS + AEC + AVM</t>
  </si>
  <si>
    <t>https://crm.infosis.tech/crm/deal/details/7976/</t>
  </si>
  <si>
    <t>https://crm.infosis.tech/crm/deal/details/8236/</t>
  </si>
  <si>
    <t>INTEGRACION BALCONY + WooCommerce</t>
  </si>
  <si>
    <t>https://crm.infosis.tech/crm/deal/details/8240/</t>
  </si>
  <si>
    <t>https://crm.infosis.tech/crm/deal/details/7746/</t>
  </si>
  <si>
    <t>https://crm.infosis.tech/crm/deal/details/8276/</t>
  </si>
  <si>
    <t>16 POS TEMPORADA FLEX 4+2</t>
  </si>
  <si>
    <t>https://crm.infosis.tech/crm/deal/details/8282/</t>
  </si>
  <si>
    <t>https://crm.infosis.tech/crm/deal/details/8290/</t>
  </si>
  <si>
    <t>NOVOA HERMANOS</t>
  </si>
  <si>
    <t>34-68463331-9</t>
  </si>
  <si>
    <t>https://crm.infosis.tech/crm/deal/details/8112/</t>
  </si>
  <si>
    <t>KOURVELIS S.A.</t>
  </si>
  <si>
    <t>33-71704842-9</t>
  </si>
  <si>
    <t>1FULL</t>
  </si>
  <si>
    <t>https://crm.infosis.tech/crm/deal/details/8296/</t>
  </si>
  <si>
    <t>GASCO JOAQUIN MANUEL</t>
  </si>
  <si>
    <t>20-39388288-4</t>
  </si>
  <si>
    <t>1 FULL + 2 POS + AVM + AEC</t>
  </si>
  <si>
    <t>https://crm.infosis.tech/crm/deal/details/7962/</t>
  </si>
  <si>
    <t>KARDUR S.A</t>
  </si>
  <si>
    <t>30-71743800-7</t>
  </si>
  <si>
    <t>1 FULL + 1 POS + API</t>
  </si>
  <si>
    <t>https://crm.infosis.tech/crm/deal/details/8178/</t>
  </si>
  <si>
    <t>ALTA NUEVA RAZÓN SOCIAL</t>
  </si>
  <si>
    <t>https://crm.infosis.tech/crm/deal/details/8246/</t>
  </si>
  <si>
    <t xml:space="preserve">DISTRIBUIDORA EL ALMACÉN S.A. </t>
  </si>
  <si>
    <t>30-71755031-1</t>
  </si>
  <si>
    <t>https://crm.infosis.tech/crm/deal/details/8234/</t>
  </si>
  <si>
    <t>https://crm.infosis.tech/crm/deal/details/8380/</t>
  </si>
  <si>
    <t>WALTER GARCÍA S.A.</t>
  </si>
  <si>
    <t>30-70993962-5</t>
  </si>
  <si>
    <t>1 FULL + 4 POS + AVM</t>
  </si>
  <si>
    <t>https://crm.infosis.tech/crm/deal/details/8410/</t>
  </si>
  <si>
    <t>BERARDI S A</t>
  </si>
  <si>
    <t>https://crm.infosis.tech/crm/deal/details/8404/</t>
  </si>
  <si>
    <t xml:space="preserve"> 30-71542018-6</t>
  </si>
  <si>
    <t>https://crm.infosis.tech/crm/deal/details/8382/</t>
  </si>
  <si>
    <t>ALTA TINTOMÉTRICO SINTEPLAST (INDUSTRIA)</t>
  </si>
  <si>
    <t>https://crm.infosis.tech/crm/deal/details/8412/</t>
  </si>
  <si>
    <t>ALTA TINTOMÉTRICO SHERWIN WILLIAMS (AUTOMOTOR)</t>
  </si>
  <si>
    <t>https://crm.infosis.tech/crm/deal/details/8058/</t>
  </si>
  <si>
    <t>https://crm.infosis.tech/crm/deal/details/8374/</t>
  </si>
  <si>
    <t>https://crm.infosis.tech/crm/deal/details/8444/</t>
  </si>
  <si>
    <t>FERNANDEZ ROBERTO DANIEL</t>
  </si>
  <si>
    <t>20-30830970-4</t>
  </si>
  <si>
    <t>Santa Cruz</t>
  </si>
  <si>
    <t>https://crm.infosis.tech/crm/deal/details/8446/</t>
  </si>
  <si>
    <t>JKOSTZER LIBRERÍA LURO S.R.L.</t>
  </si>
  <si>
    <t>30-53997975-9</t>
  </si>
  <si>
    <t>https://crm.infosis.tech/crm/deal/details/7396/</t>
  </si>
  <si>
    <t>ISHOP ROLLPIX B2B2C</t>
  </si>
  <si>
    <t>https://crm.infosis.tech/crm/deal/details/8478/</t>
  </si>
  <si>
    <t>https://crm.infosis.tech/crm/deal/details/8436/</t>
  </si>
  <si>
    <t>FIORENTINO JORGE OSCAR</t>
  </si>
  <si>
    <t>20-10888653-7</t>
  </si>
  <si>
    <t>https://crm.infosis.tech/crm/deal/details/8400/</t>
  </si>
  <si>
    <t>https://crm.infosis.tech/crm/deal/details/8458/</t>
  </si>
  <si>
    <t>INTEGRACIÒN BALCONY - ULTRA + MERCADO SHOPS</t>
  </si>
  <si>
    <t>https://crm.infosis.tech/crm/deal/details/8524/</t>
  </si>
  <si>
    <t>https://crm.infosis.tech/crm/deal/details/8504/</t>
  </si>
  <si>
    <t>PINTURERIAS SERRENTINO SRL</t>
  </si>
  <si>
    <t>30-70749144-9</t>
  </si>
  <si>
    <t>https://crm.infosis.tech/crm/deal/details/8552/</t>
  </si>
  <si>
    <t xml:space="preserve">https://crm.infosis.tech/crm/deal/details/8554/ </t>
  </si>
  <si>
    <t>https://crm.infosis.tech/crm/deal/details/8484/</t>
  </si>
  <si>
    <t>GRUPPO EDILE S.R.L.</t>
  </si>
  <si>
    <t>30-70914538-6</t>
  </si>
  <si>
    <t>ACTUALIZACIÓN TINTOMÉTRICO QUIMTEX</t>
  </si>
  <si>
    <t>https://crm.infosis.tech/crm/deal/details/8578/</t>
  </si>
  <si>
    <t>SM BAHIA SRL</t>
  </si>
  <si>
    <t>30-71563910-2</t>
  </si>
  <si>
    <t>https://crm.infosis.tech/crm/deal/details/8626/</t>
  </si>
  <si>
    <t>https://crm.infosis.tech/crm/deal/details/8618/</t>
  </si>
  <si>
    <t xml:space="preserve">https://crm.infosis.tech/crm/deal/details/8616/ </t>
  </si>
  <si>
    <t>LARDIES BECCARI MARIA EUGENIA</t>
  </si>
  <si>
    <t>27-21634959-3</t>
  </si>
  <si>
    <t>2  POS</t>
  </si>
  <si>
    <t>https://crm.infosis.tech/crm/deal/details/8668/</t>
  </si>
  <si>
    <t>ANASTASIYA MAMALADZE</t>
  </si>
  <si>
    <t>27-19034200-5</t>
  </si>
  <si>
    <t>https://crm.infosis.tech/crm/deal/details/8664/</t>
  </si>
  <si>
    <t>https://crm.infosis.tech/crm/deal/details/8646/</t>
  </si>
  <si>
    <t xml:space="preserve">POLLOS AVE S.A. </t>
  </si>
  <si>
    <t>30-71562739-2</t>
  </si>
  <si>
    <t>OULIS APP 05 VND + 01 SPV</t>
  </si>
  <si>
    <t>https://crm.infosis.tech/crm/deal/details/8414/</t>
  </si>
  <si>
    <t>WOX S.R.L.</t>
  </si>
  <si>
    <t>30-71687674-4</t>
  </si>
  <si>
    <t>https://crm.infosis.tech/crm/deal/details/8738/</t>
  </si>
  <si>
    <t>PINTURERÍAS FLEXO, S.R.L</t>
  </si>
  <si>
    <t>30-71776949-6</t>
  </si>
  <si>
    <t>https://crm.infosis.tech/crm/deal/details/8684/</t>
  </si>
  <si>
    <t>SIMON ILEANA ROSA</t>
  </si>
  <si>
    <t>27-17730770-5</t>
  </si>
  <si>
    <t>https://crm.infosis.tech/crm/deal/details/8644/</t>
  </si>
  <si>
    <t xml:space="preserve"> 27-22695012-0</t>
  </si>
  <si>
    <t xml:space="preserve">AVM + ALTA RAZÓN SOCIAL </t>
  </si>
  <si>
    <t>https://crm.infosis.tech/crm/deal/details/8670/</t>
  </si>
  <si>
    <t>https://crm.infosis.tech/crm/deal/details/8756/</t>
  </si>
  <si>
    <t>JBG SISTEMAS S.R.L.</t>
  </si>
  <si>
    <t>30-71071490-4</t>
  </si>
  <si>
    <t>https://crm.infosis.tech/crm/deal/details/8696/</t>
  </si>
  <si>
    <t>https://crm.infosis.tech/crm/deal/details/8792/</t>
  </si>
  <si>
    <t>DESDE EL SUR S.A.S</t>
  </si>
  <si>
    <t>30-71689285-5</t>
  </si>
  <si>
    <t>4 FULL + 10 POS + 1 POS PACK + AVM + PCP + TINTOMETRICO ALBA (HyO)</t>
  </si>
  <si>
    <t>https://crm.infosis.tech/crm/deal/details/8602/</t>
  </si>
  <si>
    <t>MATERIALES IANTOM GROUP S.A.</t>
  </si>
  <si>
    <t>https://crm.infosis.tech/crm/deal/details/8798/</t>
  </si>
  <si>
    <t>RUTENIA S. A.</t>
  </si>
  <si>
    <t>https://crm.infosis.tech/crm/deal/details/8694/</t>
  </si>
  <si>
    <t xml:space="preserve">ROVELINA GLAMOUR INTERIOR </t>
  </si>
  <si>
    <t>27-19028960-0</t>
  </si>
  <si>
    <t>https://crm.infosis.tech/crm/deal/details/8754/</t>
  </si>
  <si>
    <t>SAEZ MARCELO DANIEL</t>
  </si>
  <si>
    <t>20-38861852-4</t>
  </si>
  <si>
    <t>https://crm.infosis.tech/crm/deal/details/8438/</t>
  </si>
  <si>
    <t>KROMACOLOR PINTURERIAS S.R.L.</t>
  </si>
  <si>
    <t xml:space="preserve"> https://crm.infosis.tech/crm/deal/details/8860/</t>
  </si>
  <si>
    <t>DESARROLLO A MEDIDA</t>
  </si>
  <si>
    <t>https://crm.infosis.tech/crm/deal/details/8712/</t>
  </si>
  <si>
    <t>6 FULL + 1 AEC + 1 PCP</t>
  </si>
  <si>
    <t xml:space="preserve"> https://crm.infosis.tech/crm/deal/details/8872/</t>
  </si>
  <si>
    <t>DRAP SRL</t>
  </si>
  <si>
    <t>30-62073422-1</t>
  </si>
  <si>
    <t>8 FULL + 18 POS + 2 POS PACK + 3 WHW + 2 TCP  + AVM + PCP + TINTOMETRICO COLORIN (HyO)</t>
  </si>
  <si>
    <t>https://crm.infosis.tech/crm/deal/details/8396/</t>
  </si>
  <si>
    <t>CERSOSIMO VILLAVICENCIO GABRIEL ERNESTO</t>
  </si>
  <si>
    <t>20-31510935-4</t>
  </si>
  <si>
    <t>2 FULL + 03 POS</t>
  </si>
  <si>
    <t>https://crm.infosis.tech/crm/deal/details/8878/</t>
  </si>
  <si>
    <t>30-71751701-2</t>
  </si>
  <si>
    <t>INTEGRACIÒN BALCONY LITE</t>
  </si>
  <si>
    <t>https://crm.infosis.tech/crm/deal/details/8852/</t>
  </si>
  <si>
    <t>MADERAS RUTA 25</t>
  </si>
  <si>
    <t>20-92344596-0</t>
  </si>
  <si>
    <t>2 FULL + 5 POS + AVM + KCE</t>
  </si>
  <si>
    <t>https://crm.infosis.tech/crm/deal/details/8924/</t>
  </si>
  <si>
    <t>https://crm.infosis.tech/crm/deal/details/8948/</t>
  </si>
  <si>
    <t>TROVINA S.A.</t>
  </si>
  <si>
    <t>30-70882883-8</t>
  </si>
  <si>
    <t>https://crm.infosis.tech/crm/deal/details/8904/</t>
  </si>
  <si>
    <t>https://crm.infosis.tech/crm/deal/details/8960/</t>
  </si>
  <si>
    <t>https://crm.infosis.tech/crm/deal/details/8692/</t>
  </si>
  <si>
    <t>https://crm.infosis.tech/crm/deal/details/8928/</t>
  </si>
  <si>
    <t>https://crm.infosis.tech/crm/deal/details/8938/</t>
  </si>
  <si>
    <t>1 POS ANDROID (BILLAPP)</t>
  </si>
  <si>
    <t>https://crm.infosis.tech/crm/deal/details/9012/</t>
  </si>
  <si>
    <t>I+D CONSULTING</t>
  </si>
  <si>
    <t>30-71631185-2</t>
  </si>
  <si>
    <t>3 FULL + AVM + PCP (BONIFICADO)</t>
  </si>
  <si>
    <t>https://crm.infosis.tech/crm/deal/details/8864/</t>
  </si>
  <si>
    <t>URIA</t>
  </si>
  <si>
    <t>OULIS APP 04 VND + 01 SPV</t>
  </si>
  <si>
    <t>https://crm.infosis.tech/crm/deal/details/8920/</t>
  </si>
  <si>
    <t xml:space="preserve">BRENZHA S.R.L. EN FORMACION </t>
  </si>
  <si>
    <t>https://crm.infosis.tech/crm/deal/details/8910/</t>
  </si>
  <si>
    <t>https://crm.infosis.tech/crm/deal/details/9084/</t>
  </si>
  <si>
    <t>PINTURERIAS CAPORASO HNOS, S.R.L</t>
  </si>
  <si>
    <t xml:space="preserve">30-70850637-7  </t>
  </si>
  <si>
    <t>ACTUALIZACIÓN TINTOMÉTRICO ALBA ACOTONES</t>
  </si>
  <si>
    <t>https://crm.infosis.tech/crm/deal/details/9090/</t>
  </si>
  <si>
    <t>https://crm.infosis.tech/crm/deal/details/9106/</t>
  </si>
  <si>
    <t xml:space="preserve"> LA ESQUINA FUEGUINA SRL</t>
  </si>
  <si>
    <t xml:space="preserve"> 30-71780490-9</t>
  </si>
  <si>
    <t>AVM + ALTA DE NUEVA RAZÓN SOCIAL + CAMBIO DE TITULARIDAD</t>
  </si>
  <si>
    <t>https://crm.infosis.tech/crm/deal/details/9020/</t>
  </si>
  <si>
    <t>ORLANDO GUSTAVO EVARISTO</t>
  </si>
  <si>
    <t>20-18537880-3</t>
  </si>
  <si>
    <t>ALTA DE NUEVA RAZÓN SOCIAL + CAMBIO DE TITULARIDAD</t>
  </si>
  <si>
    <t>https://crm.infosis.tech/crm/deal/details/9078/</t>
  </si>
  <si>
    <t>33-70066951-9</t>
  </si>
  <si>
    <t>https://crm.infosis.tech/crm/deal/details/9136/</t>
  </si>
  <si>
    <t>BY DECOS S. A. S.</t>
  </si>
  <si>
    <t>ALTA DE NUEVA RAZÓN SOCIAL + 4 FULL + 1 AVM + 1 KCE + COPIA DATOS BBDD INSTANCIA ZEUS</t>
  </si>
  <si>
    <t>https://crm.infosis.tech/crm/deal/details/9178/</t>
  </si>
  <si>
    <t>ACTUALIZACIÓN TINTOMÉTRICO ALBA VERSIÓN CONCENTRADOS</t>
  </si>
  <si>
    <t>https://crm.infosis.tech/crm/deal/details/9058/</t>
  </si>
  <si>
    <t>INTEGRACION DE ALIMENTOS Y SERVICIOS SA</t>
  </si>
  <si>
    <t>30-71034252-7</t>
  </si>
  <si>
    <t>https://crm.infosis.tech/crm/deal/details/9116/</t>
  </si>
  <si>
    <t>ACTUALIZACIÓN TINTOMÉTRICO ALBA</t>
  </si>
  <si>
    <t>https://crm.infosis.tech/crm/deal/details/9182/</t>
  </si>
  <si>
    <t xml:space="preserve">ALDEANO`S S.R.L </t>
  </si>
  <si>
    <t>30-70766764-4</t>
  </si>
  <si>
    <t>3 FULL + 9 POS + 1 POS PACK + AVM + PCP + TINTOMETRICO ALBA (HyO)</t>
  </si>
  <si>
    <t>https://crm.infosis.tech/crm/deal/details/9184/</t>
  </si>
  <si>
    <t>30-70918033-5</t>
  </si>
  <si>
    <t>https://crm.infosis.tech/crm/deal/details/9080/</t>
  </si>
  <si>
    <t xml:space="preserve">GOOD FOOD S. A. </t>
  </si>
  <si>
    <t>30-71781269-3</t>
  </si>
  <si>
    <t>https://crm.infosis.tech/crm/deal/details/9140/</t>
  </si>
  <si>
    <t>https://crm.infosis.tech/crm/deal/details/9160/</t>
  </si>
  <si>
    <t>NEUCON CONSTRUCCION EN SECO S.R.L</t>
  </si>
  <si>
    <t>30-71623056-9</t>
  </si>
  <si>
    <t>https://crm.infosis.tech/crm/deal/details/9054/</t>
  </si>
  <si>
    <t>VAXEL S.A.</t>
  </si>
  <si>
    <t>30-70845352-4</t>
  </si>
  <si>
    <t>https://crm.infosis.tech/crm/deal/details/9222/</t>
  </si>
  <si>
    <t>ELTETE ARGENTINA S A</t>
  </si>
  <si>
    <t>30-71057650-1</t>
  </si>
  <si>
    <t>https://crm.infosis.tech/crm/deal/details/9114/</t>
  </si>
  <si>
    <t>01 FULL TEMPORADA: PRIMAVERA-VERANO. + 01 POS PERMANENTE</t>
  </si>
  <si>
    <t>https://crm.infosis.tech/crm/deal/details/9226/</t>
  </si>
  <si>
    <t>CHERCHYK MARIA SOLEDAD</t>
  </si>
  <si>
    <t>27-27355812-3</t>
  </si>
  <si>
    <t>https://crm.infosis.tech/crm/deal/details/9252/</t>
  </si>
  <si>
    <t>https://crm.infosis.tech/crm/deal/details/9234/</t>
  </si>
  <si>
    <t>TRESNECO S.A.</t>
  </si>
  <si>
    <t>33-70806823-9</t>
  </si>
  <si>
    <t>https://crm.infosis.tech/crm/deal/details/9302/</t>
  </si>
  <si>
    <t>https://crm.infosis.tech/crm/deal/details/9316/</t>
  </si>
  <si>
    <t>https://crm.infosis.tech/crm/deal/details/9328/</t>
  </si>
  <si>
    <t>SARAKO S.R.L</t>
  </si>
  <si>
    <t>30-71469436-3</t>
  </si>
  <si>
    <t>https://crm.infosis.tech/crm/deal/details/9280/</t>
  </si>
  <si>
    <t>INTEGRACIÒN BALCONY LITE + TIENDA NUBE</t>
  </si>
  <si>
    <t>https://crm.infosis.tech/crm/deal/details/9220/</t>
  </si>
  <si>
    <t>https://crm.infosis.tech/crm/deal/details/9278/</t>
  </si>
  <si>
    <t>CHIJUAFE S.R.L.</t>
  </si>
  <si>
    <t xml:space="preserve">30-71728231-7 </t>
  </si>
  <si>
    <t>https://crm.infosis.tech/crm/deal/details/9338/</t>
  </si>
  <si>
    <t>https://crm.infosis.tech/crm/deal/details/9326/</t>
  </si>
  <si>
    <t>https://crm.infosis.tech/crm/deal/details/9376/</t>
  </si>
  <si>
    <t>https://crm.infosis.tech/crm/deal/details/9384/</t>
  </si>
  <si>
    <t>LUIS BARON</t>
  </si>
  <si>
    <t>20-20221165-9</t>
  </si>
  <si>
    <t>https://crm.infosis.tech/crm/deal/details/9366/</t>
  </si>
  <si>
    <t>https://crm.infosis.tech/crm/deal/details/9380/</t>
  </si>
  <si>
    <t>BOHNKE ARTICULOS RURALES S.A.S.</t>
  </si>
  <si>
    <t>30-71640500-8</t>
  </si>
  <si>
    <t>https://crm.infosis.tech/crm/deal/details/9398/</t>
  </si>
  <si>
    <t>DISTRIBUIDORA SUSY S.R.L</t>
  </si>
  <si>
    <t>30-70854168-7</t>
  </si>
  <si>
    <t>1 FULL TEMPORADA FLEX</t>
  </si>
  <si>
    <t>https://crm.infosis.tech/crm/deal/details/9364/</t>
  </si>
  <si>
    <t>GUTTLEIN HIGINIO RAUL</t>
  </si>
  <si>
    <t>20-16390088-3</t>
  </si>
  <si>
    <t>2 FULL + 5 POS + AVM + TINTOMETRICO SINTEPLAST (HyO, Automotor e Industria)</t>
  </si>
  <si>
    <t>https://crm.infosis.tech/crm/deal/details/9314/</t>
  </si>
  <si>
    <t>PAPELERA EL VASQUITO S.R.L.</t>
  </si>
  <si>
    <t>30-67940701-1</t>
  </si>
  <si>
    <t>https://crm.infosis.tech/crm/deal/details/9244/</t>
  </si>
  <si>
    <t>HIPERMAT SAS</t>
  </si>
  <si>
    <t>30-71787670-5</t>
  </si>
  <si>
    <t>1 FULL + AVM + PCP</t>
  </si>
  <si>
    <t>https://crm.infosis.tech/crm/deal/details/9344/</t>
  </si>
  <si>
    <t>https://crm.infosis.tech/crm/deal/details/9428/</t>
  </si>
  <si>
    <t>https://crm.infosis.tech/crm/deal/details/9356/</t>
  </si>
  <si>
    <t>https://crm.infosis.tech/crm/deal/details/9510/</t>
  </si>
  <si>
    <t>GOLOSINAS B40 SAS</t>
  </si>
  <si>
    <t>https://crm.infosis.tech/crm/deal/details/9386/</t>
  </si>
  <si>
    <t>DRYMAX S.R.L</t>
  </si>
  <si>
    <t>30-71137866-5</t>
  </si>
  <si>
    <t>2 FULL + 2 POS + AVM + PCP</t>
  </si>
  <si>
    <t>https://crm.infosis.tech/crm/deal/details/9368/</t>
  </si>
  <si>
    <t>https://crm.infosis.tech/crm/deal/details/9550/</t>
  </si>
  <si>
    <t>COMUNIDAD GH SRL</t>
  </si>
  <si>
    <t>30-71694722-6</t>
  </si>
  <si>
    <t>https://crm.infosis.tech/crm/deal/details/9360/</t>
  </si>
  <si>
    <t>DAFFRA DA CUNHA VALENTIN ALEXIS</t>
  </si>
  <si>
    <t>20-41715368-4</t>
  </si>
  <si>
    <t>https://crm.infosis.tech/crm/deal/details/9538/</t>
  </si>
  <si>
    <t>NEXO MAR DEL PLATA, S.R.L</t>
  </si>
  <si>
    <t>30-70980383-9</t>
  </si>
  <si>
    <t>https://crm.infosis.tech/crm/deal/details/9482/</t>
  </si>
  <si>
    <t>OULIS APP 03 VND + 01 SPV</t>
  </si>
  <si>
    <t>https://crm.infosis.tech/crm/deal/details/9296/</t>
  </si>
  <si>
    <t>https://crm.infosis.tech/crm/deal/details/9480/</t>
  </si>
  <si>
    <t>JKOSTZER LIBRERIA LURO S.R.L.</t>
  </si>
  <si>
    <t>https://crm.infosis.tech/crm/deal/details/9530/</t>
  </si>
  <si>
    <t>CONTINENTE NEGOCIOS, S.R.L</t>
  </si>
  <si>
    <t>https://crm.infosis.tech/crm/deal/details/9274/</t>
  </si>
  <si>
    <t>https://crm.infosis.tech/crm/deal/details/9556/</t>
  </si>
  <si>
    <t>LUCIANO JORGE DE OLIVEIRA FELISARDO</t>
  </si>
  <si>
    <t>20-33675547-7</t>
  </si>
  <si>
    <t>https://crm.infosis.tech/crm/deal/details/9574/</t>
  </si>
  <si>
    <t>RONGA GONZALO NICOLAS</t>
  </si>
  <si>
    <t>20-36280773-6</t>
  </si>
  <si>
    <t>1 FULL + 10 POS + AVM</t>
  </si>
  <si>
    <t>https://crm.infosis.tech/crm/deal/details/9526/</t>
  </si>
  <si>
    <t>CASA MAJLUF S.R.L.</t>
  </si>
  <si>
    <t>30-71570040-5</t>
  </si>
  <si>
    <t>ACTUALIZACIÓN TINTOMÉTRICO ALBA HOGAR Y OBRAS</t>
  </si>
  <si>
    <t>https://crm.infosis.tech/crm/deal/details/8606/</t>
  </si>
  <si>
    <t>ROST AGUSTÍN</t>
  </si>
  <si>
    <t>https://crm.infosis.tech/crm/deal/details/9646/</t>
  </si>
  <si>
    <t xml:space="preserve">30-59326113-8 </t>
  </si>
  <si>
    <t>https://crm.infosis.tech/crm/deal/details/9676/</t>
  </si>
  <si>
    <t>PERFUMERÍA BURGOS SRL</t>
  </si>
  <si>
    <t>https://crm.infosis.tech/crm/deal/details/9648/</t>
  </si>
  <si>
    <t>https://crm.infosis.tech/crm/deal/details/9664/</t>
  </si>
  <si>
    <r>
      <rPr>
        <rFont val="Ubuntu"/>
        <u/>
      </rPr>
      <t>https://crm.infosis.tech/crm/deal/details/9720/</t>
    </r>
    <r>
      <rPr>
        <rFont val="Ubuntu"/>
      </rPr>
      <t xml:space="preserve">  -  </t>
    </r>
    <r>
      <rPr>
        <rFont val="Ubuntu"/>
        <color rgb="FF1155CC"/>
        <u/>
      </rPr>
      <t>https://crm.infosis.tech/crm/deal/details/9820/</t>
    </r>
  </si>
  <si>
    <t>https://crm.infosis.tech/crm/deal/details/9712/</t>
  </si>
  <si>
    <t>https://crm.infosis.tech/crm/deal/details/9654/</t>
  </si>
  <si>
    <t>20-20463637-1</t>
  </si>
  <si>
    <t xml:space="preserve">1 POS + ALTA NUEVA RAZÓN SOCIAL </t>
  </si>
  <si>
    <t>https://crm.infosis.tech/crm/deal/details/9270/</t>
  </si>
  <si>
    <t>COLORES FUEGUINOS S. R. L</t>
  </si>
  <si>
    <t>33-71792162-9</t>
  </si>
  <si>
    <t>https://crm.infosis.tech/crm/deal/details/9744/</t>
  </si>
  <si>
    <t>TEN TEN SRL</t>
  </si>
  <si>
    <t>30-71583023-6</t>
  </si>
  <si>
    <t>1 FULL + 1 POS + 1 KCE</t>
  </si>
  <si>
    <t>https://crm.infosis.tech/crm/deal/details/9484/</t>
  </si>
  <si>
    <t>HIELO DEYACOBBI S.A.</t>
  </si>
  <si>
    <t>30-71097394-2</t>
  </si>
  <si>
    <t>https://crm.infosis.tech/crm/deal/details/9740/</t>
  </si>
  <si>
    <t xml:space="preserve">4 FULL + 1 POS PACK </t>
  </si>
  <si>
    <t>https://crm.infosis.tech/crm/deal/details/9786/</t>
  </si>
  <si>
    <t>PEROTTI LUCAS JEREMIAS</t>
  </si>
  <si>
    <t>20-35726510-0</t>
  </si>
  <si>
    <t>https://crm.infosis.tech/crm/deal/details/9658/</t>
  </si>
  <si>
    <t xml:space="preserve">MASTRA </t>
  </si>
  <si>
    <t xml:space="preserve">1 FULL + 1 POS PACK </t>
  </si>
  <si>
    <t>https://crm.infosis.tech/crm/deal/details/9794/</t>
  </si>
  <si>
    <t xml:space="preserve">GRUPPO EDILE S.R.L.
</t>
  </si>
  <si>
    <t>https://crm.infosis.tech/crm/deal/details/9652/</t>
  </si>
  <si>
    <t>INTER GLASS S.A.</t>
  </si>
  <si>
    <t>30-70861397-1</t>
  </si>
  <si>
    <t>https://crm.infosis.tech/crm/deal/details/9854/</t>
  </si>
  <si>
    <t>https://crm.infosis.tech/crm/deal/details/9868/</t>
  </si>
  <si>
    <t>https://crm.infosis.tech/crm/deal/details/9898/</t>
  </si>
  <si>
    <t>https://crm.infosis.tech/crm/deal/details/9904/</t>
  </si>
  <si>
    <t>https://crm.infosis.tech/crm/deal/details/9910/</t>
  </si>
  <si>
    <t>DIEMINGER DAVINA DEL CARMEN ELIZABETH</t>
  </si>
  <si>
    <t>27-25767091-6</t>
  </si>
  <si>
    <t>2 FULL + 21 POS + 2 POS Pack + 1 POP + 3 WHW + AVM + PCP + TINTOMÉTRICOS HyO / AUTOMOTOR SINTEPLAST</t>
  </si>
  <si>
    <t>https://crm.infosis.tech/crm/deal/details/9888/</t>
  </si>
  <si>
    <t>QUALUM S. A.</t>
  </si>
  <si>
    <t>30-71671456-6</t>
  </si>
  <si>
    <t>https://crm.infosis.tech/crm/deal/details/9672/</t>
  </si>
  <si>
    <t>TINTOMÉTRICO SINTEPLAST: HyO + AUTOMOTOR</t>
  </si>
  <si>
    <t>https://crm.infosis.tech/crm/deal/details/9814/</t>
  </si>
  <si>
    <t>DIVADAR SRL</t>
  </si>
  <si>
    <t>30-71799441-4</t>
  </si>
  <si>
    <t>https://crm.infosis.tech/crm/deal/details/9922</t>
  </si>
  <si>
    <t>https://crm.infosis.tech/crm/deal/details/9932/</t>
  </si>
  <si>
    <t>PALLOTA ANGEL DANIEL</t>
  </si>
  <si>
    <t>INTEGRACIÒN BALCONY ULTRA</t>
  </si>
  <si>
    <t>https://crm.infosis.tech/crm/deal/details/9964/</t>
  </si>
  <si>
    <t>2 FULL REGULARES + 1 FULL TEMPORADA (OTO-INV) + 4 POS TEMPORADA (OTO-INV)</t>
  </si>
  <si>
    <t>https://crm.infosis.tech/crm/deal/details/9866/</t>
  </si>
  <si>
    <t>FRANCO ZAPATA</t>
  </si>
  <si>
    <t>20-42253829-2</t>
  </si>
  <si>
    <t>https://crm.infosis.tech/crm/deal/details/9916/</t>
  </si>
  <si>
    <t>KAHNS JERÓNIMO</t>
  </si>
  <si>
    <t>20-39622278-8</t>
  </si>
  <si>
    <t>Marina</t>
  </si>
  <si>
    <t>https://crm.infosis.tech/crm/deal/details/9840/</t>
  </si>
  <si>
    <t>RANIERI ELEANA SOLANGE</t>
  </si>
  <si>
    <t>27-37537674-7</t>
  </si>
  <si>
    <t>https://crm.infosis.tech/crm/deal/details/9994/</t>
  </si>
  <si>
    <t>PIANESI FABIAN UBALDO</t>
  </si>
  <si>
    <t>20-16708708-7</t>
  </si>
  <si>
    <t>https://crm.infosis.tech/crm/deal/details/10016/</t>
  </si>
  <si>
    <t>https://crm.infosis.tech/crm/deal/details/9956/</t>
  </si>
  <si>
    <t>DON ZATTI SRL</t>
  </si>
  <si>
    <t>30-71768004-5</t>
  </si>
  <si>
    <t>2 FULL + 5 POS + AVM</t>
  </si>
  <si>
    <t>https://crm.infosis.tech/crm/deal/details/9990/</t>
  </si>
  <si>
    <t>ELIAS ISAIAS Y ASOCIADOS SRL</t>
  </si>
  <si>
    <t>30-71770389-4</t>
  </si>
  <si>
    <t>https://crm.infosis.tech/crm/deal/details/9970/</t>
  </si>
  <si>
    <t>INTEGRACIÒN BALCONY PLUS</t>
  </si>
  <si>
    <t>https://crm.infosis.tech/crm/deal/details/10042/</t>
  </si>
  <si>
    <t>CARLOS SILEO S.R.L.</t>
  </si>
  <si>
    <t>https://crm.infosis.tech/crm/deal/details/10008/</t>
  </si>
  <si>
    <t>NATURAL BRIDGE S.A.S.</t>
  </si>
  <si>
    <t>30-71617634-3</t>
  </si>
  <si>
    <t>https://crm.infosis.tech/crm/deal/details/8378/</t>
  </si>
  <si>
    <t>MANEKESE S.R.L.</t>
  </si>
  <si>
    <t>30-71454867-7</t>
  </si>
  <si>
    <t>ALTA DE NUEVA RAZÓN SOCIAL</t>
  </si>
  <si>
    <t>https://crm.infosis.tech/crm/deal/details/10078/</t>
  </si>
  <si>
    <t>CHAB LILIANA JACINTA</t>
  </si>
  <si>
    <t>27-10997000-5</t>
  </si>
  <si>
    <t>https://crm.infosis.tech/crm/deal/details/10064/</t>
  </si>
  <si>
    <t>PONCE TOBIAS JOSE</t>
  </si>
  <si>
    <t>20-43618879-0</t>
  </si>
  <si>
    <t>https://crm.infosis.tech/crm/deal/details/9982/</t>
  </si>
  <si>
    <t>ALTA TINTOMÉTRICO ALBA (HOGAR Y OBRA)</t>
  </si>
  <si>
    <t>https://crm.infosis.tech/crm/deal/details/10084/</t>
  </si>
  <si>
    <t>https://crm.infosis.tech/crm/deal/details/10120/</t>
  </si>
  <si>
    <t>https://crm.infosis.tech/crm/deal/details/10124/</t>
  </si>
  <si>
    <t>RICARDO ISMAEL BOUZON</t>
  </si>
  <si>
    <t>20-14404680-4</t>
  </si>
  <si>
    <t>https://crm.infosis.tech/crm/deal/details/10072/</t>
  </si>
  <si>
    <t>https://crm.infosis.tech/crm/deal/details/10138/</t>
  </si>
  <si>
    <t>MEGAPINT S.R.L</t>
  </si>
  <si>
    <t>30-71561040-6</t>
  </si>
  <si>
    <t>5 FULL + 2 POS + AVM + TINTOMÉTRICO SINTEPLAST (HyO)</t>
  </si>
  <si>
    <t>https://crm.infosis.tech/crm/deal/details/9844/</t>
  </si>
  <si>
    <t>https://crm.infosis.tech/crm/deal/details/10166/</t>
  </si>
  <si>
    <t>PAPELERA 88 SRL</t>
  </si>
  <si>
    <t>30-71802743-4</t>
  </si>
  <si>
    <t>https://crm.infosis.tech/crm/deal/details/10062/</t>
  </si>
  <si>
    <t>https://crm.infosis.tech/crm/deal/details/10158/</t>
  </si>
  <si>
    <t>https://crm.infosis.tech/crm/deal/details/10144/</t>
  </si>
  <si>
    <t>OTTANI MIRIAM TERESA</t>
  </si>
  <si>
    <t>27-18577269-7</t>
  </si>
  <si>
    <t>https://crm.infosis.tech/crm/deal/details/10126/</t>
  </si>
  <si>
    <t>https://crm.infosis.tech/crm/deal/details/10176/</t>
  </si>
  <si>
    <t>CACCIA GUSTAVO DANIEL</t>
  </si>
  <si>
    <t>20-25295278-1</t>
  </si>
  <si>
    <t>1 API</t>
  </si>
  <si>
    <t>https://crm.infosis.tech/crm/deal/details/10188/</t>
  </si>
  <si>
    <t>https://crm.infosis.tech/crm/deal/details/10152/</t>
  </si>
  <si>
    <t>CRISTIAN RAMON ROJAS</t>
  </si>
  <si>
    <t>20-33845264-1</t>
  </si>
  <si>
    <t>https://crm.infosis.tech/crm/deal/details/10192/</t>
  </si>
  <si>
    <t>PALMERO DORA SOLEDAD</t>
  </si>
  <si>
    <t>23-14478656-4</t>
  </si>
  <si>
    <t>https://crm.infosis.tech/crm/deal/details/9582/</t>
  </si>
  <si>
    <t>HABUN S.R.L.</t>
  </si>
  <si>
    <t>30-71802374-9</t>
  </si>
  <si>
    <t>ALTA DE NUEVA RAZON SOCIAL + CAMBIO DE TITULARIDAD</t>
  </si>
  <si>
    <t>https://crm.infosis.tech/crm/deal/details/10302/</t>
  </si>
  <si>
    <t xml:space="preserve">DISTRIBUIDORA EL ALMACEN S. A </t>
  </si>
  <si>
    <t>https://crm.infosis.tech/crm/deal/details/10310/</t>
  </si>
  <si>
    <t>EMBALAJES MARPLATENSES S.A.</t>
  </si>
  <si>
    <t>https://crm.infosis.tech/crm/deal/details/10074/</t>
  </si>
  <si>
    <t>MERNOE S. A.</t>
  </si>
  <si>
    <t>1 FULL + 1 POS + ALTA DE NUEVA RAZÓN SOCIAL</t>
  </si>
  <si>
    <t>https://crm.infosis.tech/crm/deal/details/10298/</t>
  </si>
  <si>
    <t>2 FULL + 3 POS + 1 POP + 1 AVM</t>
  </si>
  <si>
    <t>https://crm.infosis.tech/crm/deal/details/10284/</t>
  </si>
  <si>
    <t>VABEGU S.A.</t>
  </si>
  <si>
    <t>CAMBIO DE PLAN PLUS A ULTRA BALCONY</t>
  </si>
  <si>
    <t>https://crm.infosis.tech/crm/deal/details/10304/</t>
  </si>
  <si>
    <t>COOP DE TRABAJO FIDEERA LTDA</t>
  </si>
  <si>
    <t xml:space="preserve">33-71730454-9
</t>
  </si>
  <si>
    <t>https://crm.infosis.tech/crm/deal/details/10326/</t>
  </si>
  <si>
    <t>INTEGRACIÒN BALCONY PLUS + TIENDA NUBE</t>
  </si>
  <si>
    <t xml:space="preserve"> https://crm.infosis.tech/crm/deal/details/10282/</t>
  </si>
  <si>
    <t>BAZAR MANDARIN, S.R.L</t>
  </si>
  <si>
    <t>https://crm.infosis.tech/crm/deal/details/10286/</t>
  </si>
  <si>
    <t xml:space="preserve">INTEGRACIÒN BALCONY PLUS </t>
  </si>
  <si>
    <t>https://crm.infosis.tech/crm/deal/details/10398/</t>
  </si>
  <si>
    <t>1 FULL TEMPORADA + 1 POS TEMPORADA (OTO-INV)</t>
  </si>
  <si>
    <t>https://crm.infosis.tech/crm/deal/details/10320/</t>
  </si>
  <si>
    <t>CHIMECK S.A</t>
  </si>
  <si>
    <t>30-71768418-0</t>
  </si>
  <si>
    <t>1 FULL + 2 POS + 2 POS ANDROID BILLAPP + 1 AVM</t>
  </si>
  <si>
    <t>https://crm.infosis.tech/crm/deal/details/10238/</t>
  </si>
  <si>
    <t>URIA JUAN MARTIN</t>
  </si>
  <si>
    <t>https://crm.infosis.tech/crm/deal/details/10404/</t>
  </si>
  <si>
    <t>PINTURERIA SENDRA S.R.L</t>
  </si>
  <si>
    <t>30-71509654-0</t>
  </si>
  <si>
    <t>ALTA DE TINTOMETRICO  SINTEPLAST: HOGAR Y OBRA E INDUSTRIA</t>
  </si>
  <si>
    <t>https://crm.infosis.tech/crm/deal/details/10032/</t>
  </si>
  <si>
    <t>ALTA DE NUEVA RAZON SOCIAL</t>
  </si>
  <si>
    <t>https://crm.infosis.tech/crm/deal/details/10418/</t>
  </si>
  <si>
    <t>https://crm.infosis.tech/crm/deal/details/10400/</t>
  </si>
  <si>
    <t>MANECH SAS</t>
  </si>
  <si>
    <t>30-71661965-2</t>
  </si>
  <si>
    <t>1 FULL + 1 POS + 1 AVM</t>
  </si>
  <si>
    <t>https://crm.infosis.tech/crm/deal/details/9074/</t>
  </si>
  <si>
    <t>30-71728231-7</t>
  </si>
  <si>
    <t>6 FULL + 3 POS + KCE + AEC + AVM</t>
  </si>
  <si>
    <t>https://crm.infosis.tech/crm/deal/details/10392/</t>
  </si>
  <si>
    <t>https://crm.infosis.tech/crm/deal/details/10502/</t>
  </si>
  <si>
    <t>https://crm.infosis.tech/crm/deal/details/10466/</t>
  </si>
  <si>
    <t>OLGA EDITH ALVAREZ</t>
  </si>
  <si>
    <t>23-18337371-4</t>
  </si>
  <si>
    <t>https://crm.infosis.tech/crm/deal/details/10492/</t>
  </si>
  <si>
    <t>30-71191150-9</t>
  </si>
  <si>
    <t>https://crm.infosis.tech/crm/deal/details/10468/</t>
  </si>
  <si>
    <t xml:space="preserve">INGENIEROS ELECTRÓNICOS ASOCIADOS S.R.L. </t>
  </si>
  <si>
    <t>ALTA DE NUEVA RAZON SOCIAL + AVM</t>
  </si>
  <si>
    <t>https://crm.infosis.tech/crm/deal/details/10444/</t>
  </si>
  <si>
    <t>ALTA DE TINTOMETRICO AIKE: HOGAR Y OBRA</t>
  </si>
  <si>
    <t>https://crm.infosis.tech/crm/deal/details/10546/</t>
  </si>
  <si>
    <t>GERSUR S.A.</t>
  </si>
  <si>
    <t>30-70747256-8</t>
  </si>
  <si>
    <t>https://crm.infosis.tech/crm/deal/details/10430/</t>
  </si>
  <si>
    <t>https://crm.infosis.tech/crm/deal/details/10530/</t>
  </si>
  <si>
    <t>1 FULL + 6 POS</t>
  </si>
  <si>
    <t>https://crm.infosis.tech/crm/deal/details/10296/</t>
  </si>
  <si>
    <t>SANTIAGO MARTIN PORTALEZ</t>
  </si>
  <si>
    <t>20-24998879-1</t>
  </si>
  <si>
    <t>https://crm.infosis.tech/crm/deal/details/10476/</t>
  </si>
  <si>
    <t>NEXTWARE S.A</t>
  </si>
  <si>
    <t>30-71267420-9</t>
  </si>
  <si>
    <t>https://crm.infosis.tech/crm/deal/details/10098/</t>
  </si>
  <si>
    <t>HOGAR &amp; OBRA S.A.S</t>
  </si>
  <si>
    <t>30-71765641-1</t>
  </si>
  <si>
    <t>https://crm.infosis.tech/crm/deal/details/10482/</t>
  </si>
  <si>
    <t>PINTURERIA JORDA SA</t>
  </si>
  <si>
    <t>1 FULL + 2 POS + 1 TCP</t>
  </si>
  <si>
    <t>https://crm.infosis.tech/crm/deal/details/10584/</t>
  </si>
  <si>
    <t>SUPERLIMP S.R.L.</t>
  </si>
  <si>
    <t>30-71178294-6</t>
  </si>
  <si>
    <t>https://crm.infosis.tech/crm/deal/details/10634/</t>
  </si>
  <si>
    <t xml:space="preserve">1 POS + 1 AMH </t>
  </si>
  <si>
    <t>https://crm.infosis.tech/crm/deal/details/10636/</t>
  </si>
  <si>
    <t xml:space="preserve">INTEGRACION BALCONY PLAN LITE + TINU </t>
  </si>
  <si>
    <t>https://crm.infosis.tech/crm/deal/details/10656/</t>
  </si>
  <si>
    <t>GESTOR 360 S.A.</t>
  </si>
  <si>
    <t>33-71813611-9</t>
  </si>
  <si>
    <t>4 FULL + 1 AVM + 9 RAZONES SOCIALES</t>
  </si>
  <si>
    <t>https://crm.infosis.tech/crm/deal/details/10232/</t>
  </si>
  <si>
    <t>https://crm.infosis.tech/crm/deal/details/10452/</t>
  </si>
  <si>
    <t>KHADIM DIAKHATE</t>
  </si>
  <si>
    <t>20-19074150-9</t>
  </si>
  <si>
    <t>https://crm.infosis.tech/crm/deal/details/10596/</t>
  </si>
  <si>
    <t>https://crm.infosis.tech/crm/deal/details/10688/</t>
  </si>
  <si>
    <t xml:space="preserve">1 FULL + 1 POS </t>
  </si>
  <si>
    <t>https://crm.infosis.tech/crm/deal/details/10684/</t>
  </si>
  <si>
    <t>6 FULL</t>
  </si>
  <si>
    <t>https://crm.infosis.tech/crm/deal/details/10686/</t>
  </si>
  <si>
    <t>TORRES NICOLAS ARIEL</t>
  </si>
  <si>
    <t>20-35405710-8</t>
  </si>
  <si>
    <t>https://crm.infosis.tech/crm/deal/details/10746/</t>
  </si>
  <si>
    <t>ELSA MABEL GOMEZ</t>
  </si>
  <si>
    <t>27-21082072-3</t>
  </si>
  <si>
    <t>https://crm.infosis.tech/crm/deal/details/10632/</t>
  </si>
  <si>
    <t>RINAL S.R.L.</t>
  </si>
  <si>
    <t>INTEGRACION BALCONY PLAN LITE</t>
  </si>
  <si>
    <t>https://crm.infosis.tech/crm/deal/details/10458/</t>
  </si>
  <si>
    <t>1 FULL TEMPORADA (OTO-INV)</t>
  </si>
  <si>
    <t>https://crm.infosis.tech/crm/deal/details/10666/</t>
  </si>
  <si>
    <t>https://crm.infosis.tech/crm/deal/details/10708/</t>
  </si>
  <si>
    <t>30-70963444-1</t>
  </si>
  <si>
    <t>https://crm.infosis.tech/crm/deal/details/10736/</t>
  </si>
  <si>
    <t>DIACO JULIO JOSE</t>
  </si>
  <si>
    <t>20-05313510-3</t>
  </si>
  <si>
    <t>https://crm.infosis.tech/crm/deal/details/10866</t>
  </si>
  <si>
    <t>SANITARIOS JULICAM S.R.L</t>
  </si>
  <si>
    <t xml:space="preserve">30-71717346-1 </t>
  </si>
  <si>
    <t>1 AMH</t>
  </si>
  <si>
    <t>https://crm.infosis.tech/crm/deal/details/10272/</t>
  </si>
  <si>
    <t>https://crm.infosis.tech/crm/deal/details/10880/</t>
  </si>
  <si>
    <t>2 FULL + 13 POS + 2 POP + 1 WHW</t>
  </si>
  <si>
    <t>https://crm.infosis.tech/crm/deal/details/10902/</t>
  </si>
  <si>
    <t>ESTEBAN JUAN MANUEL Y ERCOLANI AGOSTINA S.H</t>
  </si>
  <si>
    <t>https://crm.infosis.tech/crm/deal/details/10640/</t>
  </si>
  <si>
    <t>NOUGUEZ CARLOS M. Y OTROS S.H.</t>
  </si>
  <si>
    <t>33-63408212-9</t>
  </si>
  <si>
    <t>https://crm.infosis.tech/crm/deal/details/10738/</t>
  </si>
  <si>
    <t>SOLDASUR, S.A.</t>
  </si>
  <si>
    <t>https://crm.infosis.tech/crm/deal/details/10938/</t>
  </si>
  <si>
    <t>ISHOP ROLLPIX B2C</t>
  </si>
  <si>
    <t>https://crm.infosis.tech/crm/deal/details/8138/</t>
  </si>
  <si>
    <t xml:space="preserve">2 FULL </t>
  </si>
  <si>
    <t>https://crm.infosis.tech/crm/deal/details/10512/</t>
  </si>
  <si>
    <t>https://crm.infosis.tech/crm/deal/details/10952/</t>
  </si>
  <si>
    <t>2 FULL + ALTA DE NUEVA RAZON SOCIAL</t>
  </si>
  <si>
    <t>https://crm.infosis.tech/crm/deal/details/10422/</t>
  </si>
  <si>
    <t>VERASTIN MAQUINARIAS S.A.</t>
  </si>
  <si>
    <t>30-71815341-3</t>
  </si>
  <si>
    <t>https://crm.infosis.tech/crm/deal/details/10958/</t>
  </si>
  <si>
    <t>https://crm.infosis.tech/crm/deal/details/10974/</t>
  </si>
  <si>
    <t>https://crm.infosis.tech/crm/deal/details/10972/</t>
  </si>
  <si>
    <t>MARIANO MAURO ESCOBEDO</t>
  </si>
  <si>
    <t>20-29986022-2</t>
  </si>
  <si>
    <t>https://crm.infosis.tech/crm/deal/details/10922/</t>
  </si>
  <si>
    <t>https://crm.infosis.tech/crm/deal/details/10978/</t>
  </si>
  <si>
    <t>PORTALEZ SAN</t>
  </si>
  <si>
    <t>4 VND</t>
  </si>
  <si>
    <t>https://crm.infosis.tech/crm/deal/details/11002/</t>
  </si>
  <si>
    <t>GUALDESI HERMANOS S.R.L.</t>
  </si>
  <si>
    <t>30-50778531-6</t>
  </si>
  <si>
    <t>UNIFICACIÓN DE BASES EN ZEUS</t>
  </si>
  <si>
    <t>https://crm.infosis.tech/crm/deal/details/11036/</t>
  </si>
  <si>
    <t>OULIS APP 07 VND + 01 SPV</t>
  </si>
  <si>
    <t>https://crm.infosis.tech/crm/deal/details/8672/</t>
  </si>
  <si>
    <t>RECALADA S. A</t>
  </si>
  <si>
    <t>https://crm.infosis.tech/crm/deal/details/11014/</t>
  </si>
  <si>
    <t>BERG HUMBERTO OSCAR</t>
  </si>
  <si>
    <t>20-08001104-1</t>
  </si>
  <si>
    <t>https://crm.infosis.tech/crm/deal/details/9578/</t>
  </si>
  <si>
    <t>https://crm.infosis.tech/crm/deal/details/11120/</t>
  </si>
  <si>
    <t>https://crm.infosis.tech/crm/deal/details/11074/</t>
  </si>
  <si>
    <t>https://crm.infosis.tech/crm/deal/details/11076/</t>
  </si>
  <si>
    <t>MAGANI SRL</t>
  </si>
  <si>
    <t>30-69001927-9</t>
  </si>
  <si>
    <t>https://crm.infosis.tech/crm/deal/details/11142/</t>
  </si>
  <si>
    <t>https://crm.infosis.tech/crm/deal/details/11144/</t>
  </si>
  <si>
    <t>CHALUPAS S. R. L.</t>
  </si>
  <si>
    <t>33-71783848-9</t>
  </si>
  <si>
    <t xml:space="preserve">1 FULL + 1 POS + AVM + TINTOMÉTRICO ALBA HOGAR Y OBRA </t>
  </si>
  <si>
    <t>https://crm.infosis.tech/crm/deal/details/10818/</t>
  </si>
  <si>
    <t>MAURICIO TENZI</t>
  </si>
  <si>
    <t>20-34403894-6</t>
  </si>
  <si>
    <t>Paolo</t>
  </si>
  <si>
    <t>https://crm.infosis.tech/crm/deal/details/11068/</t>
  </si>
  <si>
    <t>LARDIES MARIA EUGENIA BECCARI</t>
  </si>
  <si>
    <t>https://crm.infosis.tech/crm/deal/details/11190/</t>
  </si>
  <si>
    <t>EASYCOMMERCE B2B</t>
  </si>
  <si>
    <t>https://crm.infosis.tech/crm/deal/details/10174/</t>
  </si>
  <si>
    <t>MC PINTURAS S.A</t>
  </si>
  <si>
    <t>https://crm.infosis.tech/crm/deal/details/10518/</t>
  </si>
  <si>
    <t>HESSEN S.R.L.</t>
  </si>
  <si>
    <t>30-71452867-6</t>
  </si>
  <si>
    <t>2 FULL + 1 POS + 3 VND + 1 POP + AVM</t>
  </si>
  <si>
    <t>https://crm.infosis.tech/crm/deal/details/11080/</t>
  </si>
  <si>
    <t>ROSANA ESTHER REYNOSO</t>
  </si>
  <si>
    <t>27-21503974-4</t>
  </si>
  <si>
    <t>https://crm.infosis.tech/crm/deal/details/10638/</t>
  </si>
  <si>
    <t>JUAN JOSE PALOMO</t>
  </si>
  <si>
    <t>20-37819653-2</t>
  </si>
  <si>
    <t>https://crm.infosis.tech/crm/deal/details/11210/</t>
  </si>
  <si>
    <t>https://crm.infosis.tech/crm/deal/details/11278/</t>
  </si>
  <si>
    <t>GALLO Y CASTAGNETTI S.R.L.</t>
  </si>
  <si>
    <t>30-71803316-7</t>
  </si>
  <si>
    <t>https://crm.infosis.tech/crm/deal/details/11006/</t>
  </si>
  <si>
    <t>TOUTINTERNATIONAL S.A</t>
  </si>
  <si>
    <t>30-71182274-3</t>
  </si>
  <si>
    <t>1 WHW</t>
  </si>
  <si>
    <t>https://crm.infosis.tech/crm/deal/details/11328/</t>
  </si>
  <si>
    <t>1 POP + 3 TCP</t>
  </si>
  <si>
    <t>https://crm.infosis.tech/crm/deal/details/11288/</t>
  </si>
  <si>
    <t>DIAGONAL HERRAJES</t>
  </si>
  <si>
    <t xml:space="preserve">2 FULL + 1 POS PACK </t>
  </si>
  <si>
    <t>https://crm.infosis.tech/crm/deal/details/11078/</t>
  </si>
  <si>
    <t>1 POS + 1 VND</t>
  </si>
  <si>
    <t>https://crm.infosis.tech/crm/deal/details/11384/</t>
  </si>
  <si>
    <t>ALAN JOEL KINZTLER</t>
  </si>
  <si>
    <t>20-36901360-3</t>
  </si>
  <si>
    <t>https://crm.infosis.tech/crm/deal/details/9290/</t>
  </si>
  <si>
    <t xml:space="preserve">4 POS + 1 POS PACK </t>
  </si>
  <si>
    <t>https://crm.infosis.tech/crm/deal/details/11386/</t>
  </si>
  <si>
    <t>https://crm.infosis.tech/crm/deal/details/10814/</t>
  </si>
  <si>
    <t>INTEGRACION BALCONY PLAN PLUS</t>
  </si>
  <si>
    <t>https://crm.infosis.tech/crm/deal/details/10816/</t>
  </si>
  <si>
    <t>1 FULL + 1 WHW </t>
  </si>
  <si>
    <t>https://crm.infosis.tech/crm/deal/details/11396/</t>
  </si>
  <si>
    <t>30-71583023-7</t>
  </si>
  <si>
    <t>CANAL ADICIONAL BALCONY TINU PLAN PLUS</t>
  </si>
  <si>
    <t>https://crm.infosis.tech/crm/deal/details/11296/</t>
  </si>
  <si>
    <t>COOPERATIVA DE TRABAJO UNION DE PRODUCTORES Y ARTESANOS DOMSELAAR LIMITADA</t>
  </si>
  <si>
    <t>30-71560714-6</t>
  </si>
  <si>
    <t>1 FULL + 1 POS + 1 POP + 1 AEC + 1 AVM</t>
  </si>
  <si>
    <t>Agustina</t>
  </si>
  <si>
    <t>https://crm.infosis.tech/crm/deal/details/11230/</t>
  </si>
  <si>
    <t>INTEGRACION MÁS PEDIDOS</t>
  </si>
  <si>
    <t>ACTUALIZACIÓN TINTOMÉTRICO TERSUAVE</t>
  </si>
  <si>
    <t>https://crm.infosis.tech/crm/deal/details/11306/</t>
  </si>
  <si>
    <t>DESARROLLO FIRMAS ELECTRONICAS</t>
  </si>
  <si>
    <t>https://crm.infosis.tech/crm/deal/details/11444/</t>
  </si>
  <si>
    <t>https://crm.infosis.tech/crm/deal/details/11452/</t>
  </si>
  <si>
    <t>https://crm.infosis.tech/crm/deal/details/11334/</t>
  </si>
  <si>
    <t>HOGAR &amp; OBRA S.A.S.</t>
  </si>
  <si>
    <t>https://crm.infosis.tech/crm/deal/details/11324/</t>
  </si>
  <si>
    <t>https://crm.infosis.tech/crm/deal/details/11322/</t>
  </si>
  <si>
    <t>https://crm.infosis.tech/crm/deal/details/11370/</t>
  </si>
  <si>
    <t>2 FULL + 2 POS + 1 AMH + 1 AVM</t>
  </si>
  <si>
    <t>https://crm.infosis.tech/crm/deal/details/9810/</t>
  </si>
  <si>
    <t>AMANTES DE LA PLAYA, S.A</t>
  </si>
  <si>
    <t>https://crm.infosis.tech/crm/deal/details/11480/</t>
  </si>
  <si>
    <t>HURLIPINT SRL</t>
  </si>
  <si>
    <t>30-71812241-0</t>
  </si>
  <si>
    <t>https://crm.infosis.tech/crm/deal/details/10480/</t>
  </si>
  <si>
    <t>CANAL ADICIONAL BALCONY TINU PLAN LITE</t>
  </si>
  <si>
    <t>https://crm.infosis.tech/crm/deal/details/11172/</t>
  </si>
  <si>
    <t>BALOGUA MPD S.A.</t>
  </si>
  <si>
    <t>30-71597214-6</t>
  </si>
  <si>
    <t>4 FULL + 2 POS + 1 POS PACK+ 8 VND + 2 POP + 2 WHW + 1 AVM</t>
  </si>
  <si>
    <t>https://crm.infosis.tech/crm/deal/details/9804/</t>
  </si>
  <si>
    <t>DESARROLLO FACTURACIÓN DISTRIBUIDA</t>
  </si>
  <si>
    <t>CANAL ADICIONAL BALCONY SHOPIFY</t>
  </si>
  <si>
    <t>https://crm.infosis.tech/crm/deal/details/11664/</t>
  </si>
  <si>
    <t>https://crm.infosis.tech/crm/deal/details/11224/</t>
  </si>
  <si>
    <t>GRUPPA 3 SRL</t>
  </si>
  <si>
    <t>30-71524554-6</t>
  </si>
  <si>
    <t>https://crm.infosis.tech/crm/deal/details/11332/</t>
  </si>
  <si>
    <t>SALABERRY LEONARDO MAXIMILIANO</t>
  </si>
  <si>
    <t>23-32492737-9</t>
  </si>
  <si>
    <t>2 FULL + 4 POS + 1 AVM</t>
  </si>
  <si>
    <t>NCev - Eventos Marketing</t>
  </si>
  <si>
    <t>https://crm.infosis.tech/crm/deal/details/11404/</t>
  </si>
  <si>
    <t>GONMAX SRL</t>
  </si>
  <si>
    <t>30-71694578-9</t>
  </si>
  <si>
    <t>https://crm.infosis.tech/crm/deal/details/11744/</t>
  </si>
  <si>
    <t>SOUTH AMERICA SHIPPING SOCIEDAD POR ACCIONES SIMPLIFICADA</t>
  </si>
  <si>
    <t>30-71642952-7</t>
  </si>
  <si>
    <t>1 FULL + 1 POP</t>
  </si>
  <si>
    <t>https://crm.infosis.tech/crm/deal/details/11752/</t>
  </si>
  <si>
    <t>18 POS + 3 POS BONIFICADOS + 5 POP + 7 WHW + PCP</t>
  </si>
  <si>
    <t>https://crm.infosis.tech/crm/deal/details/11824/</t>
  </si>
  <si>
    <t>DESARROLLO MODULO DE PROMOCIONES</t>
  </si>
  <si>
    <t>https://crm.infosis.tech/crm/deal/details/11748/</t>
  </si>
  <si>
    <t>VANOLI HUGO MARIO</t>
  </si>
  <si>
    <t>20-11806301-6</t>
  </si>
  <si>
    <t>1 FULL + 10 POS + 1 AVM (BONIFICADO 9 MESES).</t>
  </si>
  <si>
    <t>https://crm.infosis.tech/crm/deal/details/11822/</t>
  </si>
  <si>
    <t>https://crm.infosis.tech/crm/deal/details/11836/</t>
  </si>
  <si>
    <t>URRA ERICA MELISA ANA</t>
  </si>
  <si>
    <t>27-30909740-3</t>
  </si>
  <si>
    <t>1 FULL+ 1 POS + 1 AVM (BONIFICADO 9 MESES).</t>
  </si>
  <si>
    <t>https://crm.infosis.tech/crm/deal/details/11794/</t>
  </si>
  <si>
    <t>MANEKESE, S.R.L</t>
  </si>
  <si>
    <t>1 FULL + ALTA DE NUEVA RAZÓN SOCIAL</t>
  </si>
  <si>
    <t>https://crm.infosis.tech/crm/deal/details/11446/</t>
  </si>
  <si>
    <t>ALDACOUR EDUARDO JAVIER</t>
  </si>
  <si>
    <t>20-21739584-5</t>
  </si>
  <si>
    <t>1 FULL + 1 AVM (BONIFICADO 9 MESES).</t>
  </si>
  <si>
    <t>https://crm.infosis.tech/crm/deal/details/11634/</t>
  </si>
  <si>
    <t>BRIONES DANIEL ALEJANDRO</t>
  </si>
  <si>
    <t>20-22969567-4</t>
  </si>
  <si>
    <t>1 FULL + 1 AVM.</t>
  </si>
  <si>
    <t>https://crm.infosis.tech/crm/deal/details/11862/</t>
  </si>
  <si>
    <t>LEMA EQUIPAMIENTOS S.R.L.</t>
  </si>
  <si>
    <t>30-71758761-4</t>
  </si>
  <si>
    <t>1 FULL + 1 AVM (BONIFICADO 6 MESES).</t>
  </si>
  <si>
    <t>https://crm.infosis.tech/crm/deal/details/10572/</t>
  </si>
  <si>
    <t>30-71828172-1</t>
  </si>
  <si>
    <t>https://crm.infosis.tech/crm/deal/details/11896/</t>
  </si>
  <si>
    <t>UTILISIMO S.R.L.</t>
  </si>
  <si>
    <t>30-71764566-5</t>
  </si>
  <si>
    <t>https://crm.infosis.tech/crm/deal/details/7660/</t>
  </si>
  <si>
    <t>GIRGOLAS DE LA GRANJA SOCIEDAD SIMPLE</t>
  </si>
  <si>
    <t>https://crm.infosis.tech/crm/deal/details/11938/</t>
  </si>
  <si>
    <t>ALTA DE 8 NUEVAS RAZONES SOCIALES</t>
  </si>
  <si>
    <t>ALTA DE 2 POS + 2 POS PACK PLUS BONIFICADOS</t>
  </si>
  <si>
    <t>https://crm.infosis.tech/crm/deal/details/11998/</t>
  </si>
  <si>
    <t>ESTACIÓN DE BEBIDAS S.R.L</t>
  </si>
  <si>
    <t>30-71503771-4</t>
  </si>
  <si>
    <t>https://crm.infosis.tech/crm/deal/details/11942/</t>
  </si>
  <si>
    <t xml:space="preserve">ALTA DE TINTOMÉTRICOS SINTEPLAS INDUSTRIA Y VICTORIA H Y O </t>
  </si>
  <si>
    <t>https://crm.infosis.tech/crm/deal/details/11724/</t>
  </si>
  <si>
    <t>TEN TEN S.R.L.</t>
  </si>
  <si>
    <t xml:space="preserve">30-71583023-6 </t>
  </si>
  <si>
    <t>https://crm.infosis.tech/crm/deal/details/11868/</t>
  </si>
  <si>
    <t xml:space="preserve">1 FULL+ 1 POS </t>
  </si>
  <si>
    <t>https://crm.infosis.tech/crm/deal/details/12020/</t>
  </si>
  <si>
    <t>VECCHI JAVIER RAUL</t>
  </si>
  <si>
    <t>20-26677613-7</t>
  </si>
  <si>
    <t>1 FULL + 1 POS + 1 AVM (BONIFICADO 6 MESES).</t>
  </si>
  <si>
    <t>https://crm.infosis.tech/crm/deal/details/11916/</t>
  </si>
  <si>
    <t>ALVAREZ OLGA EDITH</t>
  </si>
  <si>
    <t>https://crm.infosis.tech/crm/deal/details/12018/</t>
  </si>
  <si>
    <t>https://crm.infosis.tech/crm/deal/details/12140/</t>
  </si>
  <si>
    <t>https://crm.infosis.tech/crm/deal/details/12130/</t>
  </si>
  <si>
    <t>NUEVO MASOL MAYORISTA SA</t>
  </si>
  <si>
    <t>30-71466525-8</t>
  </si>
  <si>
    <t>2 FULL + 2 POS + 1 POS (BONIFICADO) + 6 VND + 3 POP + 3 WHW</t>
  </si>
  <si>
    <t>https://crm.infosis.tech/crm/deal/details/11944/</t>
  </si>
  <si>
    <t>DROGUERIA SAN FRANCISCO S.A.</t>
  </si>
  <si>
    <t>https://crm.infosis.tech/crm/deal/details/12162/</t>
  </si>
  <si>
    <t>ROST AGUSTIN</t>
  </si>
  <si>
    <t>https://crm.infosis.tech/crm/deal/details/12088/</t>
  </si>
  <si>
    <t>https://crm.infosis.tech/crm/deal/details/11642/</t>
  </si>
  <si>
    <t>NORTHELEC S.A.S.</t>
  </si>
  <si>
    <t>30-71596891-2</t>
  </si>
  <si>
    <t>9 FULL + 8 POS + 2 POS (BONIFICADOS) + 3 WHW + 1 AVM (BONIFICADO 12 MESES).</t>
  </si>
  <si>
    <t>https://crm.infosis.tech/crm/deal/details/12078/</t>
  </si>
  <si>
    <t>SOSA HORACIO EDGARDO</t>
  </si>
  <si>
    <t>20-14799983-7</t>
  </si>
  <si>
    <t>1 FULL + 1 POS + AVM (BONIFICADO 12 MESES).</t>
  </si>
  <si>
    <t>https://crm.infosis.tech/crm/deal/details/12144/</t>
  </si>
  <si>
    <t>CHARANI ALEXIS JOEL</t>
  </si>
  <si>
    <t>23-34520856-9</t>
  </si>
  <si>
    <t>1 FULL + 1 POS + 1 VND + AVM (BONIFICADO 12 MESES).</t>
  </si>
  <si>
    <t>https://crm.infosis.tech/crm/deal/details/12138/</t>
  </si>
  <si>
    <t>SALGADO MARCOS ANDRES</t>
  </si>
  <si>
    <t>20-25544116-8</t>
  </si>
  <si>
    <t>1 FULL + 2 VND + AVM (BONIFICADO 6 MESES).</t>
  </si>
  <si>
    <t>https://crm.infosis.tech/crm/deal/details/11170/</t>
  </si>
  <si>
    <t>ESCALANTE GONZALO TOMAS</t>
  </si>
  <si>
    <t>20-43131283-3</t>
  </si>
  <si>
    <t>2 FULL + AVM (BONIFICADO 12 MESES).</t>
  </si>
  <si>
    <t>https://crm.infosis.tech/crm/deal/details/12152/</t>
  </si>
  <si>
    <t>https://crm.infosis.tech/crm/deal/details/12118/</t>
  </si>
  <si>
    <t>GUALDESI HERMANOS S.R.L</t>
  </si>
  <si>
    <t>https://crm.infosis.tech/crm/deal/details/11372/</t>
  </si>
  <si>
    <t>DESARROLLO DE REPORTES A MEDIDA</t>
  </si>
  <si>
    <t>https://crm.infosis.tech/crm/deal/details/12328/</t>
  </si>
  <si>
    <t>https://crm.infosis.tech/crm/deal/details/12136/</t>
  </si>
  <si>
    <t>ALIMENTIS S. A. S.</t>
  </si>
  <si>
    <t>30-71799016-8</t>
  </si>
  <si>
    <t>1 FULL + 1 POS + 1 POP + 8 VND + AVM (BONIFICADO 12 MESES).</t>
  </si>
  <si>
    <t>https://crm.infosis.tech/crm/deal/details/11816/</t>
  </si>
  <si>
    <t>BENFRABEL S.A.</t>
  </si>
  <si>
    <t>30-71701687-0</t>
  </si>
  <si>
    <t>3 FULL- 3 POS- 3 VND + AVM (BONIFICADO 9 MESES).</t>
  </si>
  <si>
    <t>https://crm.infosis.tech/crm/deal/details/12040/</t>
  </si>
  <si>
    <t>https://crm.infosis.tech/crm/deal/details/11704/</t>
  </si>
  <si>
    <t>RECOWSKY SPOSITO ASOCIADOS  S.A.</t>
  </si>
  <si>
    <t>30-71816269-2</t>
  </si>
  <si>
    <t>1 FULL + AVM (BONIFICADO 6 MESES).</t>
  </si>
  <si>
    <t>https://crm.infosis.tech/crm/deal/details/12396/</t>
  </si>
  <si>
    <t>SERVAL SAS</t>
  </si>
  <si>
    <t>30-71607105-3</t>
  </si>
  <si>
    <t>https://crm.infosis.tech/crm/deal/details/11280/</t>
  </si>
  <si>
    <t>ALTA DE NUEVA RAZÓN SOCIAL (BONIFICADA)</t>
  </si>
  <si>
    <t>https://crm.infosis.tech/crm/deal/details/12500/</t>
  </si>
  <si>
    <t>https://crm.infosis.tech/crm/deal/details/12148/</t>
  </si>
  <si>
    <t>CASA MAJLUF SRL</t>
  </si>
  <si>
    <t>ACTUALIZACIÓN TINTOMÉTRICO ALBA HYO  (BONIFICADA)</t>
  </si>
  <si>
    <t>https://crm.infosis.tech/crm/deal/details/12394/</t>
  </si>
  <si>
    <t>ALDEANO`S  S.R.L.</t>
  </si>
  <si>
    <t>https://crm.infosis.tech/crm/deal/details/12558/</t>
  </si>
  <si>
    <t>ALTA TINTOMÉTRICO ALBA HYO</t>
  </si>
  <si>
    <t>https://crm.infosis.tech/crm/deal/details/12662/</t>
  </si>
  <si>
    <t>CAMBIO DE TITUL</t>
  </si>
  <si>
    <t>https://crm.infosis.tech/crm/deal/details/11914/</t>
  </si>
  <si>
    <t>https://crm.infosis.tech/crm/deal/details/12524/</t>
  </si>
  <si>
    <t>PICCIN HUMBERTO Y PICCIN NELIDA S.H</t>
  </si>
  <si>
    <t>30-57887621-5</t>
  </si>
  <si>
    <t>ACTUALIZACIÓN TINTOMÉTRICO ALBA HYO</t>
  </si>
  <si>
    <t>https://crm.infosis.tech/crm/deal/details/12504/</t>
  </si>
  <si>
    <t>PERFUMERIA BURGOS S.R.L.</t>
  </si>
  <si>
    <t>https://crm.infosis.tech/crm/deal/details/12508/</t>
  </si>
  <si>
    <t>RODAS GABRIELA CAROLINE</t>
  </si>
  <si>
    <t>27-32041150-0</t>
  </si>
  <si>
    <t>1 FULL + 1 POS + 1 AVM (BONIFICADO 12 MESES).</t>
  </si>
  <si>
    <t>https://crm.infosis.tech/crm/deal/details/12638/</t>
  </si>
  <si>
    <t>https://crm.infosis.tech/crm/deal/details/12778/</t>
  </si>
  <si>
    <t>https://crm.infosis.tech/crm/deal/details/12712/</t>
  </si>
  <si>
    <t xml:space="preserve">KROMACOLOR PINTURERIAS S.R.L </t>
  </si>
  <si>
    <t>INTEGRACION BALCONY PLAN ULTRA</t>
  </si>
  <si>
    <t>https://crm.infosis.tech/crm/deal/details/12800/</t>
  </si>
  <si>
    <t>PINTURERIAS CAPORASO HNOS S.R.L</t>
  </si>
  <si>
    <t>https://crm.infosis.tech/crm/deal/details/12842/</t>
  </si>
  <si>
    <t>FERNANDEZ ALEJANDRA SOLEDAD</t>
  </si>
  <si>
    <t>27-34561344-2</t>
  </si>
  <si>
    <t>1 FULL + 1 POS + 2 VND + 1 AVM (BONIFICADO 12 MESES)</t>
  </si>
  <si>
    <t>https://crm.infosis.tech/crm/deal/details/12710/</t>
  </si>
  <si>
    <t>MARTINEZ LEANDRO YAMIL</t>
  </si>
  <si>
    <t>20-25667264-3</t>
  </si>
  <si>
    <t>1 FULL + 2 POS + 1 AVM  (BONIFICADO 6 MESES)</t>
  </si>
  <si>
    <t>https://crm.infosis.tech/crm/deal/details/12912/</t>
  </si>
  <si>
    <t>HERRAJES LOS HALCONES S.R.L.</t>
  </si>
  <si>
    <t>30-71611192-6</t>
  </si>
  <si>
    <t>2 FULL + 1 POS + 1 WHW + 1 AVM (BONIFICADO 6 MESES)</t>
  </si>
  <si>
    <t>https://crm.infosis.tech/crm/deal/details/12678/</t>
  </si>
  <si>
    <t>https://crm.infosis.tech/crm/deal/details/12930/</t>
  </si>
  <si>
    <t>https://crm.infosis.tech/crm/deal/details/12010/</t>
  </si>
  <si>
    <t>MONACO AUTOMOTORES SAS</t>
  </si>
  <si>
    <t>30-71772498-0</t>
  </si>
  <si>
    <t>1 FULL + 2 POS + 1 AVM</t>
  </si>
  <si>
    <t>https://crm.infosis.tech/crm/deal/details/12848/</t>
  </si>
  <si>
    <t>POLLOS AVE S.A</t>
  </si>
  <si>
    <t>https://crm.infosis.tech/crm/deal/details/12932/</t>
  </si>
  <si>
    <t>HERRADA HORACIO FABIAN</t>
  </si>
  <si>
    <t>20-23487478-1</t>
  </si>
  <si>
    <t>2 FULL + 4 POS + 1 POP + 1 AVM</t>
  </si>
  <si>
    <t>https://crm.infosis.tech/crm/deal/details/12954/</t>
  </si>
  <si>
    <t>SANTILLAN JORGE EDUARDO</t>
  </si>
  <si>
    <t>23-27202855-9</t>
  </si>
  <si>
    <t>2 FULL + 1 POS + 1 AVM</t>
  </si>
  <si>
    <t>https://crm.infosis.tech/crm/deal/details/12914/</t>
  </si>
  <si>
    <t>https://crm.infosis.tech/crm/deal/details/13046/</t>
  </si>
  <si>
    <t>https://crm.infosis.tech/crm/deal/details/12962/</t>
  </si>
  <si>
    <t>IRALA CORONEL MARCOS ANTONIO</t>
  </si>
  <si>
    <t>20-47497151-2</t>
  </si>
  <si>
    <t>1 FULL + 1 AMH + 1 AVM</t>
  </si>
  <si>
    <t>https://crm.infosis.tech/crm/deal/details/12918/</t>
  </si>
  <si>
    <t>ONTIVERO CARLOS IGNACIO</t>
  </si>
  <si>
    <t>20-39303937-0</t>
  </si>
  <si>
    <t>CAMBIO DE TITULARIDAD A: ONTIVERO ANGELES MILAGROS (CUIT 27-45242141-6)</t>
  </si>
  <si>
    <t>https://crm.infosis.tech/crm/deal/details/12990/</t>
  </si>
  <si>
    <t>RUTENIA S.A.</t>
  </si>
  <si>
    <t>https://crm.infosis.tech/crm/deal/details/13096/</t>
  </si>
  <si>
    <t>SAAB LUCIANO KHALIL</t>
  </si>
  <si>
    <t>20-43406322-2</t>
  </si>
  <si>
    <t>https://crm.infosis.tech/crm/deal/details/13168/</t>
  </si>
  <si>
    <t>VINCENT ALEJANDRO JUAN</t>
  </si>
  <si>
    <t>20-22522650-5</t>
  </si>
  <si>
    <t>https://crm.infosis.tech/crm/deal/details/12926/</t>
  </si>
  <si>
    <t>30-70861094-8</t>
  </si>
  <si>
    <t>https://crm.infosis.tech/crm/deal/details/13178/</t>
  </si>
  <si>
    <t>https://crm.infosis.tech/crm/deal/details/13124/</t>
  </si>
  <si>
    <t>JUNIOR CROS S.A.S.</t>
  </si>
  <si>
    <t>33-71736142-9</t>
  </si>
  <si>
    <t>https://crm.infosis.tech/crm/deal/details/13152/</t>
  </si>
  <si>
    <t>1 FULL + ACTUALIZACIÓN TINTOMETRICO ALBA (HyO)</t>
  </si>
  <si>
    <t>https://crm.infosis.tech/crm/deal/details/13084/</t>
  </si>
  <si>
    <t>NIEVA YAMIL ALEJANDRO</t>
  </si>
  <si>
    <t>20-35591243-5</t>
  </si>
  <si>
    <t>https://crm.infosis.tech/crm/deal/details/13234/</t>
  </si>
  <si>
    <t>https://crm.infosis.tech/crm/deal/details/13174/</t>
  </si>
  <si>
    <t>KINZTLER ALAN JOEL</t>
  </si>
  <si>
    <t>COPIADO FULL S.R.L</t>
  </si>
  <si>
    <t>30-71721923-2</t>
  </si>
  <si>
    <t>https://crm.infosis.tech/crm/deal/details/13266/</t>
  </si>
  <si>
    <t>AG BLOCK S.A.S.</t>
  </si>
  <si>
    <t>30-71661629-7</t>
  </si>
  <si>
    <t>6 FULL + 4 POS + 1 POS PACK + 3 WHW + 1 AVM</t>
  </si>
  <si>
    <t>https://crm.infosis.tech/crm/deal/details/13294/</t>
  </si>
  <si>
    <t>https://crm.infosis.tech/crm/deal/details/13220/</t>
  </si>
  <si>
    <t>https://crm.infosis.tech/crm/deal/details/13390/</t>
  </si>
  <si>
    <t>FC-LOGISTICS S. R. L.</t>
  </si>
  <si>
    <t>30-71757910-7</t>
  </si>
  <si>
    <t>https://crm.infosis.tech/crm/deal/details/13180/</t>
  </si>
  <si>
    <t>https://crm.infosis.tech/crm/deal/details/13454/</t>
  </si>
  <si>
    <t>PANORAMA TONER S.A.</t>
  </si>
  <si>
    <t>30-71816228-5</t>
  </si>
  <si>
    <t>https://crm.infosis.tech/crm/deal/details/13328/</t>
  </si>
  <si>
    <t>M.D.P.L. S.A.</t>
  </si>
  <si>
    <t>33-71836399-9</t>
  </si>
  <si>
    <t>https://crm.infosis.tech/crm/deal/details/13298/</t>
  </si>
  <si>
    <t>https://crm.infosis.tech/crm/deal/details/13322/</t>
  </si>
  <si>
    <t>PINTURERIAS CAPORASO HNOS S.R.L.</t>
  </si>
  <si>
    <t>https://crm.infosis.tech/crm/deal/details/13442/</t>
  </si>
  <si>
    <t>ACTUALIZACIÓN TINTOMETRICO ALBA (HyO)</t>
  </si>
  <si>
    <t>https://crm.infosis.tech/crm/deal/details/13252/</t>
  </si>
  <si>
    <t>https://crm.infosis.tech/crm/deal/details/13362/</t>
  </si>
  <si>
    <t>PINTURERIA SENDRA S.R.L.</t>
  </si>
  <si>
    <t>https://crm.infosis.tech/crm/deal/details/13472/</t>
  </si>
  <si>
    <t>BALOGUA MDP S.A.</t>
  </si>
  <si>
    <t>ONBOARDING POR IMPORTACIÓN DE DATA</t>
  </si>
  <si>
    <t>https://crm.infosis.tech/crm/deal/details/13450/</t>
  </si>
  <si>
    <t>REVESTIMIENTOS DEL PLATA S.A.</t>
  </si>
  <si>
    <t>30-71069210-2</t>
  </si>
  <si>
    <t>https://crm.infosis.tech/crm/deal/details/13182/</t>
  </si>
  <si>
    <t>MORAIZ KARIM MILAGROS</t>
  </si>
  <si>
    <t>27-39594419-9</t>
  </si>
  <si>
    <t>https://crm.infosis.tech/crm/deal/details/13438/</t>
  </si>
  <si>
    <t>https://crm.infosis.tech/crm/deal/details/13656/</t>
  </si>
  <si>
    <t>https://crm.infosis.tech/crm/deal/details/13694/</t>
  </si>
  <si>
    <t>EUROPATAGONICA S.A.</t>
  </si>
  <si>
    <t>30-70847112-3</t>
  </si>
  <si>
    <t>https://crm.infosis.tech/crm/deal/details/13620/</t>
  </si>
  <si>
    <t>PINTURERIA SARNO S.R.L</t>
  </si>
  <si>
    <t xml:space="preserve">30-71054222-4
</t>
  </si>
  <si>
    <t>CAMBIO DE TITULARIDAD A: SARNO CHRISTIAN HERNAN (CUIT 23-24126977-9)</t>
  </si>
  <si>
    <t>https://crm.infosis.tech/crm/deal/details/13628/</t>
  </si>
  <si>
    <t>https://crm.infosis.tech/crm/deal/details/13764/</t>
  </si>
  <si>
    <t xml:space="preserve">INTEGRACION BALCONY PLAN LITE </t>
  </si>
  <si>
    <t>https://crm.infosis.tech/crm/deal/details/13766/</t>
  </si>
  <si>
    <t>EMPRESA ARGENTINA DE NAVEGACION AEREA S.E.</t>
  </si>
  <si>
    <t>30-71515195-9</t>
  </si>
  <si>
    <t>https://crm.infosis.tech/crm/deal/details/13798/</t>
  </si>
  <si>
    <t>HOBBY TOYS S.A.</t>
  </si>
  <si>
    <t>30-71720875-3</t>
  </si>
  <si>
    <t>1 FULL + 3 POS + 2 TCP + 1 AMH + 1 AEC + 1 AVM</t>
  </si>
  <si>
    <t>https://crm.infosis.tech/crm/deal/details/13218/</t>
  </si>
  <si>
    <t>INTEGRACION BALCONY PLAN LITE + WOOCOMMERCE</t>
  </si>
  <si>
    <t>https://crm.infosis.tech/crm/deal/details/13796/</t>
  </si>
  <si>
    <t>https://crm.infosis.tech/crm/deal/details/13814/</t>
  </si>
  <si>
    <t>https://crm.infosis.tech/crm/deal/details/13624/</t>
  </si>
  <si>
    <t>BERGIA SEBASTIAN RODOLFO Y BERGIA SILVANA RAQUEL SOCIEDAD DE</t>
  </si>
  <si>
    <t>30-71240875-4</t>
  </si>
  <si>
    <t>6 FULL + 7 POS + 1 POS PACK + 1 WHW + 1 AVM</t>
  </si>
  <si>
    <t>https://crm.infosis.tech/crm/deal/details/13404/</t>
  </si>
  <si>
    <t>1 FULL + 3 POS + 1 AVM</t>
  </si>
  <si>
    <t>https://crm.infosis.tech/crm/deal/details/13720/</t>
  </si>
  <si>
    <t>https://crm.infosis.tech/crm/deal/details/13852/</t>
  </si>
  <si>
    <t>INTEGRACION BALCONY PLAN LITE + MERCADO SHOPS</t>
  </si>
  <si>
    <t>https://crm.infosis.tech/crm/deal/details/12124/</t>
  </si>
  <si>
    <t>KILOMETRO 342 S.A.</t>
  </si>
  <si>
    <t>30-71690863-8</t>
  </si>
  <si>
    <t>3 FULL + 3 POS + 1 AEC + 1 AVM</t>
  </si>
  <si>
    <t>https://crm.infosis.tech/crm/deal/details/13670/</t>
  </si>
  <si>
    <t>OYARZUN VILLANUEVA JUAN ALBERTO</t>
  </si>
  <si>
    <t>20-94475624-9</t>
  </si>
  <si>
    <t>https://crm.infosis.tech/crm/deal/details/13618/</t>
  </si>
  <si>
    <t>https://crm.infosis.tech/crm/deal/details/13832/</t>
  </si>
  <si>
    <t>https://crm.infosis.tech/crm/deal/details/13444/</t>
  </si>
  <si>
    <t>DIAGNOSTICOS VEGETALES S.A.</t>
  </si>
  <si>
    <t>30-63894286-7</t>
  </si>
  <si>
    <t>https://crm.infosis.tech/crm/deal/details/13944/</t>
  </si>
  <si>
    <t>CAMBIO AUTORIZADO DE 1 POP x 1 POS</t>
  </si>
  <si>
    <t>https://crm.infosis.tech/crm/deal/details/13908</t>
  </si>
  <si>
    <t>ALTA DE NUEVA RAZÓN SOCIAL (INCLUIDA EN AVM)</t>
  </si>
  <si>
    <t>https://crm.infosis.tech/crm/deal/details/13982/</t>
  </si>
  <si>
    <t>PINTURERIAS Y FERRETERIAS EL SOL S.A.</t>
  </si>
  <si>
    <t>30-70942292-4</t>
  </si>
  <si>
    <t>https://crm.infosis.tech/crm/deal/details/13954/</t>
  </si>
  <si>
    <t>DISANTE DANIEL ALEJANDRO</t>
  </si>
  <si>
    <t>20-16937758-9</t>
  </si>
  <si>
    <t>https://crm.infosis.tech/crm/deal/details/14036/</t>
  </si>
  <si>
    <t>https://crm.infosis.tech/crm/deal/details/14104/</t>
  </si>
  <si>
    <t xml:space="preserve">30-70963444-1
</t>
  </si>
  <si>
    <t>https://crm.infosis.tech/crm/deal/details/13992/</t>
  </si>
  <si>
    <t>https://crm.infosis.tech/crm/deal/details/13498/</t>
  </si>
  <si>
    <t>GARULLA HERALDO OSCAR</t>
  </si>
  <si>
    <t>20-33605113-5</t>
  </si>
  <si>
    <t>1 FULL + 2 VND + 1 AVM</t>
  </si>
  <si>
    <t>https://crm.infosis.tech/crm/deal/details/14048/</t>
  </si>
  <si>
    <t>https://crm.infosis.tech/crm/deal/details/13808/</t>
  </si>
  <si>
    <t>ESTAMPAS TEXTILES S.R.L.</t>
  </si>
  <si>
    <t>30-71590273-3</t>
  </si>
  <si>
    <t>1 FULL + 1 POS + 1 WHW + 1 AVM</t>
  </si>
  <si>
    <t>https://crm.infosis.tech/crm/deal/details/14124/</t>
  </si>
  <si>
    <t>DRYMAX SRL</t>
  </si>
  <si>
    <t>2 FULL + 2 POS + 1 AVM</t>
  </si>
  <si>
    <t>https://crm.infosis.tech/crm/deal/details/14076/</t>
  </si>
  <si>
    <t>3 TINTOMÉTRICOS HOGAR Y OBRA (ALBA-TERSUAVE-SINTEPLAST)</t>
  </si>
  <si>
    <t>https://crm.infosis.tech/crm/deal/details/14092/</t>
  </si>
  <si>
    <t>NEUCON CONSTRUCCION EN SECO SRL</t>
  </si>
  <si>
    <t>https://crm.infosis.tech/crm/deal/details/13044/</t>
  </si>
  <si>
    <t>TESBAR S. R. L.</t>
  </si>
  <si>
    <t>30-71686851-2</t>
  </si>
  <si>
    <t>2 FULL + 1 POS + 1 WHW + 1 AVM</t>
  </si>
  <si>
    <t>Whatsapp 5491126679502</t>
  </si>
  <si>
    <t>https://crm.infosis.tech/crm/deal/details/13658</t>
  </si>
  <si>
    <t>https://crm.infosis.tech/crm/deal/details/14188/</t>
  </si>
  <si>
    <t>MARDIROSSIAN MARIO CLAUDIO</t>
  </si>
  <si>
    <t>20-14064458-8</t>
  </si>
  <si>
    <t>https://crm.infosis.tech/crm/deal/details/14226/</t>
  </si>
  <si>
    <t>https://crm.infosis.tech/crm/deal/details/14266/</t>
  </si>
  <si>
    <t>NORMALIZACION: 2 FULL + 1 POS BONIFICADO + 3 POP BONIFICADOS + 1 VND + 5 TCP + 5 WHW</t>
  </si>
  <si>
    <t>https://crm.infosis.tech/crm/deal/details/14296/</t>
  </si>
  <si>
    <t>https://crm.infosis.tech/crm/deal/details/12506/</t>
  </si>
  <si>
    <t>https://crm.infosis.tech/crm/deal/details/14294/</t>
  </si>
  <si>
    <t>JAMAN S.R.L.</t>
  </si>
  <si>
    <t>30-71471838-6</t>
  </si>
  <si>
    <t>2 FULL + 1 POS + 2 VND + 1 WHW + 1 AMH + 1 AEC + 1 AVM</t>
  </si>
  <si>
    <t>https://crm.infosis.tech/crm/deal/details/14176/</t>
  </si>
  <si>
    <t>NORMALIZACION: 4 FULL + 4 POS BONIFICADO</t>
  </si>
  <si>
    <t>https://crm.infosis.tech/crm/deal/details/14412/</t>
  </si>
  <si>
    <t>MAURO MAROA</t>
  </si>
  <si>
    <t>20-39162586-8</t>
  </si>
  <si>
    <t>https://crm.infosis.tech/crm/deal/details/12314/</t>
  </si>
  <si>
    <t>CALVO VICTORIA ALEJANDRA</t>
  </si>
  <si>
    <t>27-20065318-7</t>
  </si>
  <si>
    <t>https://crm.infosis.tech/crm/deal/details/14372/</t>
  </si>
  <si>
    <t>PINTURERIA GASTON S.R.L.</t>
  </si>
  <si>
    <t>30-70814298-7</t>
  </si>
  <si>
    <t>ALTA DE 2 NUEVAS RAZONES SOCIALES: CARSFIRST SA CUIT: 30716686813 // GESTION INTERNACIONAL SA CUIT 30-71707633-4</t>
  </si>
  <si>
    <t>https://crm.infosis.tech/crm/deal/details/14022/</t>
  </si>
  <si>
    <t>PORTALEZ SANTIAGO MARTIN</t>
  </si>
  <si>
    <t>https://crm.infosis.tech/crm/deal/details/14440/</t>
  </si>
  <si>
    <t>MITRE MARTINA GABRIELA</t>
  </si>
  <si>
    <t>27-32543797-4</t>
  </si>
  <si>
    <t>https://crm.infosis.tech/crm/deal/details/14414/</t>
  </si>
  <si>
    <t>SCONZA MARIANO ARIEL</t>
  </si>
  <si>
    <t>20-30451218-1</t>
  </si>
  <si>
    <t>2 FULL + 1 AVM</t>
  </si>
  <si>
    <t>https://crm.infosis.tech/crm/deal/details/14478/</t>
  </si>
  <si>
    <t>LA ESTRELLA DE ANTA S.R.L</t>
  </si>
  <si>
    <t>https://crm.infosis.tech/crm/deal/details/14256/</t>
  </si>
  <si>
    <t>CAMBIO DE TITULARIDAD A: COPIADO TRIBUNALES S.R.L (CUIT 30-71839665-0)</t>
  </si>
  <si>
    <t>https://crm.infosis.tech/crm/deal/details/14094/</t>
  </si>
  <si>
    <t>DISENO Y ESTILO SRL</t>
  </si>
  <si>
    <t>33-69917448-9</t>
  </si>
  <si>
    <t>https://crm.infosis.tech/crm/deal/details/14470/</t>
  </si>
  <si>
    <t>https://crm.infosis.tech/crm/deal/details/14464/</t>
  </si>
  <si>
    <t>CABRAL MARIA CRISTINA</t>
  </si>
  <si>
    <t>23-25107078-4</t>
  </si>
  <si>
    <t>https://crm.infosis.tech/crm/deal/details/12186/</t>
  </si>
  <si>
    <t>https://crm.infosis.tech/crm/deal/details/14564/</t>
  </si>
  <si>
    <t>BZ GROUP S.A.</t>
  </si>
  <si>
    <t>30-71480211-5</t>
  </si>
  <si>
    <t>6 FULL + 3 POS + 1 POS PACK + 2 POP + 1 WHW + 1 AVM</t>
  </si>
  <si>
    <t>https://crm.infosis.tech/crm/deal/details/14220/</t>
  </si>
  <si>
    <t>https://crm.infosis.tech/crm/deal/details/14608/</t>
  </si>
  <si>
    <t xml:space="preserve">DESARROLLO A MEDIDA - FASE 1 </t>
  </si>
  <si>
    <t>https://crm.infosis.tech/crm/deal/details/14644/</t>
  </si>
  <si>
    <t>https://crm.infosis.tech/crm/deal/details/14668/</t>
  </si>
  <si>
    <t>CAMBIO DE TITULARIDAD Y ALTA DE NUEVA RAZON SOCIAL  A: ROLANDO SAAB (20-38067472-7)</t>
  </si>
  <si>
    <t>https://crm.infosis.tech/crm/deal/details/14632/</t>
  </si>
  <si>
    <t>GUMAR REPUESTOS S.R.L.</t>
  </si>
  <si>
    <t>30-70855888-1</t>
  </si>
  <si>
    <t>https://crm.infosis.tech/crm/deal/details/14606/</t>
  </si>
  <si>
    <t>MC PINTURAS S.A.</t>
  </si>
  <si>
    <t>4 FULL + 1 POS PACK PLUS + 10</t>
  </si>
  <si>
    <t>https://crm.infosis.tech/crm/deal/details/14438/</t>
  </si>
  <si>
    <t>https://crm.infosis.tech/crm/deal/details/14634/</t>
  </si>
  <si>
    <t>https://crm.infosis.tech/crm/deal/details/14746/</t>
  </si>
  <si>
    <t>https://crm.infosis.tech/crm/deal/details/14730/</t>
  </si>
  <si>
    <t>https://crm.infosis.tech/crm/deal/details/14820/</t>
  </si>
  <si>
    <t>PAPELERA 88 S.R.L.</t>
  </si>
  <si>
    <t>https://crm.infosis.tech/crm/deal/details/14710/</t>
  </si>
  <si>
    <t>VELTI S.A.</t>
  </si>
  <si>
    <t>30-71691208-2</t>
  </si>
  <si>
    <t>https://crm.infosis.tech/crm/deal/details/14826/</t>
  </si>
  <si>
    <t>MORVICH SAS</t>
  </si>
  <si>
    <t>30-71727799-2</t>
  </si>
  <si>
    <t>https://crm.infosis.tech/crm/deal/details/13834/</t>
  </si>
  <si>
    <t>PMF MDP DISTRIBUCION DE CARNES Y DERIVADOS S.A.</t>
  </si>
  <si>
    <t>33-71771103-9</t>
  </si>
  <si>
    <t>8 FULL + 8 POS + 2 POP + 1 AVM</t>
  </si>
  <si>
    <t>https://crm.infosis.tech/crm/deal/details/14430/</t>
  </si>
  <si>
    <t>2 VND + 1 POP</t>
  </si>
  <si>
    <t>https://crm.infosis.tech/crm/deal/details/14886/</t>
  </si>
  <si>
    <t>https://crm.infosis.tech/crm/deal/details/14760/</t>
  </si>
  <si>
    <t>https://crm.infosis.tech/crm/deal/details/14902/</t>
  </si>
  <si>
    <t>DESARROLLO A MEDIDA - FASE 2</t>
  </si>
  <si>
    <t>MIX WARNES S.A</t>
  </si>
  <si>
    <t>30-70934987-9</t>
  </si>
  <si>
    <t>2 FULL + 7 POS + 1 POS PACK PLUS + 1 WHW + 1 AVM</t>
  </si>
  <si>
    <t>https://crm.infosis.tech/crm/deal/details/14686/</t>
  </si>
  <si>
    <t>FISCHER ARGENTINA S.A</t>
  </si>
  <si>
    <t>30-51634872-7</t>
  </si>
  <si>
    <t>https://crm.infosis.tech/crm/deal/details/14752/</t>
  </si>
  <si>
    <t>MAYFLOR S.A.</t>
  </si>
  <si>
    <t>30-71408596-0</t>
  </si>
  <si>
    <t>1 FULL + 6 POS + 1 POS PACK PLUS + 2 POP + 4 WHW+ 1 AMH + 1 AEC + 1 AVM</t>
  </si>
  <si>
    <t>https://crm.infosis.tech/crm/deal/details/14900/</t>
  </si>
  <si>
    <t>NAHUEL PENA SPAMPINATO</t>
  </si>
  <si>
    <t>20-38891246-5</t>
  </si>
  <si>
    <t>https://crm.infosis.tech/crm/deal/details/14122/</t>
  </si>
  <si>
    <t>ESTHER S.A</t>
  </si>
  <si>
    <t>30-71854916-3</t>
  </si>
  <si>
    <t>2 FULL + 4 POS + 1 WHW + 1 AVM</t>
  </si>
  <si>
    <t>https://crm.infosis.tech/crm/deal/details/12028/</t>
  </si>
  <si>
    <t>1 TINTOMÉTRICO HOGAR Y OBRA (SHERWIN)</t>
  </si>
  <si>
    <t>AG BLOCK S.A.S</t>
  </si>
  <si>
    <t>https://crm.infosis.tech/crm/deal/details/14996/</t>
  </si>
  <si>
    <t>J.N.G Y ASOCIADOS S.A</t>
  </si>
  <si>
    <t>30-70843683-2</t>
  </si>
  <si>
    <t>https://crm.infosis.tech/crm/deal/details/15020/</t>
  </si>
  <si>
    <t>DECORTINA SAS</t>
  </si>
  <si>
    <t>30-71765031-6</t>
  </si>
  <si>
    <t>https://crm.infosis.tech/crm/deal/details/13532/</t>
  </si>
  <si>
    <t xml:space="preserve">MAR ROJO </t>
  </si>
  <si>
    <t>30-71746035-5</t>
  </si>
  <si>
    <t>1 FULL + 2 POS + 2 TCP + 1 AVM</t>
  </si>
  <si>
    <t>https://crm.infosis.tech/crm/deal/details/15036/</t>
  </si>
  <si>
    <t>FRANCISCO RETACCO</t>
  </si>
  <si>
    <t>20-40443989-9</t>
  </si>
  <si>
    <t>1 FULL+ 9 POS + 1 POS PACK PLUS + 1 AVM</t>
  </si>
  <si>
    <t>https://crm.infosis.tech/crm/deal/details/14828/</t>
  </si>
  <si>
    <t>2 POS + 2 POS PACK PLUS</t>
  </si>
  <si>
    <t>https://crm.infosis.tech/crm/deal/details/14802/</t>
  </si>
  <si>
    <t>1 FULL + 7 VND</t>
  </si>
  <si>
    <t>https://crm.infosis.tech/crm/deal/details/14930/</t>
  </si>
  <si>
    <t>SANTIAGO SILVANA EVANGELINA</t>
  </si>
  <si>
    <t>27-31731038-8</t>
  </si>
  <si>
    <t>https://crm.infosis.tech/crm/deal/details/14674/</t>
  </si>
  <si>
    <t>1 POS + 1 FULL</t>
  </si>
  <si>
    <t>https://crm.infosis.tech/crm/deal/details/15050/</t>
  </si>
  <si>
    <t>https://crm.infosis.tech/crm/deal/details/15118/</t>
  </si>
  <si>
    <t>IMPORTADORA FUEGUINA S.R.L</t>
  </si>
  <si>
    <t>https://crm.infosis.tech/crm/deal/details/15122/</t>
  </si>
  <si>
    <t>1 FULL (TEMP. OTOÑO-INV)+2 POS (TEMP. OTOÑO-INV) + 2 TCP (TEMP. OTOÑO-INV)</t>
  </si>
  <si>
    <t>https://crm.infosis.tech/crm/deal/details/15140/</t>
  </si>
  <si>
    <t>https://crm.infosis.tech/crm/deal/details/15148/</t>
  </si>
  <si>
    <t>https://crm.infosis.tech/crm/deal/details/15130/</t>
  </si>
  <si>
    <t>EL CASCO ATLANTICO S.A</t>
  </si>
  <si>
    <t>30-71697499-1</t>
  </si>
  <si>
    <t>https://crm.infosis.tech/crm/deal/details/14874</t>
  </si>
  <si>
    <t>GABRIELA PALANGA</t>
  </si>
  <si>
    <t>27-30909879-5</t>
  </si>
  <si>
    <t>https://crm.infosis.tech/crm/deal/details/15192/</t>
  </si>
  <si>
    <t>GUALDESI HNOS SRL</t>
  </si>
  <si>
    <t>DESARROLLO A MEDIDA: EXPORTACIONES DINAMICAS</t>
  </si>
  <si>
    <t>https://crm.infosis.tech/crm/deal/details/14476/</t>
  </si>
  <si>
    <t>DOÑA DIVA, S.A</t>
  </si>
  <si>
    <t>30-71819731-3</t>
  </si>
  <si>
    <t xml:space="preserve">6 FULL + 1 AVM </t>
  </si>
  <si>
    <t>https://crm.infosis.tech/crm/deal/details/15160/</t>
  </si>
  <si>
    <t>DESARROLLO A MEDIDA: EXPORTACION DATOS</t>
  </si>
  <si>
    <t>HIERROS CARUSO SRL</t>
  </si>
  <si>
    <t>30-70919555-3</t>
  </si>
  <si>
    <t>4 FULL + 9 POS + 1 AVM</t>
  </si>
  <si>
    <t>https://crm.infosis.tech/crm/deal/details/14978/</t>
  </si>
  <si>
    <t>https://crm.infosis.tech/crm/deal/details/15330/</t>
  </si>
  <si>
    <t>GALU SAS</t>
  </si>
  <si>
    <t>30-71776801-5</t>
  </si>
  <si>
    <t>https://crm.infosis.tech/crm/deal/details/15210/</t>
  </si>
  <si>
    <t>MAKUS S.R.L</t>
  </si>
  <si>
    <t>https://crm.infosis.tech/crm/deal/details/15348/</t>
  </si>
  <si>
    <t>VILLANUEVA CONSTRUCCIONES SRL</t>
  </si>
  <si>
    <t>30-71443733-6</t>
  </si>
  <si>
    <t>https://crm.infosis.tech/crm/deal/details/15294/</t>
  </si>
  <si>
    <t>https://crm.infosis.tech/crm/deal/details/15162/</t>
  </si>
  <si>
    <t>ALTA DE RAZON SOCIAL: RUBICON S.A.S CUIT: 30-71850960-9</t>
  </si>
  <si>
    <t>CONCEPCION TALLON TADEO</t>
  </si>
  <si>
    <t>CAMBIO DE TITULARIDAD:  PINTURERIA LA ESPAÑOLA S.R.L. CUIT 30-71857285-8</t>
  </si>
  <si>
    <t>https://crm.infosis.tech/crm/deal/details/15196</t>
  </si>
  <si>
    <t>PESQUERA DEL ESTE S.A.</t>
  </si>
  <si>
    <t>30-70748295-4</t>
  </si>
  <si>
    <t>https://crm.infosis.tech/crm/deal/details/15390/</t>
  </si>
  <si>
    <t>DANNA PABLO SEBASTIAN</t>
  </si>
  <si>
    <t>20-29573184-3</t>
  </si>
  <si>
    <t>https://crm.infosis.tech/crm/deal/details/15402/</t>
  </si>
  <si>
    <t>OLGA ALVAREZ EDITH</t>
  </si>
  <si>
    <t xml:space="preserve"> https://crm.infosis.tech/crm/deal/details/15384/</t>
  </si>
  <si>
    <t>https://crm.infosis.tech/crm/deal/details/15272/</t>
  </si>
  <si>
    <t>ALTA RAZON SOCIAL: BRANCO GO INSURTECH S.A.</t>
  </si>
  <si>
    <t>https://crm.infosis.tech/crm/deal/details/15454/</t>
  </si>
  <si>
    <t>BY DECOS S.A.S</t>
  </si>
  <si>
    <t xml:space="preserve">2 POS </t>
  </si>
  <si>
    <t>https://crm.infosis.tech/crm/deal/details/15306/</t>
  </si>
  <si>
    <t>https://crm.infosis.tech/crm/deal/details/15478/</t>
  </si>
  <si>
    <t>INTEGRACIÓN BALCONY PLAN LITE</t>
  </si>
  <si>
    <t>https://crm.infosis.tech/crm/deal/details/15456/</t>
  </si>
  <si>
    <t>CAMBIO DE TITULARIDAD: SALIG SRL CUIT 33-71716263-9</t>
  </si>
  <si>
    <t>https://crm.infosis.tech/crm/deal/details/15424/</t>
  </si>
  <si>
    <t>MINASSIAN SERGIO ANDRES</t>
  </si>
  <si>
    <t>20-11194459-9</t>
  </si>
  <si>
    <t>https://crm.infosis.tech/crm/deal/details/15514/</t>
  </si>
  <si>
    <t>RINAL SRL</t>
  </si>
  <si>
    <t>https://crm.infosis.tech/crm/deal/details/15522/</t>
  </si>
  <si>
    <t>https://crm.infosis.tech/crm/deal/details/15536/</t>
  </si>
  <si>
    <t>ALTA RAZON SOCIAL:  MINING WORKTOOLS S.R.L. 30-71731283-6  + BARREA FERNANDO JAVIER  20-23469753-7</t>
  </si>
  <si>
    <t>https://crm.infosis.tech/crm/deal/details/15400/</t>
  </si>
  <si>
    <t>LISANDRO ROSSI</t>
  </si>
  <si>
    <t>20-26398428-6</t>
  </si>
  <si>
    <t>https://crm.infosis.tech/crm/deal/details/15516/</t>
  </si>
  <si>
    <t>https://crm.infosis.tech/crm/deal/details/15576/</t>
  </si>
  <si>
    <t>https://crm.infosis.tech/crm/deal/details/15590/</t>
  </si>
  <si>
    <t>CAMBIO DE TITULARIDAD: PANDA ELECTRONIC SA 30-71759961-2</t>
  </si>
  <si>
    <t>https://crm.infosis.tech/crm/deal/details/15606/</t>
  </si>
  <si>
    <t>FISHER ARGENTINA SA</t>
  </si>
  <si>
    <r>
      <rPr>
        <rFont val="Ubuntu"/>
        <color theme="1"/>
      </rPr>
      <t>30-51634872-7</t>
    </r>
  </si>
  <si>
    <t>https://crm.infosis.tech/crm/deal/details/15568/</t>
  </si>
  <si>
    <r>
      <rPr>
        <rFont val="Ubuntu"/>
        <color theme="1"/>
      </rPr>
      <t>30-51634872-7</t>
    </r>
  </si>
  <si>
    <t xml:space="preserve">ALTA DE RAZON SOCIAL: GOF SOLUCIONES CONSTRUCTIVAS S. R. L </t>
  </si>
  <si>
    <r>
      <rPr>
        <rFont val="Ubuntu"/>
        <color theme="1"/>
      </rPr>
      <t>20-27037360-8</t>
    </r>
  </si>
  <si>
    <t>https://crm.infosis.tech/crm/deal/details/15678/</t>
  </si>
  <si>
    <r>
      <rPr>
        <rFont val="Ubuntu"/>
        <color theme="1"/>
      </rPr>
      <t>30-71240875-4</t>
    </r>
  </si>
  <si>
    <t>https://crm.infosis.tech/crm/deal/details/15578/</t>
  </si>
  <si>
    <r>
      <rPr>
        <rFont val="Ubuntu"/>
        <color theme="1"/>
      </rPr>
      <t>PINTURERIA LA ESPAÑOLA S.R.L.</t>
    </r>
  </si>
  <si>
    <r>
      <rPr>
        <rFont val="Ubuntu"/>
        <color rgb="FF1F1F1F"/>
      </rPr>
      <t>30-71857285-8</t>
    </r>
  </si>
  <si>
    <r>
      <rPr>
        <rFont val="Ubuntu"/>
        <color theme="1"/>
      </rPr>
      <t>ACTUALIZACION TINTOMETRICO SINTEPLAST (HOGAR Y OBRA,INDUSTRIA Y AUTOMOTOR)</t>
    </r>
  </si>
  <si>
    <t>https://crm.infosis.tech/crm/deal/details/15672/</t>
  </si>
  <si>
    <r>
      <rPr>
        <rFont val="Ubuntu"/>
        <color theme="1"/>
      </rPr>
      <t>27-31731038-8</t>
    </r>
  </si>
  <si>
    <t>CAMBIO DE TITULARIDAD Y ALTA DE NUEVA RAZON SOCIAL A: GRUPO TICHIELLO SAS CUIT  30-71855599-6</t>
  </si>
  <si>
    <t>https://crm.infosis.tech/crm/deal/details/15328/</t>
  </si>
  <si>
    <t xml:space="preserve">HABUN SRL </t>
  </si>
  <si>
    <t>https://crm.infosis.tech/crm/deal/details/15626/</t>
  </si>
  <si>
    <t>KOURVELIS SA</t>
  </si>
  <si>
    <t>$398.974,00</t>
  </si>
  <si>
    <t>https://crm.infosis.tech/crm/deal/details/15642/</t>
  </si>
  <si>
    <r>
      <rPr>
        <rFont val="Ubuntu"/>
        <color theme="1"/>
      </rPr>
      <t>PALLOTTA ANGEL</t>
    </r>
    <r>
      <rPr>
        <rFont val="Ubuntu"/>
        <color theme="1"/>
      </rPr>
      <t xml:space="preserve"> </t>
    </r>
    <r>
      <rPr>
        <rFont val="Ubuntu"/>
        <color theme="1"/>
      </rPr>
      <t>DANIEL</t>
    </r>
  </si>
  <si>
    <r>
      <rPr>
        <rFont val="Ubuntu"/>
        <color theme="1"/>
      </rPr>
      <t>20-13340037-1</t>
    </r>
  </si>
  <si>
    <t>https://crm.infosis.tech/crm/deal/details/15512</t>
  </si>
  <si>
    <t>https://crm.infosis.tech/crm/deal/details/15716/</t>
  </si>
  <si>
    <t>https://crm.infosis.tech/crm/deal/details/15684/</t>
  </si>
  <si>
    <r>
      <rPr>
        <rFont val="Ubuntu"/>
        <color theme="1"/>
      </rPr>
      <t>27-25767091-6</t>
    </r>
  </si>
  <si>
    <t xml:space="preserve">3 POS + 1 WHW + 1 POS PACK PLUS </t>
  </si>
  <si>
    <t>https://crm.infosis.tech/crm/deal/details/15796/</t>
  </si>
  <si>
    <r>
      <rPr>
        <rFont val="Ubuntu"/>
        <color theme="1"/>
      </rPr>
      <t>20-25295278-1</t>
    </r>
  </si>
  <si>
    <t>1 API ZEUS</t>
  </si>
  <si>
    <t>https://crm.infosis.tech/crm/deal/details/15718/</t>
  </si>
  <si>
    <t>ARGENTINA 100 QUINTALES SRL</t>
  </si>
  <si>
    <r>
      <rPr>
        <rFont val="Ubuntu"/>
        <color theme="1"/>
      </rPr>
      <t>30-71524338-1</t>
    </r>
  </si>
  <si>
    <t>3 FULL + 2 VND + 1 AVM</t>
  </si>
  <si>
    <t>Pilar</t>
  </si>
  <si>
    <t>https://crm.infosis.tech/crm/deal/details/15688/</t>
  </si>
  <si>
    <t>PANDA ELECTRONIC SA</t>
  </si>
  <si>
    <t xml:space="preserve">7 POS + 1 POS PACK </t>
  </si>
  <si>
    <t>https://crm.infosis.tech/crm/deal/details/15506/</t>
  </si>
  <si>
    <r>
      <rPr>
        <rFont val="Ubuntu"/>
        <color theme="1"/>
      </rPr>
      <t>20-93664022-3</t>
    </r>
  </si>
  <si>
    <t>CAMBIO DE TITULARIDAD EN BASE ZEUS A CF SEGURIDAD INDUSTRIAL SAS CUIT: 30-71726871-3</t>
  </si>
  <si>
    <t>https://crm.infosis.tech/crm/deal/details/15670/</t>
  </si>
  <si>
    <t>NORIELI SA</t>
  </si>
  <si>
    <r>
      <rPr>
        <rFont val="system-ui, -apple-system, BlinkMacSystemFont, &quot;Segoe UI&quot;, Roboto, Ubuntu, &quot;Helvetica Neue&quot;, Arial, sans-serif, &quot;Apple Color Emoji&quot;, &quot;Segoe UI Emoji&quot;, &quot;Segoe UI Symbol&quot;"/>
        <color theme="1"/>
      </rPr>
      <t>30-58385797-0</t>
    </r>
  </si>
  <si>
    <t>https://crm.infosis.tech/crm/deal/details/15834/</t>
  </si>
  <si>
    <r>
      <rPr>
        <rFont val="Ubuntu"/>
        <color theme="1"/>
      </rPr>
      <t>30-51634872-7</t>
    </r>
  </si>
  <si>
    <t>https://crm.infosis.tech/crm/deal/details/15742/</t>
  </si>
  <si>
    <r>
      <rPr>
        <rFont val="Ubuntu"/>
        <color theme="1"/>
      </rPr>
      <t>30-51634872-7</t>
    </r>
  </si>
  <si>
    <t>ALTA DE RAZON SOCIAL: FREESIA SRL</t>
  </si>
  <si>
    <r>
      <rPr>
        <rFont val="Ubuntu"/>
        <color rgb="FF000000"/>
        <sz val="11.0"/>
      </rPr>
      <t>30-70919555-3</t>
    </r>
  </si>
  <si>
    <t>2 FULL + 1 POP</t>
  </si>
  <si>
    <t>https://crm.infosis.tech/crm/deal/details/15594/</t>
  </si>
  <si>
    <r>
      <rPr>
        <rFont val="Ubuntu"/>
        <color theme="1"/>
        <sz val="11.0"/>
      </rPr>
      <t>30-71493925-0</t>
    </r>
  </si>
  <si>
    <t>https://crm.infosis.tech/crm/deal/details/15894/</t>
  </si>
  <si>
    <r>
      <rPr>
        <rFont val="Ubuntu"/>
        <color theme="1"/>
        <sz val="11.0"/>
      </rPr>
      <t>30-71819731-3</t>
    </r>
  </si>
  <si>
    <t>ALTA DE RAZON SOCIAL : CABAÑA ATIGUE SA CUIT : 33-71832692-9</t>
  </si>
  <si>
    <t>https://crm.infosis.tech/crm/deal/details/15884/</t>
  </si>
  <si>
    <t xml:space="preserve">OTTANI MIRIAM </t>
  </si>
  <si>
    <r>
      <rPr>
        <rFont val="Ubuntu"/>
        <color theme="1"/>
        <sz val="11.0"/>
      </rPr>
      <t>27-18577269-7</t>
    </r>
  </si>
  <si>
    <t>https://crm.infosis.tech/crm/deal/details/15786/</t>
  </si>
  <si>
    <r>
      <rPr>
        <rFont val="Ubuntu"/>
        <color theme="1"/>
      </rPr>
      <t>VIGIL EDGARDO Y LICHTER CYNTHIA KARINA SH</t>
    </r>
  </si>
  <si>
    <t>30-70828383-1</t>
  </si>
  <si>
    <t>ALTA DE RAZON SOCIAL:  VIGIL LUCAS SEBASTIAN CUIT 20-34152805-5</t>
  </si>
  <si>
    <t>https://crm.infosis.tech/crm/deal/details/15890/</t>
  </si>
  <si>
    <r>
      <rPr>
        <rFont val="Ubuntu"/>
        <color theme="1"/>
        <sz val="11.0"/>
      </rPr>
      <t>30-71759961-2</t>
    </r>
  </si>
  <si>
    <t>ALTA DE RAZON SOCIAL:  PAMPA ELECTRONIC SA 30-71644820-3</t>
  </si>
  <si>
    <t>https://crm.infosis.tech/crm/deal/details/15892/</t>
  </si>
  <si>
    <t>AG BLOCK SAS</t>
  </si>
  <si>
    <t>https://crm.infosis.tech/crm/deal/details/15592/</t>
  </si>
  <si>
    <t>PURASAL SRL</t>
  </si>
  <si>
    <t>30-71157142-2</t>
  </si>
  <si>
    <t>3 FULL + 6 POS + 7 VND + 1 AVM + 1 POS PACK</t>
  </si>
  <si>
    <t>https://crm.infosis.tech/crm/deal/details/15932/</t>
  </si>
  <si>
    <t>BAZ</t>
  </si>
  <si>
    <t>30-71487603-8</t>
  </si>
  <si>
    <t>2 FULL + 1 POS + 1 VND + 1 AVM</t>
  </si>
  <si>
    <t>https://crm.infosis.tech/crm/deal/details/15978/</t>
  </si>
  <si>
    <t>https://crm.infosis.tech/crm/deal/details/15920/</t>
  </si>
  <si>
    <r>
      <rPr>
        <rFont val="Ubuntu"/>
        <color rgb="FF000000"/>
        <sz val="11.0"/>
      </rPr>
      <t>23-31367657-9</t>
    </r>
  </si>
  <si>
    <t>https://crm.infosis.tech/crm/deal/details/15864/</t>
  </si>
  <si>
    <t>TANNA BINNAR GROUP S.A</t>
  </si>
  <si>
    <t>30-71818031-3</t>
  </si>
  <si>
    <t>2 FULL + AMH + AVM</t>
  </si>
  <si>
    <t>https://crm.infosis.tech/crm/deal/details/15922/</t>
  </si>
  <si>
    <t>INTEGRACIÓN BALCONY PLAN LITE + TIENDA NUBE</t>
  </si>
  <si>
    <t>https://crm.infosis.tech/crm/deal/details/16028/</t>
  </si>
  <si>
    <t>ALTA RAZON SOCIAL: TECNO ATLANTICA SA CUIT: 30-71692867-1</t>
  </si>
  <si>
    <t>https://crm.infosis.tech/crm/deal/details/16058/</t>
  </si>
  <si>
    <t>CAM</t>
  </si>
  <si>
    <t>https://crm.infosis.tech/crm/deal/details/16060/</t>
  </si>
  <si>
    <t>INTEGRACIÓN BALCONY PLAN PLUS + MERCADO SHOPS</t>
  </si>
  <si>
    <t>FERNANDEZ EDUARDO RAFAEL</t>
  </si>
  <si>
    <r>
      <rPr>
        <rFont val="Ubuntu"/>
        <color theme="1"/>
        <sz val="11.0"/>
      </rPr>
      <t>23-12015438-9</t>
    </r>
  </si>
  <si>
    <t>CAMBIO DE TITULARIDAD EN BASE ZEUS + ALTA DE RAZON SOCIAL : FERNANDEZ NAHUEL GONZALO CUIT 20-38303732-9</t>
  </si>
  <si>
    <t>https://crm.infosis.tech/crm/deal/details/15976/</t>
  </si>
  <si>
    <t>CHRISTIAN JAVIER SABIO</t>
  </si>
  <si>
    <r>
      <rPr>
        <rFont val="Ubuntu"/>
        <color theme="1"/>
        <sz val="11.0"/>
      </rPr>
      <t>20-22616885-1</t>
    </r>
  </si>
  <si>
    <t>https://crm.infosis.tech/crm/deal/details/16086/</t>
  </si>
  <si>
    <t>FENICIOS GLOBAL SRL</t>
  </si>
  <si>
    <t>30-71155030-1</t>
  </si>
  <si>
    <t>4 FULL + 2 POS + 1 AVM</t>
  </si>
  <si>
    <t>https://crm.infosis.tech/crm/deal/details/15820/</t>
  </si>
  <si>
    <t>https://crm.infosis.tech/crm/deal/details/15962/</t>
  </si>
  <si>
    <t>CASA FUEGIA S.R.L</t>
  </si>
  <si>
    <t>30-54547377-8</t>
  </si>
  <si>
    <t>AMH + AEC</t>
  </si>
  <si>
    <t>https://crm.infosis.tech/crm/deal/details/16034/</t>
  </si>
  <si>
    <t>INTEGRACIÓN BALCONY PLAN LITE + WOOCOMMERCE</t>
  </si>
  <si>
    <t>https://crm.infosis.tech/crm/deal/details/16136/</t>
  </si>
  <si>
    <t>J&amp;M HERMANOS MUGNOLO SRL</t>
  </si>
  <si>
    <t>30-71829465-3</t>
  </si>
  <si>
    <t>https://crm.infosis.tech/crm/deal/details/15996/</t>
  </si>
  <si>
    <t xml:space="preserve">RONGA GONZALO NICOLAS </t>
  </si>
  <si>
    <t>1 FULL + 7 POS + 2 POS PACK PLUS</t>
  </si>
  <si>
    <t>https://crm.infosis.tech/crm/deal/details/16024/</t>
  </si>
  <si>
    <t>https://crm.infosis.tech/crm/deal/details/16126/</t>
  </si>
  <si>
    <t>https://crm.infosis.tech/crm/deal/details/16138/</t>
  </si>
  <si>
    <t>ALTA DE RAZON SOCIAL: MR &amp; COMPANY S.A 30-71658636-3</t>
  </si>
  <si>
    <t>BOHNKE ARTICULOS RURALES S.A.S</t>
  </si>
  <si>
    <t>https://crm.infosis.tech/crm/deal/details/16134/</t>
  </si>
  <si>
    <t>https://crm.infosis.tech/crm/deal/details/16172/</t>
  </si>
  <si>
    <t>https://crm.infosis.tech/crm/deal/details/15682/</t>
  </si>
  <si>
    <t>https://crm.infosis.tech/crm/deal/details/16212/</t>
  </si>
  <si>
    <t>https://crm.infosis.tech/crm/deal/details/16068/</t>
  </si>
  <si>
    <t>ALTA DE NUEVA RAZON SOCIAL : YOLO ARGENTINA SA - CUIT: 30-71860894-1</t>
  </si>
  <si>
    <t>https://crm.infosis.tech/crm/deal/details/16256/</t>
  </si>
  <si>
    <t>LUNA BONITA SRL</t>
  </si>
  <si>
    <t>30-71244858-6</t>
  </si>
  <si>
    <t>3 FULL + 4 POS + 1 POS PACK PLUS + 2 VND + 1 POP + 2 WHW + 2 TCP + AVM</t>
  </si>
  <si>
    <t>https://crm.infosis.tech/crm/deal/details/10644/</t>
  </si>
  <si>
    <t xml:space="preserve">JUAN MARTIN URIA </t>
  </si>
  <si>
    <t>https://crm.infosis.tech/crm/deal/details/16262/</t>
  </si>
  <si>
    <t>LUCAS CORBETTO</t>
  </si>
  <si>
    <t>20-30819605-5</t>
  </si>
  <si>
    <t>https://crm.infosis.tech/crm/deal/details/16260/</t>
  </si>
  <si>
    <t>LO &amp; ON SRL</t>
  </si>
  <si>
    <t>30-71866441-8</t>
  </si>
  <si>
    <t>https://crm.infosis.tech/crm/deal/details/16104/</t>
  </si>
  <si>
    <t>ALTA DE RAZON SOCIAL : RESPALDISA SA 30-71688701-0</t>
  </si>
  <si>
    <t>https://crm.infosis.tech/crm/deal/details/16316/</t>
  </si>
  <si>
    <t xml:space="preserve">INSUMOSONLINE SRL </t>
  </si>
  <si>
    <t>33-71652287-9</t>
  </si>
  <si>
    <t>1 FULL + 2 POS + 1 POP + 1 AVM</t>
  </si>
  <si>
    <t>https://crm.infosis.tech/crm/deal/details/16272/</t>
  </si>
  <si>
    <t>https://crm.infosis.tech/crm/deal/details/16322/</t>
  </si>
  <si>
    <t>https://crm.infosis.tech/crm/deal/details/16308/</t>
  </si>
  <si>
    <t>INTEGRACIÓN BALCONY PLAN LITE + SHOPIFY</t>
  </si>
  <si>
    <t>https://crm.infosis.tech/crm/deal/details/16410/</t>
  </si>
  <si>
    <t>PINTURERIAS IMAGEN S.A</t>
  </si>
  <si>
    <t>https://crm.infosis.tech/crm/deal/details/16364/.</t>
  </si>
  <si>
    <t>QI XIN XYANG</t>
  </si>
  <si>
    <t>23-93550170-9</t>
  </si>
  <si>
    <t xml:space="preserve">https://crm.infosis.tech/crm/deal/details/11912/ </t>
  </si>
  <si>
    <t>M.D.P.L SA</t>
  </si>
  <si>
    <t>https://crm.infosis.tech/crm/deal/details/16398/</t>
  </si>
  <si>
    <t>https://crm.infosis.tech/crm/deal/details/16370/</t>
  </si>
  <si>
    <t>$147.059,00</t>
  </si>
  <si>
    <t>$661.765,00</t>
  </si>
  <si>
    <t>https://crm.infosis.tech/crm/deal/details/16468/</t>
  </si>
  <si>
    <t>ALGAZE JOSE ALBERTO - BREA SEBASTIAN SOCIEDAD LEY 19550 CAP I SECCION IV</t>
  </si>
  <si>
    <t>30-71522234-1</t>
  </si>
  <si>
    <t>1 FULL + 1 POS +2 VND+ 1TCP + 1 AVM</t>
  </si>
  <si>
    <t>https://crm.infosis.tech/crm/deal/details/16146/</t>
  </si>
  <si>
    <t xml:space="preserve">MEGAPINT SRL </t>
  </si>
  <si>
    <t>https://crm.infosis.tech/crm/deal/details/16504/</t>
  </si>
  <si>
    <t>https://crm.infosis.tech/crm/deal/details/16506/</t>
  </si>
  <si>
    <t>https://crm.infosis.tech/crm/deal/details/16454/</t>
  </si>
  <si>
    <t>ALTA NUEVA RAZON SOCIAL: EQUIPEL SRL CUIT 30-68447614-5</t>
  </si>
  <si>
    <t xml:space="preserve"> https://crm.infosis.tech/crm/deal/details/15148/</t>
  </si>
  <si>
    <t xml:space="preserve">1 AMH </t>
  </si>
  <si>
    <t>https://crm.infosis.tech/crm/deal/details/16362/</t>
  </si>
  <si>
    <t>INTEGRACION E-SUELDOS PLAN EMPRENDEDOR PREMIUM SUELDOS+RHH + SERVICIO DE COACHING PROFESIONAL NOVIEMBRE+ DICIEMBRE</t>
  </si>
  <si>
    <t xml:space="preserve">https://crm.infosis.tech/crm/deal/details/16552/ </t>
  </si>
  <si>
    <t xml:space="preserve">CC&amp;M CONTROL SRL </t>
  </si>
  <si>
    <t>30-71582612-3</t>
  </si>
  <si>
    <t xml:space="preserve"> https://crm.infosis.tech/crm/deal/details/16542/</t>
  </si>
  <si>
    <t>https://crm.infosis.tech/crm/deal/details/16604/</t>
  </si>
  <si>
    <t>P.M.F. MDP DISTRIBUCION DE CARNES Y DERIVADOS S.A</t>
  </si>
  <si>
    <t>https://crm.infosis.tech/crm/deal/details/16572/</t>
  </si>
  <si>
    <t>https://crm.infosis.tech/crm/deal/details/16634/</t>
  </si>
  <si>
    <t>ROYAL TRADING S. A. S</t>
  </si>
  <si>
    <t>30-71771282-6</t>
  </si>
  <si>
    <t>https://crm.infosis.tech/crm/deal/details/16662/</t>
  </si>
  <si>
    <t>2 POS PERMANENTES + 1 POS TEMPORADA PRIMAVERA-VERANO</t>
  </si>
  <si>
    <t>https://crm.infosis.tech/crm/deal/details/16648/</t>
  </si>
  <si>
    <t>https://crm.infosis.tech/crm/deal/details/16630/</t>
  </si>
  <si>
    <t xml:space="preserve">PANTHER DISTRIBUCIONES SRL </t>
  </si>
  <si>
    <t>30-71639844-3</t>
  </si>
  <si>
    <t xml:space="preserve">2 FULL + 1 POS </t>
  </si>
  <si>
    <t>https://crm.infosis.tech/crm/deal/details/16566/</t>
  </si>
  <si>
    <t>https://crm.infosis.tech/crm/deal/details/16640/</t>
  </si>
  <si>
    <t>INTEGRACION BALCONY PLAN PLUS + SERVICIO DE ENVIO DE FACTURAS</t>
  </si>
  <si>
    <t>https://crm.infosis.tech/crm/deal/details/15964/</t>
  </si>
  <si>
    <t>BERGIA SEBASTIAN RODOLFO Y BERGIA SILVANA RAQUEL SOCIEDAD DE HECHO</t>
  </si>
  <si>
    <t>https://crm.infosis.tech/crm/deal/details/16550/</t>
  </si>
  <si>
    <t>1 FULL + ALTA DE NUEVA RAZON SOCIAL: FIXIT SAS CUIT: 33-71874683-9</t>
  </si>
  <si>
    <t>https://crm.infosis.tech/crm/deal/details/16626/</t>
  </si>
  <si>
    <t>https://crm.infosis.tech/crm/deal/details/16498/</t>
  </si>
  <si>
    <t xml:space="preserve">NEHUEN FRIAS </t>
  </si>
  <si>
    <t>20-39097879-1</t>
  </si>
  <si>
    <t>1 FULL + 1 AVM + PCP</t>
  </si>
  <si>
    <t>https://crm.infosis.tech/crm/deal/details/16752/</t>
  </si>
  <si>
    <t>https://crm.infosis.tech/crm/deal/details/16774/</t>
  </si>
  <si>
    <t>SPAMPINATO NAHUEL PENA</t>
  </si>
  <si>
    <t>https://crm.infosis.tech/crm/deal/details/16820/</t>
  </si>
  <si>
    <t>BAKESUPPLIES SRL</t>
  </si>
  <si>
    <t>30-71869333-7</t>
  </si>
  <si>
    <t>2 FULL + 12 POS + 1 POS PACK PLUS + 1 POP  + 1 PCP + 1 AVM + 2 RAZONES SOCIALES:  CARLOS JAVIER CORDOBA, CARLA CORDOBA</t>
  </si>
  <si>
    <t>https://crm.infosis.tech/crm/deal/details/16208/</t>
  </si>
  <si>
    <t>https://crm.infosis.tech/crm/deal/details/16876/</t>
  </si>
  <si>
    <t>GILES PINTURERIAS Y DECO S. A.</t>
  </si>
  <si>
    <t>https://crm.infosis.tech/crm/deal/details/16914/</t>
  </si>
  <si>
    <t>EUROPATAGÓNICA S.A.</t>
  </si>
  <si>
    <t>CAMBIO DE TITULARIDAD: EUROCOSMETICA SA CUIT: 30-71210455-0</t>
  </si>
  <si>
    <t>https://crm.infosis.tech/crm/deal/details/16660/</t>
  </si>
  <si>
    <t>SEVALA DIEGO MARTIN</t>
  </si>
  <si>
    <t>20-29510365-6</t>
  </si>
  <si>
    <t>https://crm.infosis.tech/crm/deal/details/16736/</t>
  </si>
  <si>
    <t>1 TINTOMETRICO DE ALBA HOGAR Y OBRA</t>
  </si>
  <si>
    <t>ESTHER SA</t>
  </si>
  <si>
    <t>1 POS + 2 VND</t>
  </si>
  <si>
    <t>https://crm.infosis.tech/crm/deal/details/16484/</t>
  </si>
  <si>
    <t>MAYORISTA DE RESPUESTOS  S.A</t>
  </si>
  <si>
    <t>30-71424778-2</t>
  </si>
  <si>
    <t xml:space="preserve">3 FULL + 7 POS + 1 POS PACK PLUS +1 POP + AVM </t>
  </si>
  <si>
    <t>Alejandro</t>
  </si>
  <si>
    <t>https://crm.infosis.tech/crm/deal/details/16756/</t>
  </si>
  <si>
    <t>https://crm.infosis.tech/crm/deal/details/16842/</t>
  </si>
  <si>
    <t>https://crm.infosis.tech/crm/deal/details/16592/</t>
  </si>
  <si>
    <t>INTEGRACION BALCONY PLAN PLUS + TIENDA NUBE + SERVICIO DE ENVIO DE FACTURAS</t>
  </si>
  <si>
    <t>https://crm.infosis.tech/crm/deal/details/16830/</t>
  </si>
  <si>
    <t>1 POP</t>
  </si>
  <si>
    <t>https://crm.infosis.tech/crm/deal/details/16998/</t>
  </si>
  <si>
    <t>CAMBIO DE TITULARIDAD: DP HIDRAULICA CUIT:  30-71801369-7</t>
  </si>
  <si>
    <t>https://crm.infosis.tech/crm/deal/details/17002/</t>
  </si>
  <si>
    <t>1 FULL + 1 POP + 1 WHW</t>
  </si>
  <si>
    <t>https://crm.infosis.tech/crm/deal/details/17020/</t>
  </si>
  <si>
    <t>https://crm.infosis.tech/crm/deal/details/17018/</t>
  </si>
  <si>
    <t>ALTA DE NUEVA RAZON SOCIAL: RM VENTA DE CARNES Y DERIVADOS 7284 S.A CUIT: 30-71875127-2</t>
  </si>
  <si>
    <t>https://crm.infosis.tech/crm/deal/details/17032/</t>
  </si>
  <si>
    <t>https://crm.infosis.tech/crm/deal/details/17040/</t>
  </si>
  <si>
    <t>ALTA DE NUEVA RAZÓN SOCIAL (INCLUIDA EN AVM): SOLTIMON SRL CUIT: 30-71244858-6</t>
  </si>
  <si>
    <t>https://crm.infosis.tech/crm/deal/details/17058/</t>
  </si>
  <si>
    <t>https://crm.infosis.tech/crm/deal/details/17140/</t>
  </si>
  <si>
    <t>https://crm.infosis.tech/crm/deal/details/17136/</t>
  </si>
  <si>
    <t>https://crm.infosis.tech/crm/deal/details/17138/</t>
  </si>
  <si>
    <t>https://crm.infosis.tech/crm/deal/details/17232/</t>
  </si>
  <si>
    <t>DP HIDRAULICA SRL</t>
  </si>
  <si>
    <t>30-71801369-7</t>
  </si>
  <si>
    <t>ALTA NUEVA RAZON SOCIAL: PALLOTA FEDERICO JAVIER CUIT: 20-37019027-6</t>
  </si>
  <si>
    <t>https://crm.infosis.tech/crm/deal/details/17162/</t>
  </si>
  <si>
    <t>https://crm.infosis.tech/crm/deal/details/17210/</t>
  </si>
  <si>
    <t>https://crm.infosis.tech/crm/deal/details/17110/</t>
  </si>
  <si>
    <t>https://crm.infosis.tech/crm/deal/details/17480/</t>
  </si>
  <si>
    <t>https://crm.infosis.tech/crm/deal/details/17474/</t>
  </si>
  <si>
    <t>https://crm.infosis.tech/crm/deal/details/17192/</t>
  </si>
  <si>
    <t>BELEN YUBRIN SAS</t>
  </si>
  <si>
    <t>33-71687105-9</t>
  </si>
  <si>
    <t>1 FULL+ 2 POS + 1 AVM</t>
  </si>
  <si>
    <t>https://crm.infosis.tech/crm/deal/details/17316/</t>
  </si>
  <si>
    <t>https://crm.infosis.tech/crm/deal/details/17176/</t>
  </si>
  <si>
    <t>ALIMENTIS S.A.S</t>
  </si>
  <si>
    <t>https://crm.infosis.tech/crm/deal/details/17572/</t>
  </si>
  <si>
    <t xml:space="preserve">QUIMICA PILAR SRL </t>
  </si>
  <si>
    <t>30-71187109-4</t>
  </si>
  <si>
    <t>https://crm.infosis.tech/crm/deal/details/17562/</t>
  </si>
  <si>
    <t>LEONEL EZEQUIEL PEREZ</t>
  </si>
  <si>
    <t>20-32640957-0</t>
  </si>
  <si>
    <t>https://crm.infosis.tech/crm/deal/details/17598/</t>
  </si>
  <si>
    <t>https://crm.infosis.tech/crm/deal/details/17594/</t>
  </si>
  <si>
    <t>https://crm.infosis.tech/crm/deal/details/17616/</t>
  </si>
  <si>
    <t>1 FULL + ALTA DE RAZON SOCIAL:  LO BRUNO SOCIEDAD ANONIMA: 30-58135828-4</t>
  </si>
  <si>
    <t>https://crm.infosis.tech/crm/deal/details/17546/</t>
  </si>
  <si>
    <t>https://crm.infosis.tech/crm/deal/details/17732/</t>
  </si>
  <si>
    <t>ELECTRO STOCK S.A.</t>
  </si>
  <si>
    <t>30-70989090-1</t>
  </si>
  <si>
    <t>3 VND</t>
  </si>
  <si>
    <t>https://crm.infosis.tech/crm/deal/details/17290/</t>
  </si>
  <si>
    <t>https://crm.infosis.tech/crm/deal/details/17724/</t>
  </si>
  <si>
    <t>JANAH´S PETS SRL.</t>
  </si>
  <si>
    <t>30-71754447-8</t>
  </si>
  <si>
    <t>https://crm.infosis.tech/crm/deal/details/17184/</t>
  </si>
  <si>
    <t>https://crm.infosis.tech/crm/deal/details/17772/</t>
  </si>
  <si>
    <t>https://crm.infosis.tech/crm/deal/details/17624/</t>
  </si>
  <si>
    <t>https://crm.infosis.tech/crm/deal/details/17784/</t>
  </si>
  <si>
    <t>https://crm.infosis.tech/crm/deal/details/17764/</t>
  </si>
  <si>
    <t>https://crm.infosis.tech/crm/deal/details/17780/</t>
  </si>
  <si>
    <t>D.V S.R.L</t>
  </si>
  <si>
    <t>https://crm.infosis.tech/crm/deal/details/17796/</t>
  </si>
  <si>
    <t>https://crm.infosis.tech/crm/deal/details/17580/</t>
  </si>
  <si>
    <t>https://crm.infosis.tech/crm/deal/details/17812/</t>
  </si>
  <si>
    <t>PINTURERIAS FULL SRL</t>
  </si>
  <si>
    <t>30-71208622-6</t>
  </si>
  <si>
    <t>2 FULL + 3 POS + 1 AVM</t>
  </si>
  <si>
    <t>https://crm.infosis.tech/crm/deal/details/17568/</t>
  </si>
  <si>
    <t xml:space="preserve">DINFE SRL </t>
  </si>
  <si>
    <t>30-71865176-6</t>
  </si>
  <si>
    <t>2 FULL + 1 AVM + 1 AMH + 1 AEC</t>
  </si>
  <si>
    <t>https://crm.infosis.tech/crm/deal/details/17654/</t>
  </si>
  <si>
    <t>ITMARKET S.R.L</t>
  </si>
  <si>
    <t>30-71856669-6</t>
  </si>
  <si>
    <t>https://crm.infosis.tech/crm/deal/details/17664/</t>
  </si>
  <si>
    <t>HUGO'S SRL</t>
  </si>
  <si>
    <t>30-71664157-7</t>
  </si>
  <si>
    <t>2 FULL + 3 POS + 1 POP +1 AVM</t>
  </si>
  <si>
    <t>WhatsApp Landing 5491126679502</t>
  </si>
  <si>
    <t>https://crm.infosis.tech/crm/deal/details/17768/</t>
  </si>
  <si>
    <t>CHERRY BOOM SA</t>
  </si>
  <si>
    <t>30-71834608-4</t>
  </si>
  <si>
    <t>2 FULL + 6 POS + 1 AVM</t>
  </si>
  <si>
    <t>https://crm.infosis.tech/crm/deal/details/17832/</t>
  </si>
  <si>
    <t>CRISTICO SRL</t>
  </si>
  <si>
    <t>30-71665482-2</t>
  </si>
  <si>
    <t>1 FULL + 2 POS  + 1 AVM</t>
  </si>
  <si>
    <t>NOVERA</t>
  </si>
  <si>
    <t>30-71846834-1</t>
  </si>
  <si>
    <t>2 FULL + 1 POS + 1 VND + AVM</t>
  </si>
  <si>
    <t>https://crm.infosis.tech/crm/deal/details/18000/</t>
  </si>
  <si>
    <t>https://crm.infosis.tech/crm/deal/details/17998/</t>
  </si>
  <si>
    <t>BILANCIERI HERMANOS S.R.L</t>
  </si>
  <si>
    <t>https://crm.infosis.tech/crm/deal/details/18034/</t>
  </si>
  <si>
    <t>https://crm.infosis.tech/crm/deal/details/17958/</t>
  </si>
  <si>
    <t>PINTURERIAS BRIAGO SA</t>
  </si>
  <si>
    <t>30-71799269-1</t>
  </si>
  <si>
    <t>https://crm.infosis.tech/crm/deal/details/17574/</t>
  </si>
  <si>
    <t xml:space="preserve">FIORENTINO JORGE OMAR </t>
  </si>
  <si>
    <t>CAMBIO DE TITULARIDAD: FIORENTINO MATIAS OMAR CUIT:  20-28424330-8.</t>
  </si>
  <si>
    <t>https://crm.infosis.tech/crm/deal/details/18076/</t>
  </si>
  <si>
    <t>CORTEZ MAXIMILIANO FIDEL</t>
  </si>
  <si>
    <t>20-32544874-2</t>
  </si>
  <si>
    <t>https://crm.infosis.tech/crm/deal/details/17024/</t>
  </si>
  <si>
    <t>1 FULL + ALTA DE RAZON SOCIAL: PORRACIN PABLO DANIEL CUIT: 20-21374576-0</t>
  </si>
  <si>
    <t>https://crm.infosis.tech/crm/deal/details/17980/</t>
  </si>
  <si>
    <t>INTEGRACIÓN BALCONY - LITE + WOOCOMMERCE +  SERVICIO DE ENVIO DE FACTURAS</t>
  </si>
  <si>
    <t>https://crm.infosis.tech/crm/deal/details/17828/</t>
  </si>
  <si>
    <t>2 FULL + 1 WHW + 1 POP</t>
  </si>
  <si>
    <t>https://crm.infosis.tech/crm/deal/details/18116/</t>
  </si>
  <si>
    <t>https://crm.infosis.tech/crm/deal/details/18158/</t>
  </si>
  <si>
    <t>PIN</t>
  </si>
  <si>
    <t>30-71842128-0</t>
  </si>
  <si>
    <t>https://crm.infosis.tech/crm/deal/details/15208/</t>
  </si>
  <si>
    <t>AMH + 1 AEC</t>
  </si>
  <si>
    <t>https://crm.infosis.tech/crm/deal/details/17846/</t>
  </si>
  <si>
    <t>MDQ PAMAR 1976 S.A.</t>
  </si>
  <si>
    <t>30-71789365-0</t>
  </si>
  <si>
    <t>https://crm.infosis.tech/crm/deal/details/18066/</t>
  </si>
  <si>
    <t>https://crm.infosis.tech/crm/deal/details/18238/</t>
  </si>
  <si>
    <t>INTEGRACIÓN BALCONY - LITE + SHOPIFY +  SERVICIO DE ENVIO DE FACTURAS</t>
  </si>
  <si>
    <t>https://crm.infosis.tech/crm/deal/details/17844/</t>
  </si>
  <si>
    <t>DARIO PUGLIESE</t>
  </si>
  <si>
    <t>20-40391258-2</t>
  </si>
  <si>
    <t>https://crm.infosis.tech/crm/deal/details/18142/</t>
  </si>
  <si>
    <t>https://crm.infosis.tech/crm/deal/details/18258/</t>
  </si>
  <si>
    <t>https://crm.infosis.tech/crm/deal/details/18266/</t>
  </si>
  <si>
    <t>PASO3004 S.A.S</t>
  </si>
  <si>
    <t>30-71873878-0</t>
  </si>
  <si>
    <t>5 FULL + 1 POS BILLAPP</t>
  </si>
  <si>
    <t>https://crm.infosis.tech/crm/deal/details/18340/</t>
  </si>
  <si>
    <t>API ZEUS</t>
  </si>
  <si>
    <t>https://crm.infosis.tech/crm/deal/details/18144/</t>
  </si>
  <si>
    <t>ALTA DE RAZ</t>
  </si>
  <si>
    <t>ALTA DE 3 RAZONES SOCIALES:  ROSSI RUBEN ALBERTO CUIT: 23148071519. VILLANUCCI NORMA BEATRIZ CUIT: 27161473559 ROMINA JIMENA LOPEZ CUIT: 27330257844</t>
  </si>
  <si>
    <t>https://crm.infosis.tech/crm/deal/details/18346/</t>
  </si>
  <si>
    <t>PURPIL S.A</t>
  </si>
  <si>
    <t>30-66176158-6</t>
  </si>
  <si>
    <t>3 FULL + 6 POS + 1 POS PACK PLUS + 4 POP + AVM</t>
  </si>
  <si>
    <t>https://crm.infosis.tech/crm/deal/details/18122/</t>
  </si>
  <si>
    <t>ALTA TINTOMÉTRICO TERSUAVE (HOGAR Y OBRA)</t>
  </si>
  <si>
    <t>https://crm.infosis.tech/crm/deal/details/18464/</t>
  </si>
  <si>
    <t>https://crm.infosis.tech/crm/deal/details/18456/</t>
  </si>
  <si>
    <t>https://crm.infosis.tech/crm/deal/details/18526/</t>
  </si>
  <si>
    <t>SUAREZ SUSANA BEATRIZ</t>
  </si>
  <si>
    <t>27-06434290-3</t>
  </si>
  <si>
    <t>https://crm.infosis.tech/crm/deal/details/18220/</t>
  </si>
  <si>
    <t>ALTA DE NUEVA RAZON SOCIAL (INCLUIDA EN AVM): PINTURERIAS URBANAS S.R.L. CUIT 30-71887835-3</t>
  </si>
  <si>
    <t>https://crm.infosis.tech/crm/deal/details/18462/</t>
  </si>
  <si>
    <t>EL BARBY S.R.L</t>
  </si>
  <si>
    <t>https://crm.infosis.tech/crm/deal/details/18550/</t>
  </si>
  <si>
    <t xml:space="preserve">URIA MARTIN </t>
  </si>
  <si>
    <t>https://crm.infosis.tech/crm/deal/details/18534/</t>
  </si>
  <si>
    <t>ALBERTO DANIEL LORENZO</t>
  </si>
  <si>
    <t>20-14432469-3</t>
  </si>
  <si>
    <t>https://crm.infosis.tech/crm/deal/details/18438/</t>
  </si>
  <si>
    <t xml:space="preserve">SWIBOWICZ PABLO </t>
  </si>
  <si>
    <t>https://crm.infosis.tech/crm/deal/details/18586/</t>
  </si>
  <si>
    <t>AREVALO CONSTRUCCIONES SRL</t>
  </si>
  <si>
    <t>30-71428681-8</t>
  </si>
  <si>
    <t>https://crm.infosis.tech/crm/deal/details/16166/</t>
  </si>
  <si>
    <t>VIGIL EDGARDO Y LICHTER CYNTHIA KARINA SH</t>
  </si>
  <si>
    <t>https://crm.infosis.tech/crm/deal/details/18124/</t>
  </si>
  <si>
    <t>INTEGRACIÓN BALCONY - PLUS + TIENDA NUBE +  SERVICIO DE ENVIO DE FACTURAS</t>
  </si>
  <si>
    <t>JANAH S PETS SRL</t>
  </si>
  <si>
    <t>https://crm.infosis.tech/crm/deal/details/18612/</t>
  </si>
  <si>
    <t xml:space="preserve">SEVALA DIEGO MARTIN </t>
  </si>
  <si>
    <t>https://crm.infosis.tech/crm/deal/details/18638/</t>
  </si>
  <si>
    <t>BALCONY - SERVICIO DE ENVIO DE FACTURAS</t>
  </si>
  <si>
    <t>https://crm.infosis.tech/crm/deal/details/18680/</t>
  </si>
  <si>
    <t xml:space="preserve">PUGLIESE DARIO </t>
  </si>
  <si>
    <t>ALTA DE NUEVA RAZÓN SOCIAL (INCLUIDA EN AVM): MAXIMUS SRL CUIT: 30-71224548-0</t>
  </si>
  <si>
    <t>https://crm.infosis.tech/crm/deal/details/18376/</t>
  </si>
  <si>
    <t>https://crm.infosis.tech/crm/deal/details/18522/</t>
  </si>
  <si>
    <t>INTEGRACIÓN BALCONY - ULTRA +  SERVICIO DE ENVIO DE FACTURAS</t>
  </si>
  <si>
    <t>EL BARBY SRL</t>
  </si>
  <si>
    <t>https://crm.infosis.tech/crm/deal/details/18946/</t>
  </si>
  <si>
    <t>PINTURERIAS LA ESPAÑOLA S. R. L.</t>
  </si>
  <si>
    <t>30-71857285-8</t>
  </si>
  <si>
    <t>https://crm.infosis.tech/crm/deal/details/19082/</t>
  </si>
  <si>
    <t>MARIA DEL ROSARIO DEODATO</t>
  </si>
  <si>
    <t>27-10834563-8</t>
  </si>
  <si>
    <t>https://crm.infosis.tech/crm/deal/details/18636/</t>
  </si>
  <si>
    <t>CAMBIO DE TITULARIDAD: RM VENTA DE CARNES Y DERIVADOS 7284 S.A CUIT: 30-71875127-2</t>
  </si>
  <si>
    <t>https://crm.infosis.tech/crm/deal/details/18948/</t>
  </si>
  <si>
    <t>https://crm.infosis.tech/crm/deal/details/18700/</t>
  </si>
  <si>
    <t>https://crm.infosis.tech/crm/deal/details/18934/</t>
  </si>
  <si>
    <t>https://crm.infosis.tech/crm/deal/details/19210/</t>
  </si>
  <si>
    <t>INTEGRACION MASPEDIDOS PLAN FULL</t>
  </si>
  <si>
    <t>https://crm.infosis.tech/crm/deal/details/19260/</t>
  </si>
  <si>
    <t>INTEGRACION E-SUELDOS PLAN EMPRENDEDOR ADVANCE SUELDOS</t>
  </si>
  <si>
    <t>https://crm.infosis.tech/crm/deal/details/18728/</t>
  </si>
  <si>
    <t>1 POS +  1 AMH</t>
  </si>
  <si>
    <t>https://crm.infosis.tech/crm/deal/details/19236/</t>
  </si>
  <si>
    <t>https://crm.infosis.tech/crm/deal/details/19222/</t>
  </si>
  <si>
    <t>https://crm.infosis.tech/crm/deal/details/18232/</t>
  </si>
  <si>
    <t>LOS TRES ALGARROBOS S.A</t>
  </si>
  <si>
    <t>30-71020970-3</t>
  </si>
  <si>
    <t>https://crm.infosis.tech/crm/deal/details/19254/</t>
  </si>
  <si>
    <t>ARABIA PERFUM</t>
  </si>
  <si>
    <t>30-71877954-1</t>
  </si>
  <si>
    <t>1 FULL + 5 POS + AVM</t>
  </si>
  <si>
    <t>https://crm.infosis.tech/crm/deal/details/18816/</t>
  </si>
  <si>
    <t>NICOLAS MATIAS ANDRADA</t>
  </si>
  <si>
    <t>20-36867900-4</t>
  </si>
  <si>
    <t>2 FULL + 9 POS + 1 POS PACK PLUS + AVM</t>
  </si>
  <si>
    <t>https://crm.infosis.tech/crm/deal/details/19258/</t>
  </si>
  <si>
    <t>CHERIMOYA LATINA S.R.L</t>
  </si>
  <si>
    <t>33-71868429-9</t>
  </si>
  <si>
    <t>https://crm.infosis.tech/crm/deal/details/19358/</t>
  </si>
  <si>
    <t>JORGE FLORES E HIJOS SA</t>
  </si>
  <si>
    <t>https://crm.infosis.tech/crm/deal/details/19320/</t>
  </si>
  <si>
    <t>INTEGRACION BALCONY- TIENDA NUBE</t>
  </si>
  <si>
    <t>https://crm.infosis.tech/crm/deal/details/15732/</t>
  </si>
  <si>
    <t>2 FULL TEMPORADA OTOÑO-INVIERNO</t>
  </si>
  <si>
    <t>https://crm.infosis.tech/crm/deal/details/19398/</t>
  </si>
  <si>
    <t>https://crm.infosis.tech/crm/deal/details/19404/</t>
  </si>
  <si>
    <t>https://crm.infosis.tech/crm/deal/details/18518/</t>
  </si>
  <si>
    <t>INTEGRACIÓN BALCONY - PLUS +  SERVICIO DE ENVIO DE FACTURAS</t>
  </si>
  <si>
    <t>https://crm.infosis.tech/crm/deal/details/19330/</t>
  </si>
  <si>
    <t>https://crm.infosis.tech/crm/deal/details/19338/</t>
  </si>
  <si>
    <t>ERNESTO VICENTE GARCIA S.A.</t>
  </si>
  <si>
    <t>30-54318281-4</t>
  </si>
  <si>
    <t>https://crm.infosis.tech/crm/deal/details/19402/</t>
  </si>
  <si>
    <t>https://crm.infosis.tech/crm/deal/details/19440/</t>
  </si>
  <si>
    <t>FLORES PABLO SEBASTIAN</t>
  </si>
  <si>
    <t>https://crm.infosis.tech/crm/deal/details/19452/</t>
  </si>
  <si>
    <t>https://crm.infosis.tech/crm/deal/details/19262/</t>
  </si>
  <si>
    <t>INTEGRACIÓN DIGIPWMS</t>
  </si>
  <si>
    <t>https://crm.infosis.tech/crm/deal/details/19522/</t>
  </si>
  <si>
    <t>ALTA TINTOMÉTRICO SINTEPLAST (HOGAR Y OBRA)</t>
  </si>
  <si>
    <t>https://crm.infosis.tech/crm/deal/details/19504/</t>
  </si>
  <si>
    <t>https://crm.infosis.tech/crm/deal/details/19570/</t>
  </si>
  <si>
    <t xml:space="preserve">JAMAN S.R.L </t>
  </si>
  <si>
    <t>https://crm.infosis.tech/crm/deal/details/19588/</t>
  </si>
  <si>
    <t>https://crm.infosis.tech/crm/deal/details/19568/</t>
  </si>
  <si>
    <t>SERVICIOS GASTRONOMICOS MI MARCA SRL</t>
  </si>
  <si>
    <t>30-71083958-8</t>
  </si>
  <si>
    <t>https://crm.infosis.tech/crm/deal/details/19332/</t>
  </si>
  <si>
    <t>CONTINI MARIA CECILIA</t>
  </si>
  <si>
    <t>27-31868105-3</t>
  </si>
  <si>
    <t>Form-Google</t>
  </si>
  <si>
    <t>https://crm.infosis.tech/crm/deal/details/19220/</t>
  </si>
  <si>
    <t xml:space="preserve">JOAQUIN CRUZ LESCANO </t>
  </si>
  <si>
    <t>20-38011216-8</t>
  </si>
  <si>
    <t>https://crm.infosis.tech/crm/deal/details/19396/</t>
  </si>
  <si>
    <t xml:space="preserve">MIGUEL DIB ALI </t>
  </si>
  <si>
    <t>23-14323822-9</t>
  </si>
  <si>
    <t>Juan Pablo</t>
  </si>
  <si>
    <t>https://crm.infosis.tech/crm/deal/details/19574/</t>
  </si>
  <si>
    <t>DROGUERIA SAN FRANCISCO S.A</t>
  </si>
  <si>
    <t>https://crm.infosis.tech/crm/deal/details/19614/</t>
  </si>
  <si>
    <t>https://crm.infosis.tech/crm/deal/details/19674/</t>
  </si>
  <si>
    <t>ACERO JEKLO S.A.S</t>
  </si>
  <si>
    <t>https://crm.infosis.tech/crm/deal/details/19456/</t>
  </si>
  <si>
    <t>https://crm.infosis.tech/crm/deal/details/19742/</t>
  </si>
  <si>
    <t>https://crm.infosis.tech/crm/deal/details/19606/</t>
  </si>
  <si>
    <t>PALERMOROY S.R.L</t>
  </si>
  <si>
    <t>30-71719219-9</t>
  </si>
  <si>
    <t>https://crm.infosis.tech/crm/deal/details/17166/</t>
  </si>
  <si>
    <t>BUTTMAN ARGENTINA S.A</t>
  </si>
  <si>
    <t>https://crm.infosis.tech/crm/deal/details/19746/</t>
  </si>
  <si>
    <t>ULTRACOLOR S.R.L</t>
  </si>
  <si>
    <t>30-70983751-2</t>
  </si>
  <si>
    <t>ACTUALIZACIÓN TINTOMÉTRICO SINTEPLAST (HOGAR Y OBRA+INDUSTRIA)</t>
  </si>
  <si>
    <t>https://crm.infosis.tech/crm/deal/details/19644/</t>
  </si>
  <si>
    <t>https://crm.infosis.tech/crm/deal/details/19664/</t>
  </si>
  <si>
    <t>CORDOVA PACHAS GERALDINE STEPHANIE</t>
  </si>
  <si>
    <t>27-93729243-6</t>
  </si>
  <si>
    <t>https://crm.infosis.tech/crm/deal/details/19754/</t>
  </si>
  <si>
    <t>PONA SECO SRL</t>
  </si>
  <si>
    <t>30-71646707-0</t>
  </si>
  <si>
    <t>4 FULL + 1 POS + AVM</t>
  </si>
  <si>
    <t>https://crm.infosis.tech/crm/deal/details/19764/</t>
  </si>
  <si>
    <t>LARREA BROKERS SA</t>
  </si>
  <si>
    <t>ALTA DE RAZÓN SOCIAL: YOLO CASH - CUIT: 30-71894539-5</t>
  </si>
  <si>
    <t>https://crm.infosis.tech/crm/deal/details/19724/</t>
  </si>
  <si>
    <t>I D QUIMICOS S. A.</t>
  </si>
  <si>
    <t>https://crm.infosis.tech/crm/deal/details/19846/</t>
  </si>
  <si>
    <t xml:space="preserve">MONACO AUTOMOTORES, S.A.S </t>
  </si>
  <si>
    <t>https://crm.infosis.tech/crm/deal/details/19814/</t>
  </si>
  <si>
    <t xml:space="preserve">ROBERTO M CABRERA E HIJO SRL </t>
  </si>
  <si>
    <t>30-69299191-1</t>
  </si>
  <si>
    <t>https://crm.infosis.tech/crm/deal/details/19878/</t>
  </si>
  <si>
    <t>FERNANDEZ SEVERINO ANDRES</t>
  </si>
  <si>
    <t>20-07818941-0</t>
  </si>
  <si>
    <t>2 FULL + 4 POS + AVM</t>
  </si>
  <si>
    <t>https://crm.infosis.tech/crm/deal/details/19844/</t>
  </si>
  <si>
    <t>https://crm.infosis.tech/crm/deal/details/19884/</t>
  </si>
  <si>
    <t>WALTER GARCIA S.A</t>
  </si>
  <si>
    <t>https://crm.infosis.tech/crm/deal/details/19956/</t>
  </si>
  <si>
    <t>MIRNER ORMAN BRIAN D. Y MIRNER ORMAN JOHANNA V. S.H</t>
  </si>
  <si>
    <t>30-71474902-8</t>
  </si>
  <si>
    <t>https://crm.infosis.tech/crm/deal/details/20006/</t>
  </si>
  <si>
    <t>ALTA DE RAZÓN SOCIAL: YOLO ARGENTINA SA - AVM- CUIT:  30-71860894-1</t>
  </si>
  <si>
    <t>https://crm.infosis.tech/crm/deal/details/20016/</t>
  </si>
  <si>
    <t>https://crm.infosis.tech/crm/deal/details/19820/</t>
  </si>
  <si>
    <t>https://crm.infosis.tech/crm/deal/details/19946/</t>
  </si>
  <si>
    <t>FISHING LIFE SRL</t>
  </si>
  <si>
    <t>30-71881420-7</t>
  </si>
  <si>
    <t>https://crm.infosis.tech/crm/deal/details/19900/</t>
  </si>
  <si>
    <t>CAMBIO DE TITULARIDAD  R.HASSAN SANITARIOS S.R.L. CUIT:30-71784805-1</t>
  </si>
  <si>
    <t>https://crm.infosis.tech/crm/deal/details/20086/</t>
  </si>
  <si>
    <t>INDUSTRIA METALURGICA ANDI SA</t>
  </si>
  <si>
    <t>30-71134143-5</t>
  </si>
  <si>
    <t>https://crm.infosis.tech/crm/deal/details/20052/</t>
  </si>
  <si>
    <t>https://crm.infosis.tech/crm/deal/details/20128/</t>
  </si>
  <si>
    <t>1 POS TEMPORADA OTOÑO-INVIERNO</t>
  </si>
  <si>
    <t>https://crm.infosis.tech/crm/deal/details/20084/</t>
  </si>
  <si>
    <t>https://crm.infosis.tech/crm/deal/details/19984/</t>
  </si>
  <si>
    <t>DUARTE JORGE MAURICIO</t>
  </si>
  <si>
    <t>20-16729496-1</t>
  </si>
  <si>
    <t>https://crm.infosis.tech/crm/deal/details/19986/</t>
  </si>
  <si>
    <t>GUMAR REPUESTOS SRL</t>
  </si>
  <si>
    <t>https://crm.infosis.tech/crm/deal/details/20010/</t>
  </si>
  <si>
    <t>ALTA TINTOMÉTRICO COLORIN (HOGAR Y OBRA)</t>
  </si>
  <si>
    <t>https://crm.infosis.tech/crm/deal/details/19906/</t>
  </si>
  <si>
    <t>RM VENTA DE CARNES Y DERIVADOS 7284 S.A</t>
  </si>
  <si>
    <t>30-71875127-2</t>
  </si>
  <si>
    <t>CAMBIO DE TITULARIDAD EN BASE ZEUS + ALTA DE RAZON SOCIAL: FELMAX CARNES Y CHACINADOS MDP S.A. CUIT: 30-71900339-3.</t>
  </si>
  <si>
    <t>https://crm.infosis.tech/crm/deal/details/20186/</t>
  </si>
  <si>
    <t>https://crm.infosis.tech/crm/deal/details/19936/</t>
  </si>
  <si>
    <t>https://crm.infosis.tech/crm/deal/details/19412/</t>
  </si>
  <si>
    <t>/</t>
  </si>
  <si>
    <t>https://crm.infosis.tech/crm/deal/details/20240/</t>
  </si>
  <si>
    <t>https://crm.infosis.tech/crm/deal/details/20262/</t>
  </si>
  <si>
    <t>https://crm.infosis.tech/crm/deal/details/20276/</t>
  </si>
  <si>
    <t>ACTUALIZACION TINTOMÉTRICO TERSUAVE (HOGAR Y OBRA)</t>
  </si>
  <si>
    <t>https://crm.infosis.tech/crm/deal/details/20172/</t>
  </si>
  <si>
    <t>EUROCOSMETICA S.A.</t>
  </si>
  <si>
    <t>30-71210455-0</t>
  </si>
  <si>
    <t>https://crm.infosis.tech/crm/deal/details/20244/</t>
  </si>
  <si>
    <t>CRISTAL SAN MARTIN SRL</t>
  </si>
  <si>
    <t>30-66244415-0</t>
  </si>
  <si>
    <t>https://crm.infosis.tech/crm/deal/details/20180/</t>
  </si>
  <si>
    <t>ZAMPATTI FLORENCIA NOEMI</t>
  </si>
  <si>
    <t>27-37010981-3</t>
  </si>
  <si>
    <t>https://crm.infosis.tech/crm/deal/details/20204/</t>
  </si>
  <si>
    <t>FERNANDEZ NAHUEL GONZALO</t>
  </si>
  <si>
    <t>20-38303732-9</t>
  </si>
  <si>
    <t>https://crm.infosis.tech/crm/deal/details/20406/</t>
  </si>
  <si>
    <t>GRUPO TIZAS</t>
  </si>
  <si>
    <t>30-71887839-6</t>
  </si>
  <si>
    <t>3 FULL + 3 POS + 1 TCP + AVM</t>
  </si>
  <si>
    <t>https://crm.infosis.tech/crm/deal/details/20372/</t>
  </si>
  <si>
    <t>INTEGRACION BALCONY PLAN LITE- SERVICIO DE ENVIO DE FACTURAS</t>
  </si>
  <si>
    <t>https://crm.infosis.tech/crm/deal/details/20226/</t>
  </si>
  <si>
    <t>https://crm.infosis.tech/crm/deal/details/17092/</t>
  </si>
  <si>
    <t>MAXIMILIANO ARROYO</t>
  </si>
  <si>
    <t>20-34343724-3</t>
  </si>
  <si>
    <t>https://crm.infosis.tech/crm/deal/details/11058/</t>
  </si>
  <si>
    <t>1 VND</t>
  </si>
  <si>
    <t>https://crm.infosis.tech/crm/deal/details/20326/</t>
  </si>
  <si>
    <t>https://crm.infosis.tech/crm/deal/details/20486/</t>
  </si>
  <si>
    <t>https://crm.infosis.tech/crm/deal/details/20218/</t>
  </si>
  <si>
    <t>https://crm.infosis.tech/crm/deal/details/20404/</t>
  </si>
  <si>
    <t>https://crm.infosis.tech/crm/deal/details/20504/</t>
  </si>
  <si>
    <t>INTEGRACION BALCONY PLAN PLUS -TIENDA NUBE- SERVICIO DE ENVIO DE FACTURAS</t>
  </si>
  <si>
    <t>$1.258.141</t>
  </si>
  <si>
    <t>https://crm.infosis.tech/crm/deal/details/20412/</t>
  </si>
  <si>
    <t>https://crm.infosis.tech/crm/deal/details/20550/</t>
  </si>
  <si>
    <t>JUAN PABLO LLANOS</t>
  </si>
  <si>
    <t>20-41896443-0</t>
  </si>
  <si>
    <t>https://crm.infosis.tech/crm/deal/details/20558/</t>
  </si>
  <si>
    <t>GESTOR 360 S.A</t>
  </si>
  <si>
    <t>ALTA DE RAZON SOCIAL: MATEO JOAQUIN YBAÑEZ CUIT: 20-47055617-0</t>
  </si>
  <si>
    <t>https://crm.infosis.tech/crm/deal/details/20520/</t>
  </si>
  <si>
    <t>https://crm.infosis.tech/crm/deal/details/20604/</t>
  </si>
  <si>
    <t>INTEGRACION BALCONY PLAN ULTRA - TIENDA NUBE- SERVICIO DE ENVIO DE FACTURA- EXTRA DE 10000 PUBLICACIONES + EXTRA DE 1000 ENVIO DE FACTURAS</t>
  </si>
  <si>
    <t>https://crm.infosis.tech/crm/deal/details/20552/</t>
  </si>
  <si>
    <t>https://crm.infosis.tech/crm/deal/details/20584/</t>
  </si>
  <si>
    <t xml:space="preserve">FERNANDO ARIEL GONZALEZ </t>
  </si>
  <si>
    <t>20-2936271-27</t>
  </si>
  <si>
    <t>2 FULL + 1 POS + AVM</t>
  </si>
  <si>
    <t>https://crm.infosis.tech/crm/deal/details/20380/</t>
  </si>
  <si>
    <t>https://crm.infosis.tech/crm/deal/details/20642/</t>
  </si>
  <si>
    <t>CAMBIO DE TITULARIDAD Y ALTA DE NUEVA RAZON SOCIAL A: BERLIN RC S.R.L CUIT: 33-71903258-9</t>
  </si>
  <si>
    <t>https://crm.infosis.tech/crm/deal/details/20472/</t>
  </si>
  <si>
    <t>20-07759961-5</t>
  </si>
  <si>
    <t>CAMBIO DE TITULARIDAD Y ALTA DE NUEVA RAZON SOCIAL A: DIBELL 7167 S.A. CUIT:30-71893604-3</t>
  </si>
  <si>
    <t>https://crm.infosis.tech/crm/deal/details/20254/</t>
  </si>
  <si>
    <t>https://crm.infosis.tech/crm/deal/details/20370/</t>
  </si>
  <si>
    <t>https://crm.infosis.tech/crm/deal/details/20672/</t>
  </si>
  <si>
    <t>ONE ART ARGENTINA S.A.S</t>
  </si>
  <si>
    <t>https://crm.infosis.tech/crm/deal/details/20654/</t>
  </si>
  <si>
    <t>PRETMENT S.R.L</t>
  </si>
  <si>
    <t>30-71888408-6</t>
  </si>
  <si>
    <t>https://crm.infosis.tech/crm/deal/details/20736/</t>
  </si>
  <si>
    <t>https://crm.infosis.tech/crm/deal/details/20738/</t>
  </si>
  <si>
    <t>ENERGIA S.R.L</t>
  </si>
  <si>
    <t>30-71819645-7</t>
  </si>
  <si>
    <t>https://crm.infosis.tech/crm/deal/details/20784/</t>
  </si>
  <si>
    <t>https://crm.infosis.tech/crm/deal/details/20768/</t>
  </si>
  <si>
    <t>INDUSTRIAS MECPOL S.A.</t>
  </si>
  <si>
    <t>30-71239559-8</t>
  </si>
  <si>
    <t>AVM + ALTA DE RAZÓN SOCIAL (INCLUIDA EN AVM)  CARLOS DANIEL SCARRONE CUIT: 20-21541529-6</t>
  </si>
  <si>
    <t>https://crm.infosis.tech/crm/deal/details/20812/</t>
  </si>
  <si>
    <t>ALTA DE RAZÓN SOCIAL: GUGLIEMONE FRANCO CUIT: 20-46827788-4</t>
  </si>
  <si>
    <t>https://crm.infosis.tech/crm/deal/details/20746/</t>
  </si>
  <si>
    <t>GRUPO RAG SAS</t>
  </si>
  <si>
    <t>30-71691483-2</t>
  </si>
  <si>
    <t>https://crm.infosis.tech/crm/deal/details/20706/</t>
  </si>
  <si>
    <t>IMCA S.A</t>
  </si>
  <si>
    <t>30-71489939-9</t>
  </si>
  <si>
    <t>https://crm.infosis.tech/crm/deal/details/20838/</t>
  </si>
  <si>
    <t>https://crm.infosis.tech/crm/deal/details/20846/</t>
  </si>
  <si>
    <t>https://crm.infosis.tech/crm/deal/details/20856/</t>
  </si>
  <si>
    <t>https://crm.infosis.tech/crm/deal/details/20916/</t>
  </si>
  <si>
    <t>GASTROWARE COMPANY SA</t>
  </si>
  <si>
    <t>30-71905618-7</t>
  </si>
  <si>
    <t>https://crm.infosis.tech/crm/deal/details/20938/</t>
  </si>
  <si>
    <t>https://crm.infosis.tech/crm/deal/details/20850/</t>
  </si>
  <si>
    <t>FERRAMENTA HNOS SRL</t>
  </si>
  <si>
    <t>30-71506765-6</t>
  </si>
  <si>
    <t>https://crm.infosis.tech/crm/deal/details/20894/</t>
  </si>
  <si>
    <t>INTER GLASS S.A</t>
  </si>
  <si>
    <t>https://crm.infosis.tech/crm/deal/details/20908/</t>
  </si>
  <si>
    <t>FALCON RUBEN ALBERTO</t>
  </si>
  <si>
    <t>20-11157692-1</t>
  </si>
  <si>
    <t>3 FULL + 4 POS + 1 POP + AVM + ALTA TINTOMÉTRICO SHERWIN WILLIAMS (HOGAR Y OBRA)</t>
  </si>
  <si>
    <t>https://crm.infosis.tech/crm/deal/details/20728/</t>
  </si>
  <si>
    <t>JR MAQUINARIAS SRL</t>
  </si>
  <si>
    <t>30-71621130-0</t>
  </si>
  <si>
    <t>2 FULL + 4 POS + 1 VND + AVM</t>
  </si>
  <si>
    <t>https://crm.infosis.tech/crm/deal/details/20750/</t>
  </si>
  <si>
    <t>TODO RE SUELTO 2018 S.A</t>
  </si>
  <si>
    <t>30-71626488-9</t>
  </si>
  <si>
    <t>CAMBIO DE TITULARIDAD Y ALTA DE NUEVA RAZON SOCIAL A: MARTINEZ ALEJANDRO DARIO CUIT: 20-14140720-2</t>
  </si>
  <si>
    <t>https://crm.infosis.tech/crm/deal/details/20582/</t>
  </si>
  <si>
    <t>BAZAR Y CIA SA</t>
  </si>
  <si>
    <t>2 WHW</t>
  </si>
  <si>
    <t>https://crm.infosis.tech/crm/deal/details/20780/</t>
  </si>
  <si>
    <t>IRPINIA S.R.L</t>
  </si>
  <si>
    <t>30-70842774-4</t>
  </si>
  <si>
    <t>2 FULL + 5 POS + AVM + ALTA TINTOMÉTRICO ALBA HOGAR Y OBRA</t>
  </si>
  <si>
    <t>https://crm.infosis.tech/crm/deal/details/20608/</t>
  </si>
  <si>
    <t>PUGLIESE DARIO CHRISTIAN</t>
  </si>
  <si>
    <t>https://crm.infosis.tech/crm/deal/details/20998/</t>
  </si>
  <si>
    <t>https://crm.infosis.tech/crm/deal/details/20912/</t>
  </si>
  <si>
    <t>INTEGRACION BALCONY PLAN PLUS - SERVICIO DE ENVIO DE FACTURAS</t>
  </si>
  <si>
    <t>ALTA DE NUEVA RAZÓN SOCIAL POOLCENTERPC S.A CUIT 30-71881364-2</t>
  </si>
  <si>
    <t>https://crm.infosis.tech/crm/deal/details/17738/</t>
  </si>
  <si>
    <t>https://crm.infosis.tech/crm/deal/details/21034/</t>
  </si>
  <si>
    <t>ORFALI LUCIANO ALFREDO</t>
  </si>
  <si>
    <t>20-27285040-3</t>
  </si>
  <si>
    <t>https://crm.infosis.tech/crm/deal/details/21048/</t>
  </si>
  <si>
    <t>CAMILO RAUL GARCIA</t>
  </si>
  <si>
    <t>23-39131921-9</t>
  </si>
  <si>
    <t>https://crm.infosis.tech/crm/deal/details/20356/</t>
  </si>
  <si>
    <t>IKIGAI S.A.S</t>
  </si>
  <si>
    <t>30-71720666-1</t>
  </si>
  <si>
    <t>https://crm.infosis.tech/crm/deal/details/21064/</t>
  </si>
  <si>
    <t>MERCADO SANITARIO MDQ SA</t>
  </si>
  <si>
    <t>30-71721833-3</t>
  </si>
  <si>
    <t>https://crm.infosis.tech/crm/deal/details/21114/</t>
  </si>
  <si>
    <t>DANIEL A FERNANDEZ Y EDI GIACAGLIA S.H.</t>
  </si>
  <si>
    <t>30-70724687-8</t>
  </si>
  <si>
    <t>5 POS</t>
  </si>
  <si>
    <t>https://crm.infosis.tech/crm/deal/details/21166/</t>
  </si>
  <si>
    <t>AG BLOCK SA</t>
  </si>
  <si>
    <t>https://crm.infosis.tech/crm/deal/details/21170/</t>
  </si>
  <si>
    <t>https://crm.infosis.tech/crm/deal/details/21180/</t>
  </si>
  <si>
    <t>https://crm.infosis.tech/crm/deal/details/21164/</t>
  </si>
  <si>
    <t>https://crm.infosis.tech/crm/deal/details/21192/</t>
  </si>
  <si>
    <t>ALTA DE NUEVA RAZÓN SOCIAL MAZZEI JOAQUIN ANDRES CUIT: 20-41583248-7</t>
  </si>
  <si>
    <t>https://crm.infosis.tech/crm/deal/details/21212/</t>
  </si>
  <si>
    <t>KANGURU SAS</t>
  </si>
  <si>
    <t>30-71848849-0</t>
  </si>
  <si>
    <t>https://crm.infosis.tech/crm/deal/details/21020/</t>
  </si>
  <si>
    <t>PINTURERIA GASTON S.R.L</t>
  </si>
  <si>
    <t>https://crm.infosis.tech/crm/deal/details/21254/</t>
  </si>
  <si>
    <t>https://crm.infosis.tech/crm/deal/details/21226/</t>
  </si>
  <si>
    <t>https://crm.infosis.tech/crm/deal/details/21142/</t>
  </si>
  <si>
    <t>https://crm.infosis.tech/crm/deal/details/21220/</t>
  </si>
  <si>
    <t>ROBERTO M CABRERA E HIJO SRL</t>
  </si>
  <si>
    <t>https://crm.infosis.tech/crm/deal/details/21294/ - https://crm.infosis.tech/crm/deal/details/21392/</t>
  </si>
  <si>
    <t>21294 / 21392</t>
  </si>
  <si>
    <t>ALMADA MARIA ALEJANDRA</t>
  </si>
  <si>
    <t>23-23102868-4</t>
  </si>
  <si>
    <t>ALTA DE RAZON SOCIAL Y CAMBIO DE TITULARIDAD: ROMANIN ADRIANA MABEL CUIT: 27-16403062-3</t>
  </si>
  <si>
    <t>https://crm.infosis.tech/crm/deal/details/21196/</t>
  </si>
  <si>
    <t>HERRAJES LOS HALCONES S.R.L</t>
  </si>
  <si>
    <t>https://crm.infosis.tech/crm/deal/details/21088/</t>
  </si>
  <si>
    <t>CAMBIO DE TITULARIDAD EMCODE SAS CUIT: 30-71658683-5</t>
  </si>
  <si>
    <t>https://crm.infosis.tech/crm/deal/details/21390/</t>
  </si>
  <si>
    <t>https://crm.infosis.tech/crm/deal/details/21386/</t>
  </si>
  <si>
    <t>https://crm.infosis.tech/crm/deal/details/21284/</t>
  </si>
  <si>
    <t>https://crm.infosis.tech/crm/deal/details/21404/</t>
  </si>
  <si>
    <t>https://crm.infosis.tech/crm/deal/details/21490/</t>
  </si>
  <si>
    <t>https://crm.infosis.tech/crm/deal/details/21324/</t>
  </si>
  <si>
    <t>https://crm.infosis.tech/crm/deal/details/21520/</t>
  </si>
  <si>
    <t>LOS MIL ARTICULOS S.A.S</t>
  </si>
  <si>
    <t>30-71888350-0</t>
  </si>
  <si>
    <t>https://crm.infosis.tech/crm/deal/details/20458/</t>
  </si>
  <si>
    <t>https://crm.infosis.tech/crm/deal/details/21494/</t>
  </si>
  <si>
    <t>ALTA TINTOMÉTRICO CASABLANCA HOGAR Y OBRA</t>
  </si>
  <si>
    <t>https://crm.infosis.tech/crm/deal/details/19660/</t>
  </si>
  <si>
    <t>MAR ROJO ATLANTICO</t>
  </si>
  <si>
    <t>1 FULL + 2 POS + 2TCP + AVM</t>
  </si>
  <si>
    <t>https://crm.infosis.tech/crm/deal/details/21168/</t>
  </si>
  <si>
    <t>USUARIO ADICIONAL BALCONY</t>
  </si>
  <si>
    <t>https://crm.infosis.tech/crm/deal/details/21624/</t>
  </si>
  <si>
    <t>GRUPO FIKA 5, S.A - QUIMTEX</t>
  </si>
  <si>
    <t>30-71910240-5</t>
  </si>
  <si>
    <t>1 FULL + 1 POS + AVM + TINTOMÉTRICO QUIMTEX</t>
  </si>
  <si>
    <t>NCgi - Gremial / Institucional</t>
  </si>
  <si>
    <t>https://crm.infosis.tech/crm/deal/details/21528/</t>
  </si>
  <si>
    <t>2 TCP</t>
  </si>
  <si>
    <t>https://crm.infosis.tech/crm/deal/details/21622/</t>
  </si>
  <si>
    <t>https://crm.infosis.tech/crm/deal/details/21620/</t>
  </si>
  <si>
    <t>EMPRENDIMIENTO COMERCIAL LEOPOLDA S.A.</t>
  </si>
  <si>
    <t>https://crm.infosis.tech/crm/deal/details/21690/</t>
  </si>
  <si>
    <t>INTEGRACION BALCONY PLAN LITE- TIENDA NUBE</t>
  </si>
  <si>
    <t>https://crm.infosis.tech/crm/deal/details/21714/</t>
  </si>
  <si>
    <t>https://crm.infosis.tech/crm/deal/details/21342/</t>
  </si>
  <si>
    <t>ALTA DE RAZÓN SOCIAL: LAHMAN SANTIAGO CUIT: 20-33424587-0</t>
  </si>
  <si>
    <t>ROMANIN ADRIANA MABEL</t>
  </si>
  <si>
    <t>27-16403062-3</t>
  </si>
  <si>
    <t>https://crm.infosis.tech/crm/deal/details/21818/</t>
  </si>
  <si>
    <t>NEW ROM SANITARIOS SA</t>
  </si>
  <si>
    <t>30-71013364-2</t>
  </si>
  <si>
    <t>2 FULL + 1 POS + 1 VND + 1 WHW + AVM</t>
  </si>
  <si>
    <t>https://crm.infosis.tech/crm/deal/details/21340/</t>
  </si>
  <si>
    <t>AMH</t>
  </si>
  <si>
    <t>https://crm.infosis.tech/crm/deal/details/21846/</t>
  </si>
  <si>
    <t>INTEGRACIÓN STOREHUB</t>
  </si>
  <si>
    <t>https://crm.infosis.tech/crm/deal/details/21384/</t>
  </si>
  <si>
    <t>FELMAX CARNES Y CHACINADOS MDP S.A.</t>
  </si>
  <si>
    <t>ALTA DE RAZÓN SOCIAL: MABERON 2104 CUIT: 30-71915769-2</t>
  </si>
  <si>
    <t>https://crm.infosis.tech/crm/deal/details/21678/</t>
  </si>
  <si>
    <t>https://crm.infosis.tech/crm/deal/details/21888/</t>
  </si>
  <si>
    <t>https://crm.infosis.tech/crm/deal/details/21900/</t>
  </si>
  <si>
    <t>https://crm.infosis.tech/crm/deal/details/21848/</t>
  </si>
  <si>
    <t>DIABLA SRL</t>
  </si>
  <si>
    <t>30-71781620-6</t>
  </si>
  <si>
    <t>2 FULL + 5 POS + 1 WHW + AVM</t>
  </si>
  <si>
    <t>https://crm.infosis.tech/crm/deal/details/21670/</t>
  </si>
  <si>
    <t>ARRANKONLINE SAS</t>
  </si>
  <si>
    <t>30-71898460-9</t>
  </si>
  <si>
    <t>https://crm.infosis.tech/crm/deal/details/21916/</t>
  </si>
  <si>
    <t>https://crm.infosis.tech/crm/deal/details/21666/</t>
  </si>
  <si>
    <t>https://crm.infosis.tech/crm/deal/details/21856/</t>
  </si>
  <si>
    <t>ACTUALIZACION TINTOMÉTRICO ALBA (HOGAR Y OBRA)</t>
  </si>
  <si>
    <t>https://crm.infosis.tech/crm/deal/details/21946/</t>
  </si>
  <si>
    <t>https://crm.infosis.tech/crm/deal/details/21932/</t>
  </si>
  <si>
    <t>20-29362712-7</t>
  </si>
  <si>
    <t>https://crm.infosis.tech/crm/deal/details/21612/</t>
  </si>
  <si>
    <t>https://crm.infosis.tech/crm/deal/details/21992/</t>
  </si>
  <si>
    <t>https://crm.infosis.tech/crm/deal/details/20398/</t>
  </si>
  <si>
    <t>GOMEZ CAMILA ELIZABETH</t>
  </si>
  <si>
    <t>27-41745531-6</t>
  </si>
  <si>
    <t>https://crm.infosis.tech/crm/deal/details/21838/</t>
  </si>
  <si>
    <t>https://crm.infosis.tech/crm/deal/details/22034/</t>
  </si>
  <si>
    <t>SUPERLIMP S.R.L</t>
  </si>
  <si>
    <t>https://crm.infosis.tech/crm/deal/details/22050/</t>
  </si>
  <si>
    <t>https://crm.infosis.tech/crm/deal/details/22014/</t>
  </si>
  <si>
    <t>JBG SISTEMAS S.R.L</t>
  </si>
  <si>
    <t>1 WHW + AVM</t>
  </si>
  <si>
    <t>https://crm.infosis.tech/crm/deal/details/22084/</t>
  </si>
  <si>
    <t>ALTA DE NUEVA RAZÓN SOCIAL (INCLUIDA EN AVM) + CAMBIO DE TITULARIDAD: ELVIRA DURDOS HERMANOS SRL CUIT: 30-71846464-8</t>
  </si>
  <si>
    <t>EL TACHITO S.A</t>
  </si>
  <si>
    <t>30-71381350-4</t>
  </si>
  <si>
    <t>CAMBIO DE RAZÓN SOCIAL</t>
  </si>
  <si>
    <t>https://crm.infosis.tech/crm/deal/details/22032/</t>
  </si>
  <si>
    <t>ALTA DE NUEVA RAZÓN SOCIAL (INCLUIDA EN AVM) + CAMBIO DE TITULARIDAD: SOÑIA NOEMI LOPEZ CUIT:30-10735595-3</t>
  </si>
  <si>
    <t>https://crm.infosis.tech/crm/deal/details/22080/</t>
  </si>
  <si>
    <t>PINTURERÍA ALSINA SH DE FATTORE H A, DEACON R R Y FATTORE S</t>
  </si>
  <si>
    <t>30-61442678-7</t>
  </si>
  <si>
    <t>CAMBIO DE RAZON SOCIAL PINTURERIA ALSINA S. CAP I SECC IV CUIT: 30-61442678-7</t>
  </si>
  <si>
    <t>https://crm.infosis.tech/crm/deal/details/22174/</t>
  </si>
  <si>
    <t>GABRIELA ROMINA HAUSCARRIAGA</t>
  </si>
  <si>
    <t>23-33019849-4</t>
  </si>
  <si>
    <t>https://crm.infosis.tech/crm/deal/details/22026/</t>
  </si>
  <si>
    <t>CAMBIO DE TITULARIDAD A GRUPO COMERCIO ARGENTINO DE RETAIL S.R.L. CUIT: 30-71800469-8</t>
  </si>
  <si>
    <t>https://crm.infosis.tech/crm/deal/details/22172/</t>
  </si>
  <si>
    <t>2 FULL + 1 WHW</t>
  </si>
  <si>
    <t>https://crm.infosis.tech/crm/deal/details/22162/</t>
  </si>
  <si>
    <t>5 FULL + 8 POS</t>
  </si>
  <si>
    <t>https://crm.infosis.tech/crm/deal/details/22008/</t>
  </si>
  <si>
    <t>SUMA COLORES 0522 S. R. L.</t>
  </si>
  <si>
    <t>30-71769783-5</t>
  </si>
  <si>
    <t>https://crm.infosis.tech/crm/deal/details/21644/</t>
  </si>
  <si>
    <t>PINTURERIAS LAZARO S.A</t>
  </si>
  <si>
    <t>https://crm.infosis.tech/crm/deal/details/22252/</t>
  </si>
  <si>
    <t>30-71900339-3</t>
  </si>
  <si>
    <t>ALTA DE NUEVA RAZÓN SOCIAL: LEMAYA 1223 DISTRIBUCIONES CUIT: 30-71917884-3</t>
  </si>
  <si>
    <t>https://crm.infosis.tech/crm/deal/details/22086/</t>
  </si>
  <si>
    <t>CARSPAINT S.R.L</t>
  </si>
  <si>
    <t>ALTA DE NUEVA RAZON SOCIAL Y CAMBIO DE TITULARIDAD: CAR PAINT SA CUIT: 30-71916256-4</t>
  </si>
  <si>
    <t>https://crm.infosis.tech/crm/deal/details/22064/</t>
  </si>
  <si>
    <t>https://crm.infosis.tech/crm/deal/details/22088/</t>
  </si>
  <si>
    <t>https://crm.infosis.tech/crm/deal/details/22164/</t>
  </si>
  <si>
    <t>INTEGRACION BALCONY PLAN PLUS - TIENDA NUBE - SERVICIO DE ENVIO DE FACTURAS</t>
  </si>
  <si>
    <t>https://crm.infosis.tech/crm/deal/details/22166/</t>
  </si>
  <si>
    <t>JOSE EDUARDO GONZALEZ</t>
  </si>
  <si>
    <t>https://crm.infosis.tech/crm/deal/details/21968/</t>
  </si>
  <si>
    <t>ARGENTINA PAINT CAR S.A</t>
  </si>
  <si>
    <t>https://crm.infosis.tech/crm/deal/details/22038/</t>
  </si>
  <si>
    <t>ELVIRA DURDOS HERMANOS SOCIEDAD DE RESPONSABILIDAD LIMITADA</t>
  </si>
  <si>
    <t>30-71846464-8</t>
  </si>
  <si>
    <t>https://crm.infosis.tech/crm/deal/details/22348/</t>
  </si>
  <si>
    <t>https://crm.infosis.tech/crm/deal/details/22402/</t>
  </si>
  <si>
    <t>https://crm.infosis.tech/crm/deal/details/22418/</t>
  </si>
  <si>
    <t>https://crm.infosis.tech/crm/deal/details/22318/</t>
  </si>
  <si>
    <t>https://crm.infosis.tech/crm/deal/details/22462/</t>
  </si>
  <si>
    <t>https://crm.infosis.tech/crm/deal/details/22536/</t>
  </si>
  <si>
    <t>https://crm.infosis.tech/crm/deal/details/22500/</t>
  </si>
  <si>
    <t>INTEGRACION BALCONY PLAN LITE - TIENDA NUBE - SERVICIO DE ENVIO DE FACTURAS</t>
  </si>
  <si>
    <t>https://crm.infosis.tech/crm/deal/details/22494/</t>
  </si>
  <si>
    <t>PURASAL S.R.L</t>
  </si>
  <si>
    <t>3 POS ANDROID + 1 VND ANDROID TEMPORADA FLEX 4+2</t>
  </si>
  <si>
    <t>https://crm.infosis.tech/crm/deal/details/22478/</t>
  </si>
  <si>
    <t>KAYROS S.A</t>
  </si>
  <si>
    <t>30-70987055-2</t>
  </si>
  <si>
    <t>3 FULL + 3 POS + 1 POS PACK PLUS + 7 VND + 1 POP + 1 WHW</t>
  </si>
  <si>
    <t>https://crm.infosis.tech/crm/deal/details/22580/</t>
  </si>
  <si>
    <t>GRUPO ADAPTAR S.A</t>
  </si>
  <si>
    <t>30-71605029-3</t>
  </si>
  <si>
    <t>https://crm.infosis.tech/crm/deal/details/22576/</t>
  </si>
  <si>
    <t>ECOSISTEMA ZEUS - PLATAFORMA STOREHUB - LICENCIA MOBILE (08)</t>
  </si>
  <si>
    <t>IDEAS DEL NORTE SRL</t>
  </si>
  <si>
    <t>30-70848396-2</t>
  </si>
  <si>
    <t>https://crm.infosis.tech/crm/deal/details/22568/</t>
  </si>
  <si>
    <t>https://crm.infosis.tech/crm/deal/details/22148/</t>
  </si>
  <si>
    <t>https://crm.infosis.tech/crm/deal/details/22454/</t>
  </si>
  <si>
    <t>https://crm.infosis.tech/crm/deal/details/22650/</t>
  </si>
  <si>
    <t>https://crm.infosis.tech/crm/deal/details/22502/</t>
  </si>
  <si>
    <t>https://crm.infosis.tech/crm/deal/details/22676/</t>
  </si>
  <si>
    <t>GUTTLEIN HIGINIO</t>
  </si>
  <si>
    <t>https://crm.infosis.tech/crm/deal/details/22730/</t>
  </si>
  <si>
    <t>https://crm.infosis.tech/crm/deal/details/22674/</t>
  </si>
  <si>
    <t>https://crm.infosis.tech/crm/deal/details/22694/</t>
  </si>
  <si>
    <t>ROYAL TRADING S.A.S</t>
  </si>
  <si>
    <t>https://crm.infosis.tech/crm/deal/details/22780/</t>
  </si>
  <si>
    <t>DANIBELE S.R.L</t>
  </si>
  <si>
    <t>30-71660515-5</t>
  </si>
  <si>
    <t>4 FULL + 2 POS + 3 VND + AVM</t>
  </si>
  <si>
    <t>https://crm.infosis.tech/crm/deal/details/21188/</t>
  </si>
  <si>
    <t>LUNA BONITA S.R.L</t>
  </si>
  <si>
    <t>https://crm.infosis.tech/crm/deal/details/22092/</t>
  </si>
  <si>
    <t>10 HORAS DE ANÁLISIS TÉCNICO DE INTEGRACIONES - CLUSTER</t>
  </si>
  <si>
    <t>10 HORAS DE ANÁLISS TÉCNICO DE INTEGRACIONES - CLUSTER</t>
  </si>
  <si>
    <t>https://crm.infosis.tech/crm/deal/details/22686/</t>
  </si>
  <si>
    <t>MC PINTURAS SA</t>
  </si>
  <si>
    <t>CAMBIO RAZON SOCIAL GRUPO MC COMPAÑIA COMERCIAL INDUSTRIAL SA CUIT: 30-71428499-8</t>
  </si>
  <si>
    <t>https://crm.infosis.tech/crm/deal/details/22808/</t>
  </si>
  <si>
    <t>GERMAN BERTOLO</t>
  </si>
  <si>
    <t>20-22189332-9</t>
  </si>
  <si>
    <t>https://crm.infosis.tech/crm/deal/details/20408/</t>
  </si>
  <si>
    <t>SUICOLOR SA</t>
  </si>
  <si>
    <t>30-71881370-7</t>
  </si>
  <si>
    <t>https://crm.infosis.tech/crm/deal/details/21504/</t>
  </si>
  <si>
    <t>https://crm.infosis.tech/crm/deal/details/22790/</t>
  </si>
  <si>
    <t>DANIBELE SRL</t>
  </si>
  <si>
    <t>https://crm.infosis.tech/crm/deal/details/22948/</t>
  </si>
  <si>
    <t>WECAN AGRO S.A</t>
  </si>
  <si>
    <t>30-71088632-2</t>
  </si>
  <si>
    <t>https://crm.infosis.tech/crm/deal/details/22900/</t>
  </si>
  <si>
    <t>AZZINNARI TALLER NAVAL E INDUSTRIAL SRL</t>
  </si>
  <si>
    <t>30-71870577-7</t>
  </si>
  <si>
    <t>https://crm.infosis.tech/crm/deal/details/22786/</t>
  </si>
  <si>
    <t>3 WHW</t>
  </si>
  <si>
    <t>https://crm.infosis.tech/crm/deal/details/23042/</t>
  </si>
  <si>
    <t>https://crm.infosis.tech/crm/deal/details/23058/</t>
  </si>
  <si>
    <t>ALTA DE RAZON SOCIAL + CAMBIO DE TITULARIDAD: THE ART COMPANY SRL CUIT: 30-71582681-6</t>
  </si>
  <si>
    <t>https://crm.infosis.tech/crm/deal/details/23066/</t>
  </si>
  <si>
    <t>FIRMAS ELECTRONICAS</t>
  </si>
  <si>
    <t>https://crm.infosis.tech/crm/deal/details/22934/</t>
  </si>
  <si>
    <t>PESQUERA DEL ESTE S.A</t>
  </si>
  <si>
    <t>https://crm.infosis.tech/crm/deal/details/23006/</t>
  </si>
  <si>
    <t>https://crm.infosis.tech/crm/deal/details/22636/</t>
  </si>
  <si>
    <t>INTEGRACION BALCONY PLAN LITE - WOOCOMMERCE</t>
  </si>
  <si>
    <t>CAMBIO DE TITULARIDAD A SGL SRL CUIT: 30-71711233-0</t>
  </si>
  <si>
    <t>https://crm.infosis.tech/crm/deal/details/22740/</t>
  </si>
  <si>
    <t>MARIEL MOUREU</t>
  </si>
  <si>
    <t>27-31236861-2</t>
  </si>
  <si>
    <t>https://crm.infosis.tech/crm/deal/details/22814/</t>
  </si>
  <si>
    <t>CONSCA S.A</t>
  </si>
  <si>
    <t>30-63859423-0</t>
  </si>
  <si>
    <t>https://crm.infosis.tech/crm/deal/details/23160/</t>
  </si>
  <si>
    <t>https://crm.infosis.tech/crm/deal/details/23174/</t>
  </si>
  <si>
    <t>ECOSISTEMA ZEUS - PLATAFORMA STOREHUB - BOT (1 LICENCIA)</t>
  </si>
  <si>
    <t>ECOSISTEMA ZEUS - PLATAFORMA STOREHUB - AUDITCAM (13 LICENCIAS)</t>
  </si>
  <si>
    <t>https://crm.infosis.tech/crm/deal/details/23010/</t>
  </si>
  <si>
    <t>https://crm.infosis.tech/crm/deal/details/23250/</t>
  </si>
  <si>
    <t>ALDEANO´S SRL</t>
  </si>
  <si>
    <t>https://crm.infosis.tech/crm/deal/details/23118/</t>
  </si>
  <si>
    <t>ECOSISTEMA ZEUS - PLATAFORMA STOREHUB - STOREHUB MOBILE (1 LICENCIA)</t>
  </si>
  <si>
    <t>https://crm.infosis.tech/crm/deal/details/23342/</t>
  </si>
  <si>
    <t>ECOSISTEMA ZEUS - PLATAFORMA STOREHUB - AUDITCAM (23 LICENCIAS)</t>
  </si>
  <si>
    <t>https://crm.infosis.tech/crm/deal/details/23310/</t>
  </si>
  <si>
    <t>ARDILA VALERO ALEJANDRA</t>
  </si>
  <si>
    <t>27-95954714-4</t>
  </si>
  <si>
    <t>https://crm.infosis.tech/crm/deal/details/23270/</t>
  </si>
  <si>
    <t>https://crm.infosis.tech/crm/deal/details/23392/</t>
  </si>
  <si>
    <t>https://crm.infosis.tech/crm/deal/details/23416/</t>
  </si>
  <si>
    <t>ALTA DE RAZON SOCIAL + CAMBIO DE TITULARIDAD: PROYECTOS NPS HIGROUP S.A. CUIT: 30-71802144-4</t>
  </si>
  <si>
    <t>https://crm.infosis.tech/crm/deal/details/23438/</t>
  </si>
  <si>
    <t xml:space="preserve">JULIETA ANKUDOWICZ </t>
  </si>
  <si>
    <t>27-28215033-1</t>
  </si>
  <si>
    <t>https://crm.infosis.tech/crm/deal/details/23430/</t>
  </si>
  <si>
    <t>REAL POROPAT GERMAN FEDERICO</t>
  </si>
  <si>
    <t>20-36950127-6</t>
  </si>
  <si>
    <t>https://crm.infosis.tech/crm/deal/details/23382/</t>
  </si>
  <si>
    <t>RUBEN ALBERTO FALCON</t>
  </si>
  <si>
    <t>https://crm.infosis.tech/crm/deal/details/23464/</t>
  </si>
  <si>
    <t>https://crm.infosis.tech/crm/deal/details/23496/</t>
  </si>
  <si>
    <t>MEIER CRISTALES SRL</t>
  </si>
  <si>
    <t>30-71722787-1</t>
  </si>
  <si>
    <t>https://crm.infosis.tech/crm/deal/details/23242/</t>
  </si>
  <si>
    <t>https://crm.infosis.tech/crm/deal/details/23594/</t>
  </si>
  <si>
    <t>ALTA DE RAZON SOCIAL: GUADALUPE RIVADENEYRA CUIT: 27-29894893-7</t>
  </si>
  <si>
    <t>https://crm.infosis.tech/crm/deal/details/23536/</t>
  </si>
  <si>
    <t>2 VND</t>
  </si>
  <si>
    <t>https://crm.infosis.tech/crm/deal/details/23638/</t>
  </si>
  <si>
    <t>INTEGRACIÓN BALCONY - ULTRA</t>
  </si>
  <si>
    <t>https://crm.infosis.tech/crm/deal/details/23636/</t>
  </si>
  <si>
    <t>EMBALAJES MARPLATENSES S.A</t>
  </si>
  <si>
    <t>ALTA DE RAZON SOCIAL: VOIITEK METALURGICA S.A CUIT: 30-71895426-2</t>
  </si>
  <si>
    <t>https://crm.infosis.tech/crm/deal/details/23358/</t>
  </si>
  <si>
    <t>https://crm.infosis.tech/crm/deal/details/23560/</t>
  </si>
  <si>
    <t>MB10 S.A.S</t>
  </si>
  <si>
    <t>30-71585449-6</t>
  </si>
  <si>
    <t>ECOSISTEMA INFOSIS - 21 LICENCIAS SUPERPOPI</t>
  </si>
  <si>
    <t>https://crm.infosis.tech/crm/deal/details/23686/</t>
  </si>
  <si>
    <t>https://crm.infosis.tech/crm/deal/details/23670/</t>
  </si>
  <si>
    <t>QUALUM S.A</t>
  </si>
  <si>
    <t>https://crm.infosis.tech/crm/deal/details/23702/</t>
  </si>
  <si>
    <t>https://crm.infosis.tech/crm/deal/details/23572/</t>
  </si>
  <si>
    <t>https://crm.infosis.tech/crm/deal/details/23530/</t>
  </si>
  <si>
    <t>SATDJIAN GUSTAVO ARTURO</t>
  </si>
  <si>
    <t>https://crm.infosis.tech/crm/deal/details/23454/</t>
  </si>
  <si>
    <t>DISEÑO Y ESTILO SRL</t>
  </si>
  <si>
    <t>https://crm.infosis.tech/crm/deal/details/23426/</t>
  </si>
  <si>
    <t>https://crm.infosis.tech/crm/deal/details/23484/</t>
  </si>
  <si>
    <t>PEREZ MARIO MAXIMO</t>
  </si>
  <si>
    <t>20-18756621-6</t>
  </si>
  <si>
    <t>https://crm.infosis.tech/crm/deal/details/23760/</t>
  </si>
  <si>
    <t>https://crm.infosis.tech/crm/deal/details/23788/</t>
  </si>
  <si>
    <t>MLM ABERTURAS SRL</t>
  </si>
  <si>
    <t>30-71873760-1</t>
  </si>
  <si>
    <t>https://crm.infosis.tech/crm/deal/details/23436/</t>
  </si>
  <si>
    <t>https://crm.infosis.tech/crm/deal/details/23806/</t>
  </si>
  <si>
    <t>DE LOS ANDES SAS</t>
  </si>
  <si>
    <t>30-71737313-4</t>
  </si>
  <si>
    <t>2 FULL + 1 POS PACK PLUS + 3 VND + AVM</t>
  </si>
  <si>
    <t>https://crm.infosis.tech/crm/deal/details/23824/</t>
  </si>
  <si>
    <t>ALTA DE TINTOMETRICO SINTEPLAST DE HOGAR Y OBRA</t>
  </si>
  <si>
    <t>https://crm.infosis.tech/crm/deal/details/23562/</t>
  </si>
  <si>
    <t>INTEGRACION BALCONY - TIENDA NUBE</t>
  </si>
  <si>
    <t>https://crm.infosis.tech/crm/deal/details/22480/</t>
  </si>
  <si>
    <t>https://crm.infosis.tech/crm/deal/details/23378/</t>
  </si>
  <si>
    <t>INTEGRACION E-SUELDOS  SUELDOS + PORTAL DE RRHH</t>
  </si>
  <si>
    <t>4 FULL + 4 POS</t>
  </si>
  <si>
    <t>https://crm.infosis.tech/crm/deal/details/23908/</t>
  </si>
  <si>
    <t>FILIPPI FEDERICO ALEJANDRO</t>
  </si>
  <si>
    <t>20-25397213-1</t>
  </si>
  <si>
    <r>
      <rPr>
        <rFont val="Ubuntu"/>
        <color rgb="FF0B5394"/>
        <u/>
      </rPr>
      <t>https://crm.infosis.tech/crm/deal/details/23798/</t>
    </r>
    <r>
      <rPr>
        <rFont val="Ubuntu"/>
        <color rgb="FF1F1F1F"/>
      </rPr>
      <t xml:space="preserve">  </t>
    </r>
    <r>
      <rPr>
        <rFont val="Ubuntu"/>
        <color rgb="FF1155CC"/>
        <u/>
      </rPr>
      <t>https://crm.infosis.tech/crm/deal/details/24028/</t>
    </r>
  </si>
  <si>
    <t>23798 | 24028</t>
  </si>
  <si>
    <t>https://crm.infosis.tech/crm/deal/details/23950/</t>
  </si>
  <si>
    <t>DURAN MAS SRL</t>
  </si>
  <si>
    <t>30-71587417-9</t>
  </si>
  <si>
    <t>ACTUALIZACION TINTOMETRICO TERSUAVE DE HOGAR Y OBRA</t>
  </si>
  <si>
    <t>https://crm.infosis.tech/crm/deal/details/23878/</t>
  </si>
  <si>
    <t>DAVID NICOLAS CABRERA ALONSO</t>
  </si>
  <si>
    <t>60098876Z</t>
  </si>
  <si>
    <t>1 FULL + 1 POS ANDROID + AVM</t>
  </si>
  <si>
    <t>España</t>
  </si>
  <si>
    <t>https://crm.infosis.tech/crm/deal/details/23990/</t>
  </si>
  <si>
    <t>https://crm.infosis.tech/crm/deal/details/23964/</t>
  </si>
  <si>
    <t>https://crm.infosis.tech/crm/deal/details/23944/ https://crm.infosis.tech/crm/deal/details/24156/</t>
  </si>
  <si>
    <t>https://crm.infosis.tech/crm/deal/details/24036/</t>
  </si>
  <si>
    <t>1 POS ANDROID</t>
  </si>
  <si>
    <t>https://crm.infosis.tech/crm/deal/details/23494/</t>
  </si>
  <si>
    <t>https://crm.infosis.tech/crm/deal/details/24040/</t>
  </si>
  <si>
    <t>GRUPO TIZAS SA</t>
  </si>
  <si>
    <t>https://crm.infosis.tech/crm/deal/details/24084/</t>
  </si>
  <si>
    <t>SERES SRL</t>
  </si>
  <si>
    <t>30-71537940-2</t>
  </si>
  <si>
    <t>https://crm.infosis.tech/crm/deal/details/23946/</t>
  </si>
  <si>
    <t>DIEGO MARTIN SEVALA</t>
  </si>
  <si>
    <t>https://crm.infosis.tech/crm/deal/details/24090/</t>
  </si>
  <si>
    <t>FISCHER ARGENTINA SA</t>
  </si>
  <si>
    <t>https://crm.infosis.tech/crm/deal/details/23910</t>
  </si>
  <si>
    <t>https://crm.infosis.tech/crm/deal/details/23958/</t>
  </si>
  <si>
    <t>ARABIA PERFUM SAS</t>
  </si>
  <si>
    <t>https://crm.infosis.tech/crm/deal/details/23970/</t>
  </si>
  <si>
    <t>ESTILO DECO SA</t>
  </si>
  <si>
    <t>30-71219467-3</t>
  </si>
  <si>
    <t>3 FULL + 4 POS + AVM + 1 POS PACK PLUS</t>
  </si>
  <si>
    <t>https://crm.infosis.tech/crm/deal/details/24042/</t>
  </si>
  <si>
    <t>PRETMENT SRL</t>
  </si>
  <si>
    <t>https://crm.infosis.tech/crm/deal/details/24142/</t>
  </si>
  <si>
    <t>SUPERLIMP SRL</t>
  </si>
  <si>
    <t>https://crm.infosis.tech/crm/deal/details/23940/</t>
  </si>
  <si>
    <t>1 AVD</t>
  </si>
  <si>
    <t>https://crm.infosis.tech/crm/deal/details/23434/</t>
  </si>
  <si>
    <t>https://crm.infosis.tech/crm/deal/details/24300/</t>
  </si>
  <si>
    <t>ECOSISTEMA ZEUS - PLATAFORMA DIGIPWMS</t>
  </si>
  <si>
    <t>https://crm.infosis.tech/crm/deal/details/24128/</t>
  </si>
  <si>
    <t>https://crm.infosis.tech/crm/deal/details/24322/</t>
  </si>
  <si>
    <t>TOUT INTERNATIONAL S.A</t>
  </si>
  <si>
    <t>https://crm.infosis.tech/crm/deal/details/24348/</t>
  </si>
  <si>
    <t>MORRESI ROXANA ANDREA</t>
  </si>
  <si>
    <t>27-24516006-8</t>
  </si>
  <si>
    <t>https://crm.infosis.tech/crm/deal/details/24366/  - https://crm.infosis.tech/crm/deal/details/25068/</t>
  </si>
  <si>
    <t>CAVALLO SILVINA ALEJANDRA</t>
  </si>
  <si>
    <t>27-20620047-9</t>
  </si>
  <si>
    <t>https://crm.infosis.tech/crm/deal/details/24366/</t>
  </si>
  <si>
    <t>https://crm.infosis.tech/crm/deal/details/24422/</t>
  </si>
  <si>
    <t>DESDE EL SUR SAS</t>
  </si>
  <si>
    <t>ACTUALIZACION TINTOMETRICO ALBA DE HOGAR Y OBRA</t>
  </si>
  <si>
    <t>https://crm.infosis.tech/crm/deal/details/24204</t>
  </si>
  <si>
    <t>BERLIN RC S.R.L.</t>
  </si>
  <si>
    <t>33-71903258-9</t>
  </si>
  <si>
    <t>https://crm.infosis.tech/crm/deal/details/24420</t>
  </si>
  <si>
    <t>https://crm.infosis.tech/crm/deal/details/24454/</t>
  </si>
  <si>
    <t>https://crm.infosis.tech/crm/deal/details/24196/</t>
  </si>
  <si>
    <t>PANTHER DISTRIBUCIONES SRL</t>
  </si>
  <si>
    <t>https://crm.infosis.tech/crm/deal/details/24004/</t>
  </si>
  <si>
    <t>BALCONY PLAN LITE + TIENDA NUBE + SERVICIO DE ENVIO DE FACTURAS</t>
  </si>
  <si>
    <t>https://crm.infosis.tech/crm/deal/details/24472/</t>
  </si>
  <si>
    <t>E-SUELDOS: LIQUIDACION DE SUELDOS + PORTAL DE RRHH</t>
  </si>
  <si>
    <t>ALEKUN S.A</t>
  </si>
  <si>
    <t>33-71915605-9</t>
  </si>
  <si>
    <t>TABBI + ZEUS EXPRESS CON 1 FULL, 1 AVM y 1 POS</t>
  </si>
  <si>
    <t>https://crm.infosis.tech/crm/deal/details/24842/</t>
  </si>
  <si>
    <t>1 ACCESO VIRTUAL API (WEB SERVICE)</t>
  </si>
  <si>
    <t>https://crm.infosis.tech/crm/deal/details/24388/</t>
  </si>
  <si>
    <t>https://crm.infosis.tech/crm/deal/details/24888/</t>
  </si>
  <si>
    <t>ORFALI ALFREDO LUCIANO</t>
  </si>
  <si>
    <t>https://crm.infosis.tech/crm/deal/details/24964/</t>
  </si>
  <si>
    <t>https://crm.infosis.tech/crm/deal/details/25074/</t>
  </si>
  <si>
    <t>1  FULL + 1 POS</t>
  </si>
  <si>
    <t>https://crm.infosis.tech/crm/deal/details/24690/</t>
  </si>
  <si>
    <t>https://crm.infosis.tech/crm/deal/details/25246/</t>
  </si>
  <si>
    <t>https://crm.infosis.tech/crm/deal/details/25250/</t>
  </si>
  <si>
    <t>SERVICIOS ADICIONALES CONTRATADOS EASYCOMMERCE B2C</t>
  </si>
  <si>
    <t>https://crm.infosis.tech/crm/deal/details/25320/</t>
  </si>
  <si>
    <t>BALCONY INTEGRACION CON TIENDANUBE</t>
  </si>
  <si>
    <t>$439.313</t>
  </si>
  <si>
    <t>https://crm.infosis.tech/crm/deal/details/25072/</t>
  </si>
  <si>
    <t>https://crm.infosis.tech/crm/deal/details/25314/</t>
  </si>
  <si>
    <t>1 AVF</t>
  </si>
  <si>
    <t>https://crm.infosis.tech/crm/deal/details/25488/</t>
  </si>
  <si>
    <t xml:space="preserve">WIBOWICZ PABLO </t>
  </si>
  <si>
    <t>https://crm.infosis.tech/crm/deal/details/25412/</t>
  </si>
  <si>
    <t xml:space="preserve">QUIMICA PILAR S.R.L - </t>
  </si>
  <si>
    <t>https://crm.infosis.tech/crm/deal/details/25284/</t>
  </si>
  <si>
    <t>ROLANDO SAAB</t>
  </si>
  <si>
    <t>20-38067472-7</t>
  </si>
  <si>
    <t>https://crm.infosis.tech/crm/deal/details/25440/</t>
  </si>
  <si>
    <t>https://crm.infosis.tech/crm/deal/details/24952/</t>
  </si>
  <si>
    <t>ALTA 3 RAZONES SOCIALES</t>
  </si>
  <si>
    <t xml:space="preserve">https://crm.infosis.tech/crm/deal/details/25478/ </t>
  </si>
  <si>
    <t>OULIS 1 SPV + 2 VND</t>
  </si>
  <si>
    <t>https://crm.infosis.tech/crm/deal/details/25434/</t>
  </si>
  <si>
    <t>https://crm.infosis.tech/crm/deal/details/25472/</t>
  </si>
  <si>
    <t>Buenos Aires, Argentina</t>
  </si>
  <si>
    <t>https://crm.infosis.tech/crm/deal/details/25616/</t>
  </si>
  <si>
    <t>https://crm.infosis.tech/crm/deal/details/25660/</t>
  </si>
  <si>
    <t>MR TECNO</t>
  </si>
  <si>
    <t>30-71767977-2</t>
  </si>
  <si>
    <t>2 FULL + 1 POS PACK PLUS + 3 VND + 1 AMH + 1 AEC  + 1 AVM</t>
  </si>
  <si>
    <t>https://crm.infosis.tech/crm/deal/details/25062/</t>
  </si>
  <si>
    <t>Capital Federal, Argentina</t>
  </si>
  <si>
    <t>QUERCIALI HOGAR S.A.</t>
  </si>
  <si>
    <t>30-70840950-9</t>
  </si>
  <si>
    <t>3 FULL + 2 POS + 1 WHW + 1 POS PACK  PLUS + 1 AVM</t>
  </si>
  <si>
    <t>https://crm.infosis.tech/crm/deal/details/23478/</t>
  </si>
  <si>
    <t>Tierra de Fuego, Argentina</t>
  </si>
  <si>
    <t>1 FULL+ 1 AVM (FRANQUICIADO)</t>
  </si>
  <si>
    <t>https://crm.infosis.tech/crm/deal/details/25550/</t>
  </si>
  <si>
    <t>1 POS TABBI</t>
  </si>
  <si>
    <t>https://crm.infosis.tech/crm/deal/details/25678/</t>
  </si>
  <si>
    <t>https://crm.infosis.tech/crm/deal/details/25636/</t>
  </si>
  <si>
    <t>https://crm.infosis.tech/crm/deal/details/25624/</t>
  </si>
  <si>
    <t>CAMBIO DE TITULARIDAD A CAROLINA 349 S. R. L 30-71817040-7</t>
  </si>
  <si>
    <t>https://crm.infosis.tech/crm/deal/details/24406/</t>
  </si>
  <si>
    <t>ALTA DE RAZON SOCIAL - GRAB LUCCHESI SRL CUIT 30-71950493-7</t>
  </si>
  <si>
    <t>https://crm.infosis.tech/crm/deal/details/25706/</t>
  </si>
  <si>
    <t>CLUB SOCIAL DE PESCA NAUTICA Y FOMENTO S.C.D.T</t>
  </si>
  <si>
    <t>30-60407168-9</t>
  </si>
  <si>
    <t>https://crm.infosis.tech/crm/lead/details/58422/</t>
  </si>
  <si>
    <t>MB10</t>
  </si>
  <si>
    <t>10 FULL + AVM</t>
  </si>
  <si>
    <t>https://crm.infosis.tech/crm/deal/details/14040/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</si>
</sst>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M/yyyy"/>
    <numFmt numFmtId="165" formatCode="[$$]#,##0"/>
    <numFmt numFmtId="166" formatCode="[$$]#,##0.00"/>
    <numFmt numFmtId="167" formatCode="[$ $]#,##0.00"/>
    <numFmt numFmtId="168" formatCode="#,##0.00\ [$€-1]"/>
    <numFmt numFmtId="169" formatCode="d/m/yyyy"/>
    <numFmt numFmtId="170" formatCode="dd/mm/yyyy"/>
  </numFmts>
  <fonts count="45">
    <font>
      <sz val="10.0"/>
      <color rgb="FF000000"/>
      <name val="Arial"/>
      <scheme val="minor"/>
    </font>
    <font>
      <b/>
      <color theme="1"/>
      <name val="Ubuntu"/>
    </font>
    <font>
      <color theme="1"/>
      <name val="Arial"/>
    </font>
    <font>
      <color theme="1"/>
      <name val="Ubuntu"/>
    </font>
    <font>
      <u/>
      <color rgb="FF1155CC"/>
      <name val="Ubuntu"/>
    </font>
    <font>
      <u/>
      <color rgb="FF0000FF"/>
      <name val="Ubuntu"/>
    </font>
    <font>
      <u/>
      <color theme="1"/>
      <name val="Ubuntu"/>
    </font>
    <font>
      <u/>
      <color rgb="FF0000FF"/>
      <name val="Ubuntu"/>
    </font>
    <font>
      <u/>
      <color theme="1"/>
      <name val="Ubuntu"/>
    </font>
    <font>
      <u/>
      <color theme="1"/>
      <name val="Ubuntu"/>
    </font>
    <font>
      <u/>
      <color theme="1"/>
      <name val="Ubuntu"/>
    </font>
    <font>
      <u/>
      <color theme="1"/>
      <name val="Ubuntu"/>
    </font>
    <font>
      <u/>
      <color theme="1"/>
      <name val="Ubuntu"/>
    </font>
    <font>
      <u/>
      <color rgb="FF1155CC"/>
      <name val="Ubuntu"/>
    </font>
    <font>
      <u/>
      <color theme="1"/>
      <name val="Ubuntu"/>
    </font>
    <font>
      <u/>
      <color theme="1"/>
      <name val="Ubuntu"/>
    </font>
    <font>
      <u/>
      <color rgb="FF0000FF"/>
      <name val="Ubuntu"/>
    </font>
    <font>
      <u/>
      <color rgb="FF0000FF"/>
      <name val="Ubuntu"/>
    </font>
    <font>
      <u/>
      <color rgb="FF0000FF"/>
      <name val="Ubuntu"/>
    </font>
    <font>
      <color rgb="FFFF0000"/>
      <name val="Ubuntu"/>
    </font>
    <font>
      <u/>
      <color rgb="FF1155CC"/>
      <name val="Ubuntu"/>
    </font>
    <font>
      <u/>
      <color rgb="FF1155CC"/>
      <name val="Ubuntu"/>
    </font>
    <font>
      <u/>
      <color rgb="FF1155CC"/>
      <name val="Ubuntu"/>
    </font>
    <font>
      <u/>
      <color rgb="FF1155CC"/>
      <name val="Ubuntu"/>
    </font>
    <font>
      <u/>
      <color rgb="FF1155CC"/>
      <name val="Ubuntu"/>
    </font>
    <font>
      <u/>
      <color rgb="FF1155CC"/>
      <name val="Ubuntu"/>
    </font>
    <font>
      <u/>
      <color rgb="FF1155CC"/>
      <name val="Ubuntu"/>
    </font>
    <font>
      <u/>
      <color rgb="FF1155CC"/>
      <name val="Ubuntu"/>
    </font>
    <font>
      <sz val="11.0"/>
      <color theme="1"/>
      <name val="Ubuntu"/>
    </font>
    <font>
      <u/>
      <color rgb="FF1155CC"/>
      <name val="Ubuntu"/>
    </font>
    <font>
      <u/>
      <color rgb="FF1155CC"/>
      <name val="Ubuntu"/>
    </font>
    <font>
      <u/>
      <color rgb="FF1155CC"/>
      <name val="Ubuntu"/>
    </font>
    <font>
      <u/>
      <color rgb="FF0B5394"/>
      <name val="Ubuntu"/>
    </font>
    <font>
      <u/>
      <color rgb="FF0B5394"/>
      <name val="Ubuntu"/>
    </font>
    <font>
      <u/>
      <color rgb="FF0B5394"/>
      <name val="Ubuntu"/>
    </font>
    <font>
      <u/>
      <color rgb="FF0B5394"/>
      <name val="Ubuntu"/>
    </font>
    <font>
      <u/>
      <color rgb="FF0B5394"/>
      <name val="Ubuntu"/>
    </font>
    <font>
      <u/>
      <color rgb="FF0B5394"/>
      <name val="Ubuntu"/>
    </font>
    <font>
      <color rgb="FF0B5394"/>
      <name val="Ubuntu"/>
    </font>
    <font>
      <u/>
      <color rgb="FF0B5394"/>
      <name val="Ubuntu"/>
    </font>
    <font>
      <u/>
      <color rgb="FF0B5394"/>
      <name val="Ubuntu"/>
    </font>
    <font>
      <u/>
      <color rgb="FF0B5394"/>
      <name val="Ubuntu"/>
    </font>
    <font>
      <color rgb="FF980000"/>
      <name val="Ubuntu"/>
    </font>
    <font>
      <sz val="11.0"/>
      <color rgb="FF980000"/>
      <name val="Ubuntu"/>
    </font>
    <font>
      <u/>
      <color rgb="FF980000"/>
      <name val="Ubuntu"/>
    </font>
  </fonts>
  <fills count="37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FF9900"/>
        <bgColor rgb="FFFF9900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674EA7"/>
        <bgColor rgb="FF674EA7"/>
      </patternFill>
    </fill>
    <fill>
      <patternFill patternType="solid">
        <fgColor rgb="FFF1C232"/>
        <bgColor rgb="FFF1C232"/>
      </patternFill>
    </fill>
    <fill>
      <patternFill patternType="solid">
        <fgColor rgb="FFA64D79"/>
        <bgColor rgb="FFA64D79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46BDC6"/>
        <bgColor rgb="FF46BDC6"/>
      </patternFill>
    </fill>
    <fill>
      <patternFill patternType="solid">
        <fgColor rgb="FF8E7CC3"/>
        <bgColor rgb="FF8E7CC3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C27BA0"/>
        <bgColor rgb="FFC27BA0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A2C4C9"/>
        <bgColor rgb="FFA2C4C9"/>
      </patternFill>
    </fill>
    <fill>
      <patternFill patternType="solid">
        <fgColor rgb="FFB7B7B7"/>
        <bgColor rgb="FFB7B7B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4" fontId="1" numFmtId="0" xfId="0" applyAlignment="1" applyBorder="1" applyFill="1" applyFont="1">
      <alignment horizontal="center" shrinkToFit="0" wrapText="1"/>
    </xf>
    <xf borderId="1" fillId="5" fontId="1" numFmtId="0" xfId="0" applyAlignment="1" applyBorder="1" applyFill="1" applyFont="1">
      <alignment horizontal="center" shrinkToFit="0" wrapText="1"/>
    </xf>
    <xf borderId="1" fillId="6" fontId="1" numFmtId="0" xfId="0" applyAlignment="1" applyBorder="1" applyFill="1" applyFont="1">
      <alignment horizontal="center" shrinkToFit="0" wrapText="1"/>
    </xf>
    <xf borderId="1" fillId="7" fontId="1" numFmtId="0" xfId="0" applyAlignment="1" applyBorder="1" applyFill="1" applyFont="1">
      <alignment horizontal="center" shrinkToFit="0" wrapText="1"/>
    </xf>
    <xf borderId="1" fillId="8" fontId="1" numFmtId="165" xfId="0" applyAlignment="1" applyBorder="1" applyFill="1" applyFont="1" applyNumberFormat="1">
      <alignment horizontal="right" shrinkToFit="0" wrapText="1"/>
    </xf>
    <xf borderId="1" fillId="3" fontId="1" numFmtId="165" xfId="0" applyAlignment="1" applyBorder="1" applyFont="1" applyNumberFormat="1">
      <alignment horizontal="center" shrinkToFit="0" wrapText="1"/>
    </xf>
    <xf borderId="1" fillId="9" fontId="1" numFmtId="165" xfId="0" applyAlignment="1" applyBorder="1" applyFill="1" applyFont="1" applyNumberFormat="1">
      <alignment horizontal="center" shrinkToFit="0" wrapText="1"/>
    </xf>
    <xf borderId="1" fillId="10" fontId="1" numFmtId="0" xfId="0" applyAlignment="1" applyBorder="1" applyFill="1" applyFont="1">
      <alignment horizontal="center" shrinkToFit="0" wrapText="1"/>
    </xf>
    <xf borderId="1" fillId="11" fontId="1" numFmtId="0" xfId="0" applyAlignment="1" applyBorder="1" applyFill="1" applyFont="1">
      <alignment horizontal="center" shrinkToFit="0" wrapText="1"/>
    </xf>
    <xf borderId="1" fillId="11" fontId="1" numFmtId="165" xfId="0" applyAlignment="1" applyBorder="1" applyFont="1" applyNumberFormat="1">
      <alignment horizontal="center" shrinkToFit="0" wrapText="1"/>
    </xf>
    <xf borderId="0" fillId="11" fontId="2" numFmtId="0" xfId="0" applyFont="1"/>
    <xf borderId="1" fillId="12" fontId="3" numFmtId="0" xfId="0" applyAlignment="1" applyBorder="1" applyFill="1" applyFont="1">
      <alignment horizontal="center" vertical="bottom"/>
    </xf>
    <xf borderId="1" fillId="12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12" fontId="3" numFmtId="0" xfId="0" applyAlignment="1" applyBorder="1" applyFont="1">
      <alignment vertical="bottom"/>
    </xf>
    <xf borderId="1" fillId="12" fontId="3" numFmtId="0" xfId="0" applyAlignment="1" applyBorder="1" applyFont="1">
      <alignment horizontal="center"/>
    </xf>
    <xf borderId="1" fillId="12" fontId="2" numFmtId="0" xfId="0" applyBorder="1" applyFont="1"/>
    <xf borderId="1" fillId="12" fontId="2" numFmtId="0" xfId="0" applyAlignment="1" applyBorder="1" applyFont="1">
      <alignment vertical="bottom"/>
    </xf>
    <xf borderId="1" fillId="12" fontId="2" numFmtId="165" xfId="0" applyAlignment="1" applyBorder="1" applyFont="1" applyNumberFormat="1">
      <alignment vertical="bottom"/>
    </xf>
    <xf borderId="1" fillId="12" fontId="3" numFmtId="165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horizontal="center" shrinkToFit="0" vertical="bottom" wrapText="0"/>
    </xf>
    <xf borderId="1" fillId="12" fontId="3" numFmtId="166" xfId="0" applyAlignment="1" applyBorder="1" applyFont="1" applyNumberFormat="1">
      <alignment horizontal="right" vertical="bottom"/>
    </xf>
    <xf borderId="0" fillId="12" fontId="2" numFmtId="166" xfId="0" applyAlignment="1" applyFont="1" applyNumberFormat="1">
      <alignment vertical="bottom"/>
    </xf>
    <xf borderId="1" fillId="0" fontId="5" numFmtId="0" xfId="0" applyAlignment="1" applyBorder="1" applyFont="1">
      <alignment horizontal="center" vertical="bottom"/>
    </xf>
    <xf borderId="1" fillId="13" fontId="3" numFmtId="0" xfId="0" applyAlignment="1" applyBorder="1" applyFill="1" applyFont="1">
      <alignment horizontal="center" vertical="bottom"/>
    </xf>
    <xf borderId="1" fillId="13" fontId="3" numFmtId="164" xfId="0" applyAlignment="1" applyBorder="1" applyFont="1" applyNumberFormat="1">
      <alignment horizontal="center" vertical="bottom"/>
    </xf>
    <xf borderId="1" fillId="13" fontId="3" numFmtId="0" xfId="0" applyAlignment="1" applyBorder="1" applyFont="1">
      <alignment vertical="bottom"/>
    </xf>
    <xf borderId="1" fillId="13" fontId="3" numFmtId="0" xfId="0" applyAlignment="1" applyBorder="1" applyFont="1">
      <alignment horizontal="center"/>
    </xf>
    <xf borderId="1" fillId="13" fontId="2" numFmtId="0" xfId="0" applyBorder="1" applyFont="1"/>
    <xf borderId="1" fillId="13" fontId="2" numFmtId="0" xfId="0" applyAlignment="1" applyBorder="1" applyFont="1">
      <alignment vertical="bottom"/>
    </xf>
    <xf borderId="1" fillId="13" fontId="2" numFmtId="165" xfId="0" applyAlignment="1" applyBorder="1" applyFont="1" applyNumberFormat="1">
      <alignment vertical="bottom"/>
    </xf>
    <xf borderId="1" fillId="13" fontId="3" numFmtId="165" xfId="0" applyAlignment="1" applyBorder="1" applyFont="1" applyNumberFormat="1">
      <alignment horizontal="right" vertical="bottom"/>
    </xf>
    <xf borderId="1" fillId="13" fontId="3" numFmtId="166" xfId="0" applyAlignment="1" applyBorder="1" applyFont="1" applyNumberFormat="1">
      <alignment horizontal="right" vertical="bottom"/>
    </xf>
    <xf borderId="0" fillId="13" fontId="2" numFmtId="166" xfId="0" applyAlignment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14" fontId="3" numFmtId="0" xfId="0" applyAlignment="1" applyBorder="1" applyFill="1" applyFont="1">
      <alignment horizontal="center" vertical="bottom"/>
    </xf>
    <xf borderId="1" fillId="14" fontId="3" numFmtId="164" xfId="0" applyAlignment="1" applyBorder="1" applyFont="1" applyNumberFormat="1">
      <alignment horizontal="center" vertical="bottom"/>
    </xf>
    <xf borderId="1" fillId="14" fontId="3" numFmtId="0" xfId="0" applyAlignment="1" applyBorder="1" applyFont="1">
      <alignment vertical="bottom"/>
    </xf>
    <xf borderId="1" fillId="14" fontId="3" numFmtId="0" xfId="0" applyAlignment="1" applyBorder="1" applyFont="1">
      <alignment horizontal="center"/>
    </xf>
    <xf borderId="1" fillId="14" fontId="2" numFmtId="0" xfId="0" applyBorder="1" applyFont="1"/>
    <xf borderId="1" fillId="14" fontId="2" numFmtId="0" xfId="0" applyAlignment="1" applyBorder="1" applyFont="1">
      <alignment vertical="bottom"/>
    </xf>
    <xf borderId="1" fillId="14" fontId="2" numFmtId="165" xfId="0" applyAlignment="1" applyBorder="1" applyFont="1" applyNumberFormat="1">
      <alignment vertical="bottom"/>
    </xf>
    <xf borderId="1" fillId="14" fontId="3" numFmtId="165" xfId="0" applyAlignment="1" applyBorder="1" applyFont="1" applyNumberFormat="1">
      <alignment horizontal="right" vertical="bottom"/>
    </xf>
    <xf borderId="1" fillId="14" fontId="3" numFmtId="166" xfId="0" applyAlignment="1" applyBorder="1" applyFont="1" applyNumberFormat="1">
      <alignment horizontal="right" vertical="bottom"/>
    </xf>
    <xf borderId="0" fillId="14" fontId="2" numFmtId="166" xfId="0" applyAlignment="1" applyFont="1" applyNumberFormat="1">
      <alignment vertical="bottom"/>
    </xf>
    <xf borderId="1" fillId="15" fontId="3" numFmtId="0" xfId="0" applyAlignment="1" applyBorder="1" applyFill="1" applyFont="1">
      <alignment horizontal="center" vertical="bottom"/>
    </xf>
    <xf borderId="1" fillId="15" fontId="3" numFmtId="164" xfId="0" applyAlignment="1" applyBorder="1" applyFont="1" applyNumberFormat="1">
      <alignment horizontal="center" vertical="bottom"/>
    </xf>
    <xf borderId="1" fillId="15" fontId="3" numFmtId="0" xfId="0" applyAlignment="1" applyBorder="1" applyFont="1">
      <alignment vertical="bottom"/>
    </xf>
    <xf borderId="1" fillId="15" fontId="2" numFmtId="0" xfId="0" applyBorder="1" applyFont="1"/>
    <xf borderId="1" fillId="15" fontId="3" numFmtId="0" xfId="0" applyAlignment="1" applyBorder="1" applyFont="1">
      <alignment horizontal="center"/>
    </xf>
    <xf borderId="1" fillId="15" fontId="2" numFmtId="0" xfId="0" applyAlignment="1" applyBorder="1" applyFont="1">
      <alignment vertical="bottom"/>
    </xf>
    <xf borderId="1" fillId="15" fontId="2" numFmtId="165" xfId="0" applyAlignment="1" applyBorder="1" applyFont="1" applyNumberFormat="1">
      <alignment vertical="bottom"/>
    </xf>
    <xf borderId="1" fillId="15" fontId="3" numFmtId="165" xfId="0" applyAlignment="1" applyBorder="1" applyFont="1" applyNumberFormat="1">
      <alignment horizontal="right" vertical="bottom"/>
    </xf>
    <xf borderId="1" fillId="15" fontId="3" numFmtId="166" xfId="0" applyAlignment="1" applyBorder="1" applyFont="1" applyNumberFormat="1">
      <alignment horizontal="right" vertical="bottom"/>
    </xf>
    <xf borderId="0" fillId="15" fontId="2" numFmtId="166" xfId="0" applyAlignment="1" applyFont="1" applyNumberFormat="1">
      <alignment vertical="bottom"/>
    </xf>
    <xf borderId="1" fillId="15" fontId="6" numFmtId="0" xfId="0" applyAlignment="1" applyBorder="1" applyFont="1">
      <alignment horizontal="center" vertical="bottom"/>
    </xf>
    <xf borderId="1" fillId="11" fontId="2" numFmtId="0" xfId="0" applyAlignment="1" applyBorder="1" applyFont="1">
      <alignment vertical="bottom"/>
    </xf>
    <xf borderId="1" fillId="16" fontId="3" numFmtId="0" xfId="0" applyAlignment="1" applyBorder="1" applyFill="1" applyFont="1">
      <alignment horizontal="center" vertical="bottom"/>
    </xf>
    <xf borderId="1" fillId="16" fontId="3" numFmtId="164" xfId="0" applyAlignment="1" applyBorder="1" applyFont="1" applyNumberFormat="1">
      <alignment horizontal="center" vertical="bottom"/>
    </xf>
    <xf borderId="1" fillId="16" fontId="3" numFmtId="0" xfId="0" applyAlignment="1" applyBorder="1" applyFont="1">
      <alignment vertical="bottom"/>
    </xf>
    <xf borderId="1" fillId="16" fontId="3" numFmtId="0" xfId="0" applyAlignment="1" applyBorder="1" applyFont="1">
      <alignment horizontal="center"/>
    </xf>
    <xf borderId="1" fillId="16" fontId="2" numFmtId="0" xfId="0" applyBorder="1" applyFont="1"/>
    <xf borderId="1" fillId="16" fontId="2" numFmtId="0" xfId="0" applyAlignment="1" applyBorder="1" applyFont="1">
      <alignment vertical="bottom"/>
    </xf>
    <xf borderId="1" fillId="16" fontId="2" numFmtId="165" xfId="0" applyAlignment="1" applyBorder="1" applyFont="1" applyNumberFormat="1">
      <alignment vertical="bottom"/>
    </xf>
    <xf borderId="1" fillId="16" fontId="3" numFmtId="165" xfId="0" applyAlignment="1" applyBorder="1" applyFont="1" applyNumberFormat="1">
      <alignment horizontal="right" vertical="bottom"/>
    </xf>
    <xf borderId="1" fillId="16" fontId="3" numFmtId="166" xfId="0" applyAlignment="1" applyBorder="1" applyFont="1" applyNumberFormat="1">
      <alignment horizontal="right" vertical="bottom"/>
    </xf>
    <xf borderId="0" fillId="16" fontId="2" numFmtId="166" xfId="0" applyAlignment="1" applyFont="1" applyNumberFormat="1">
      <alignment vertical="bottom"/>
    </xf>
    <xf borderId="1" fillId="17" fontId="3" numFmtId="0" xfId="0" applyAlignment="1" applyBorder="1" applyFill="1" applyFont="1">
      <alignment horizontal="center" vertical="bottom"/>
    </xf>
    <xf borderId="1" fillId="17" fontId="3" numFmtId="164" xfId="0" applyAlignment="1" applyBorder="1" applyFont="1" applyNumberFormat="1">
      <alignment horizontal="center" vertical="bottom"/>
    </xf>
    <xf borderId="1" fillId="17" fontId="3" numFmtId="0" xfId="0" applyAlignment="1" applyBorder="1" applyFont="1">
      <alignment vertical="bottom"/>
    </xf>
    <xf borderId="1" fillId="17" fontId="3" numFmtId="0" xfId="0" applyAlignment="1" applyBorder="1" applyFont="1">
      <alignment horizontal="center"/>
    </xf>
    <xf borderId="1" fillId="17" fontId="2" numFmtId="0" xfId="0" applyBorder="1" applyFont="1"/>
    <xf borderId="1" fillId="17" fontId="2" numFmtId="0" xfId="0" applyAlignment="1" applyBorder="1" applyFont="1">
      <alignment vertical="bottom"/>
    </xf>
    <xf borderId="1" fillId="17" fontId="2" numFmtId="165" xfId="0" applyAlignment="1" applyBorder="1" applyFont="1" applyNumberFormat="1">
      <alignment vertical="bottom"/>
    </xf>
    <xf borderId="1" fillId="17" fontId="3" numFmtId="165" xfId="0" applyAlignment="1" applyBorder="1" applyFont="1" applyNumberFormat="1">
      <alignment horizontal="right" vertical="bottom"/>
    </xf>
    <xf borderId="1" fillId="17" fontId="3" numFmtId="166" xfId="0" applyAlignment="1" applyBorder="1" applyFont="1" applyNumberFormat="1">
      <alignment horizontal="right" vertical="bottom"/>
    </xf>
    <xf borderId="0" fillId="17" fontId="2" numFmtId="166" xfId="0" applyAlignment="1" applyFont="1" applyNumberFormat="1">
      <alignment vertical="bottom"/>
    </xf>
    <xf borderId="1" fillId="18" fontId="3" numFmtId="0" xfId="0" applyAlignment="1" applyBorder="1" applyFill="1" applyFont="1">
      <alignment horizontal="center" vertical="bottom"/>
    </xf>
    <xf borderId="1" fillId="18" fontId="7" numFmtId="0" xfId="0" applyAlignment="1" applyBorder="1" applyFont="1">
      <alignment horizontal="center" vertical="bottom"/>
    </xf>
    <xf borderId="1" fillId="19" fontId="3" numFmtId="0" xfId="0" applyAlignment="1" applyBorder="1" applyFill="1" applyFont="1">
      <alignment horizontal="center" vertical="bottom"/>
    </xf>
    <xf borderId="1" fillId="19" fontId="3" numFmtId="164" xfId="0" applyAlignment="1" applyBorder="1" applyFont="1" applyNumberFormat="1">
      <alignment horizontal="center" vertical="bottom"/>
    </xf>
    <xf borderId="1" fillId="19" fontId="3" numFmtId="0" xfId="0" applyAlignment="1" applyBorder="1" applyFont="1">
      <alignment vertical="bottom"/>
    </xf>
    <xf borderId="1" fillId="19" fontId="3" numFmtId="0" xfId="0" applyAlignment="1" applyBorder="1" applyFont="1">
      <alignment horizontal="center"/>
    </xf>
    <xf borderId="1" fillId="19" fontId="2" numFmtId="0" xfId="0" applyBorder="1" applyFont="1"/>
    <xf borderId="1" fillId="19" fontId="2" numFmtId="0" xfId="0" applyAlignment="1" applyBorder="1" applyFont="1">
      <alignment vertical="bottom"/>
    </xf>
    <xf borderId="1" fillId="19" fontId="2" numFmtId="165" xfId="0" applyAlignment="1" applyBorder="1" applyFont="1" applyNumberFormat="1">
      <alignment vertical="bottom"/>
    </xf>
    <xf borderId="1" fillId="19" fontId="3" numFmtId="165" xfId="0" applyAlignment="1" applyBorder="1" applyFont="1" applyNumberFormat="1">
      <alignment horizontal="right" vertical="bottom"/>
    </xf>
    <xf borderId="1" fillId="19" fontId="3" numFmtId="166" xfId="0" applyAlignment="1" applyBorder="1" applyFont="1" applyNumberFormat="1">
      <alignment horizontal="right" vertical="bottom"/>
    </xf>
    <xf borderId="0" fillId="19" fontId="2" numFmtId="166" xfId="0" applyAlignment="1" applyFont="1" applyNumberFormat="1">
      <alignment vertical="bottom"/>
    </xf>
    <xf borderId="1" fillId="17" fontId="3" numFmtId="0" xfId="0" applyAlignment="1" applyBorder="1" applyFont="1">
      <alignment horizontal="right" vertical="bottom"/>
    </xf>
    <xf borderId="1" fillId="20" fontId="3" numFmtId="0" xfId="0" applyAlignment="1" applyBorder="1" applyFill="1" applyFont="1">
      <alignment horizontal="center" vertical="bottom"/>
    </xf>
    <xf borderId="1" fillId="20" fontId="3" numFmtId="164" xfId="0" applyAlignment="1" applyBorder="1" applyFont="1" applyNumberFormat="1">
      <alignment horizontal="center" vertical="bottom"/>
    </xf>
    <xf borderId="1" fillId="20" fontId="3" numFmtId="0" xfId="0" applyAlignment="1" applyBorder="1" applyFont="1">
      <alignment vertical="bottom"/>
    </xf>
    <xf borderId="1" fillId="20" fontId="3" numFmtId="0" xfId="0" applyAlignment="1" applyBorder="1" applyFont="1">
      <alignment horizontal="center"/>
    </xf>
    <xf borderId="1" fillId="20" fontId="2" numFmtId="0" xfId="0" applyBorder="1" applyFont="1"/>
    <xf borderId="1" fillId="20" fontId="2" numFmtId="0" xfId="0" applyAlignment="1" applyBorder="1" applyFont="1">
      <alignment vertical="bottom"/>
    </xf>
    <xf borderId="1" fillId="20" fontId="2" numFmtId="165" xfId="0" applyAlignment="1" applyBorder="1" applyFont="1" applyNumberFormat="1">
      <alignment vertical="bottom"/>
    </xf>
    <xf borderId="1" fillId="20" fontId="3" numFmtId="165" xfId="0" applyAlignment="1" applyBorder="1" applyFont="1" applyNumberFormat="1">
      <alignment horizontal="right" vertical="bottom"/>
    </xf>
    <xf borderId="1" fillId="20" fontId="3" numFmtId="166" xfId="0" applyAlignment="1" applyBorder="1" applyFont="1" applyNumberFormat="1">
      <alignment horizontal="right" vertical="bottom"/>
    </xf>
    <xf borderId="0" fillId="20" fontId="2" numFmtId="166" xfId="0" applyAlignment="1" applyFont="1" applyNumberFormat="1">
      <alignment vertical="bottom"/>
    </xf>
    <xf borderId="1" fillId="21" fontId="3" numFmtId="0" xfId="0" applyAlignment="1" applyBorder="1" applyFill="1" applyFont="1">
      <alignment horizontal="center" vertical="bottom"/>
    </xf>
    <xf borderId="1" fillId="21" fontId="3" numFmtId="164" xfId="0" applyAlignment="1" applyBorder="1" applyFont="1" applyNumberFormat="1">
      <alignment horizontal="center" vertical="bottom"/>
    </xf>
    <xf borderId="1" fillId="21" fontId="3" numFmtId="0" xfId="0" applyAlignment="1" applyBorder="1" applyFont="1">
      <alignment vertical="bottom"/>
    </xf>
    <xf borderId="1" fillId="21" fontId="3" numFmtId="0" xfId="0" applyAlignment="1" applyBorder="1" applyFont="1">
      <alignment horizontal="center"/>
    </xf>
    <xf borderId="1" fillId="21" fontId="2" numFmtId="0" xfId="0" applyBorder="1" applyFont="1"/>
    <xf borderId="1" fillId="21" fontId="2" numFmtId="0" xfId="0" applyAlignment="1" applyBorder="1" applyFont="1">
      <alignment vertical="bottom"/>
    </xf>
    <xf borderId="1" fillId="21" fontId="2" numFmtId="165" xfId="0" applyAlignment="1" applyBorder="1" applyFont="1" applyNumberFormat="1">
      <alignment vertical="bottom"/>
    </xf>
    <xf borderId="1" fillId="21" fontId="3" numFmtId="165" xfId="0" applyAlignment="1" applyBorder="1" applyFont="1" applyNumberFormat="1">
      <alignment horizontal="right" vertical="bottom"/>
    </xf>
    <xf borderId="1" fillId="21" fontId="3" numFmtId="166" xfId="0" applyAlignment="1" applyBorder="1" applyFont="1" applyNumberFormat="1">
      <alignment horizontal="right" vertical="bottom"/>
    </xf>
    <xf borderId="0" fillId="21" fontId="2" numFmtId="166" xfId="0" applyAlignment="1" applyFont="1" applyNumberFormat="1">
      <alignment vertical="bottom"/>
    </xf>
    <xf borderId="1" fillId="22" fontId="3" numFmtId="0" xfId="0" applyAlignment="1" applyBorder="1" applyFill="1" applyFont="1">
      <alignment horizontal="center" vertical="bottom"/>
    </xf>
    <xf borderId="1" fillId="22" fontId="3" numFmtId="164" xfId="0" applyAlignment="1" applyBorder="1" applyFont="1" applyNumberFormat="1">
      <alignment horizontal="center" vertical="bottom"/>
    </xf>
    <xf borderId="1" fillId="22" fontId="3" numFmtId="0" xfId="0" applyAlignment="1" applyBorder="1" applyFont="1">
      <alignment vertical="bottom"/>
    </xf>
    <xf borderId="1" fillId="22" fontId="2" numFmtId="0" xfId="0" applyBorder="1" applyFont="1"/>
    <xf borderId="1" fillId="22" fontId="3" numFmtId="0" xfId="0" applyAlignment="1" applyBorder="1" applyFont="1">
      <alignment horizontal="center"/>
    </xf>
    <xf borderId="1" fillId="22" fontId="2" numFmtId="0" xfId="0" applyAlignment="1" applyBorder="1" applyFont="1">
      <alignment vertical="bottom"/>
    </xf>
    <xf borderId="1" fillId="22" fontId="3" numFmtId="165" xfId="0" applyAlignment="1" applyBorder="1" applyFont="1" applyNumberFormat="1">
      <alignment horizontal="right" vertical="bottom"/>
    </xf>
    <xf borderId="1" fillId="22" fontId="2" numFmtId="165" xfId="0" applyAlignment="1" applyBorder="1" applyFont="1" applyNumberFormat="1">
      <alignment vertical="bottom"/>
    </xf>
    <xf borderId="1" fillId="22" fontId="3" numFmtId="166" xfId="0" applyAlignment="1" applyBorder="1" applyFont="1" applyNumberFormat="1">
      <alignment horizontal="right" vertical="bottom"/>
    </xf>
    <xf borderId="0" fillId="22" fontId="2" numFmtId="166" xfId="0" applyAlignment="1" applyFont="1" applyNumberFormat="1">
      <alignment vertical="bottom"/>
    </xf>
    <xf borderId="1" fillId="23" fontId="3" numFmtId="0" xfId="0" applyAlignment="1" applyBorder="1" applyFill="1" applyFont="1">
      <alignment horizontal="center" vertical="bottom"/>
    </xf>
    <xf borderId="1" fillId="23" fontId="3" numFmtId="164" xfId="0" applyAlignment="1" applyBorder="1" applyFont="1" applyNumberFormat="1">
      <alignment horizontal="center" vertical="bottom"/>
    </xf>
    <xf borderId="1" fillId="23" fontId="3" numFmtId="0" xfId="0" applyAlignment="1" applyBorder="1" applyFont="1">
      <alignment vertical="bottom"/>
    </xf>
    <xf borderId="1" fillId="23" fontId="2" numFmtId="0" xfId="0" applyBorder="1" applyFont="1"/>
    <xf borderId="1" fillId="23" fontId="2" numFmtId="0" xfId="0" applyAlignment="1" applyBorder="1" applyFont="1">
      <alignment vertical="bottom"/>
    </xf>
    <xf borderId="1" fillId="23" fontId="2" numFmtId="165" xfId="0" applyAlignment="1" applyBorder="1" applyFont="1" applyNumberFormat="1">
      <alignment vertical="bottom"/>
    </xf>
    <xf borderId="1" fillId="23" fontId="3" numFmtId="165" xfId="0" applyAlignment="1" applyBorder="1" applyFont="1" applyNumberFormat="1">
      <alignment horizontal="right" vertical="bottom"/>
    </xf>
    <xf borderId="1" fillId="23" fontId="3" numFmtId="166" xfId="0" applyAlignment="1" applyBorder="1" applyFont="1" applyNumberFormat="1">
      <alignment horizontal="right" vertical="bottom"/>
    </xf>
    <xf borderId="0" fillId="23" fontId="2" numFmtId="166" xfId="0" applyAlignment="1" applyFont="1" applyNumberFormat="1">
      <alignment vertical="bottom"/>
    </xf>
    <xf borderId="1" fillId="23" fontId="3" numFmtId="0" xfId="0" applyAlignment="1" applyBorder="1" applyFont="1">
      <alignment horizontal="center"/>
    </xf>
    <xf borderId="1" fillId="18" fontId="2" numFmtId="0" xfId="0" applyAlignment="1" applyBorder="1" applyFont="1">
      <alignment vertical="bottom"/>
    </xf>
    <xf borderId="1" fillId="24" fontId="3" numFmtId="0" xfId="0" applyAlignment="1" applyBorder="1" applyFill="1" applyFont="1">
      <alignment horizontal="center" vertical="bottom"/>
    </xf>
    <xf borderId="1" fillId="24" fontId="3" numFmtId="164" xfId="0" applyAlignment="1" applyBorder="1" applyFont="1" applyNumberFormat="1">
      <alignment horizontal="center" vertical="bottom"/>
    </xf>
    <xf borderId="1" fillId="24" fontId="3" numFmtId="0" xfId="0" applyAlignment="1" applyBorder="1" applyFont="1">
      <alignment vertical="bottom"/>
    </xf>
    <xf borderId="1" fillId="24" fontId="2" numFmtId="0" xfId="0" applyBorder="1" applyFont="1"/>
    <xf borderId="1" fillId="24" fontId="3" numFmtId="0" xfId="0" applyAlignment="1" applyBorder="1" applyFont="1">
      <alignment horizontal="center"/>
    </xf>
    <xf borderId="1" fillId="24" fontId="2" numFmtId="0" xfId="0" applyAlignment="1" applyBorder="1" applyFont="1">
      <alignment vertical="bottom"/>
    </xf>
    <xf borderId="1" fillId="24" fontId="2" numFmtId="165" xfId="0" applyAlignment="1" applyBorder="1" applyFont="1" applyNumberFormat="1">
      <alignment vertical="bottom"/>
    </xf>
    <xf borderId="1" fillId="24" fontId="3" numFmtId="165" xfId="0" applyAlignment="1" applyBorder="1" applyFont="1" applyNumberFormat="1">
      <alignment horizontal="right" vertical="bottom"/>
    </xf>
    <xf borderId="1" fillId="24" fontId="3" numFmtId="166" xfId="0" applyAlignment="1" applyBorder="1" applyFont="1" applyNumberFormat="1">
      <alignment horizontal="right" vertical="bottom"/>
    </xf>
    <xf borderId="0" fillId="24" fontId="2" numFmtId="166" xfId="0" applyAlignment="1" applyFont="1" applyNumberFormat="1">
      <alignment vertical="bottom"/>
    </xf>
    <xf borderId="1" fillId="0" fontId="8" numFmtId="0" xfId="0" applyAlignment="1" applyBorder="1" applyFont="1">
      <alignment horizontal="center" vertical="bottom"/>
    </xf>
    <xf borderId="1" fillId="24" fontId="9" numFmtId="0" xfId="0" applyAlignment="1" applyBorder="1" applyFont="1">
      <alignment horizontal="center" vertical="bottom"/>
    </xf>
    <xf borderId="1" fillId="25" fontId="3" numFmtId="0" xfId="0" applyAlignment="1" applyBorder="1" applyFill="1" applyFont="1">
      <alignment horizontal="center" vertical="bottom"/>
    </xf>
    <xf borderId="1" fillId="25" fontId="3" numFmtId="164" xfId="0" applyAlignment="1" applyBorder="1" applyFont="1" applyNumberFormat="1">
      <alignment horizontal="center" vertical="bottom"/>
    </xf>
    <xf borderId="1" fillId="25" fontId="3" numFmtId="0" xfId="0" applyAlignment="1" applyBorder="1" applyFont="1">
      <alignment vertical="bottom"/>
    </xf>
    <xf borderId="1" fillId="25" fontId="3" numFmtId="0" xfId="0" applyAlignment="1" applyBorder="1" applyFont="1">
      <alignment horizontal="center"/>
    </xf>
    <xf borderId="1" fillId="25" fontId="2" numFmtId="0" xfId="0" applyBorder="1" applyFont="1"/>
    <xf borderId="1" fillId="25" fontId="2" numFmtId="0" xfId="0" applyAlignment="1" applyBorder="1" applyFont="1">
      <alignment vertical="bottom"/>
    </xf>
    <xf borderId="1" fillId="25" fontId="2" numFmtId="165" xfId="0" applyAlignment="1" applyBorder="1" applyFont="1" applyNumberFormat="1">
      <alignment vertical="bottom"/>
    </xf>
    <xf borderId="1" fillId="25" fontId="3" numFmtId="165" xfId="0" applyAlignment="1" applyBorder="1" applyFont="1" applyNumberFormat="1">
      <alignment horizontal="right" vertical="bottom"/>
    </xf>
    <xf borderId="1" fillId="25" fontId="3" numFmtId="166" xfId="0" applyAlignment="1" applyBorder="1" applyFont="1" applyNumberFormat="1">
      <alignment horizontal="right" vertical="bottom"/>
    </xf>
    <xf borderId="0" fillId="25" fontId="2" numFmtId="166" xfId="0" applyAlignment="1" applyFont="1" applyNumberFormat="1">
      <alignment vertical="bottom"/>
    </xf>
    <xf borderId="1" fillId="25" fontId="10" numFmtId="0" xfId="0" applyAlignment="1" applyBorder="1" applyFont="1">
      <alignment horizontal="center" vertical="bottom"/>
    </xf>
    <xf borderId="1" fillId="21" fontId="11" numFmtId="0" xfId="0" applyAlignment="1" applyBorder="1" applyFont="1">
      <alignment horizontal="center" vertical="bottom"/>
    </xf>
    <xf borderId="1" fillId="18" fontId="12" numFmtId="0" xfId="0" applyAlignment="1" applyBorder="1" applyFont="1">
      <alignment horizontal="center" vertical="bottom"/>
    </xf>
    <xf borderId="1" fillId="21" fontId="13" numFmtId="0" xfId="0" applyAlignment="1" applyBorder="1" applyFont="1">
      <alignment vertical="bottom"/>
    </xf>
    <xf borderId="1" fillId="22" fontId="14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vertical="bottom"/>
    </xf>
    <xf borderId="1" fillId="5" fontId="3" numFmtId="164" xfId="0" applyAlignment="1" applyBorder="1" applyFont="1" applyNumberFormat="1">
      <alignment horizontal="center"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center"/>
    </xf>
    <xf borderId="1" fillId="5" fontId="2" numFmtId="0" xfId="0" applyBorder="1" applyFont="1"/>
    <xf borderId="1" fillId="5" fontId="2" numFmtId="0" xfId="0" applyAlignment="1" applyBorder="1" applyFont="1">
      <alignment vertical="bottom"/>
    </xf>
    <xf borderId="1" fillId="5" fontId="2" numFmtId="165" xfId="0" applyAlignment="1" applyBorder="1" applyFont="1" applyNumberFormat="1">
      <alignment vertical="bottom"/>
    </xf>
    <xf borderId="1" fillId="5" fontId="3" numFmtId="165" xfId="0" applyAlignment="1" applyBorder="1" applyFont="1" applyNumberFormat="1">
      <alignment horizontal="right" vertical="bottom"/>
    </xf>
    <xf borderId="1" fillId="5" fontId="3" numFmtId="166" xfId="0" applyAlignment="1" applyBorder="1" applyFont="1" applyNumberFormat="1">
      <alignment horizontal="right" vertical="bottom"/>
    </xf>
    <xf borderId="0" fillId="5" fontId="2" numFmtId="166" xfId="0" applyAlignment="1" applyFont="1" applyNumberFormat="1">
      <alignment vertical="bottom"/>
    </xf>
    <xf borderId="1" fillId="5" fontId="15" numFmtId="0" xfId="0" applyAlignment="1" applyBorder="1" applyFont="1">
      <alignment horizontal="center" vertical="bottom"/>
    </xf>
    <xf borderId="1" fillId="26" fontId="3" numFmtId="0" xfId="0" applyAlignment="1" applyBorder="1" applyFill="1" applyFont="1">
      <alignment horizontal="center" vertical="bottom"/>
    </xf>
    <xf borderId="1" fillId="26" fontId="3" numFmtId="164" xfId="0" applyAlignment="1" applyBorder="1" applyFont="1" applyNumberFormat="1">
      <alignment horizontal="center" vertical="bottom"/>
    </xf>
    <xf borderId="1" fillId="26" fontId="3" numFmtId="0" xfId="0" applyAlignment="1" applyBorder="1" applyFont="1">
      <alignment vertical="bottom"/>
    </xf>
    <xf borderId="1" fillId="26" fontId="2" numFmtId="0" xfId="0" applyBorder="1" applyFont="1"/>
    <xf borderId="1" fillId="26" fontId="3" numFmtId="0" xfId="0" applyAlignment="1" applyBorder="1" applyFont="1">
      <alignment horizontal="center"/>
    </xf>
    <xf borderId="1" fillId="26" fontId="2" numFmtId="0" xfId="0" applyAlignment="1" applyBorder="1" applyFont="1">
      <alignment vertical="bottom"/>
    </xf>
    <xf borderId="1" fillId="26" fontId="2" numFmtId="165" xfId="0" applyAlignment="1" applyBorder="1" applyFont="1" applyNumberFormat="1">
      <alignment vertical="bottom"/>
    </xf>
    <xf borderId="1" fillId="26" fontId="3" numFmtId="165" xfId="0" applyAlignment="1" applyBorder="1" applyFont="1" applyNumberFormat="1">
      <alignment horizontal="right" vertical="bottom"/>
    </xf>
    <xf borderId="1" fillId="26" fontId="3" numFmtId="166" xfId="0" applyAlignment="1" applyBorder="1" applyFont="1" applyNumberFormat="1">
      <alignment horizontal="right" vertical="bottom"/>
    </xf>
    <xf borderId="0" fillId="26" fontId="2" numFmtId="166" xfId="0" applyAlignment="1" applyFont="1" applyNumberFormat="1">
      <alignment vertical="bottom"/>
    </xf>
    <xf borderId="1" fillId="27" fontId="3" numFmtId="0" xfId="0" applyAlignment="1" applyBorder="1" applyFill="1" applyFont="1">
      <alignment horizontal="center" vertical="bottom"/>
    </xf>
    <xf borderId="1" fillId="27" fontId="3" numFmtId="164" xfId="0" applyAlignment="1" applyBorder="1" applyFont="1" applyNumberFormat="1">
      <alignment horizontal="center" vertical="bottom"/>
    </xf>
    <xf borderId="1" fillId="27" fontId="3" numFmtId="0" xfId="0" applyAlignment="1" applyBorder="1" applyFont="1">
      <alignment vertical="bottom"/>
    </xf>
    <xf borderId="1" fillId="27" fontId="3" numFmtId="0" xfId="0" applyAlignment="1" applyBorder="1" applyFont="1">
      <alignment horizontal="center"/>
    </xf>
    <xf borderId="1" fillId="27" fontId="2" numFmtId="0" xfId="0" applyBorder="1" applyFont="1"/>
    <xf borderId="1" fillId="27" fontId="2" numFmtId="0" xfId="0" applyAlignment="1" applyBorder="1" applyFont="1">
      <alignment vertical="bottom"/>
    </xf>
    <xf borderId="1" fillId="27" fontId="2" numFmtId="165" xfId="0" applyAlignment="1" applyBorder="1" applyFont="1" applyNumberFormat="1">
      <alignment vertical="bottom"/>
    </xf>
    <xf borderId="1" fillId="27" fontId="3" numFmtId="165" xfId="0" applyAlignment="1" applyBorder="1" applyFont="1" applyNumberFormat="1">
      <alignment horizontal="right" vertical="bottom"/>
    </xf>
    <xf borderId="1" fillId="27" fontId="3" numFmtId="166" xfId="0" applyAlignment="1" applyBorder="1" applyFont="1" applyNumberFormat="1">
      <alignment horizontal="right" vertical="bottom"/>
    </xf>
    <xf borderId="0" fillId="27" fontId="2" numFmtId="166" xfId="0" applyAlignment="1" applyFont="1" applyNumberFormat="1">
      <alignment vertical="bottom"/>
    </xf>
    <xf borderId="1" fillId="21" fontId="3" numFmtId="0" xfId="0" applyAlignment="1" applyBorder="1" applyFont="1">
      <alignment horizontal="center" shrinkToFit="0" vertical="bottom" wrapText="0"/>
    </xf>
    <xf borderId="1" fillId="21" fontId="3" numFmtId="164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21" fontId="3" numFmtId="0" xfId="0" applyAlignment="1" applyBorder="1" applyFont="1">
      <alignment shrinkToFit="0" vertical="bottom" wrapText="0"/>
    </xf>
    <xf borderId="1" fillId="21" fontId="3" numFmtId="0" xfId="0" applyAlignment="1" applyBorder="1" applyFont="1">
      <alignment horizontal="center" shrinkToFit="0" wrapText="0"/>
    </xf>
    <xf borderId="1" fillId="21" fontId="3" numFmtId="165" xfId="0" applyAlignment="1" applyBorder="1" applyFont="1" applyNumberFormat="1">
      <alignment horizontal="right" shrinkToFit="0" vertical="bottom" wrapText="0"/>
    </xf>
    <xf borderId="1" fillId="0" fontId="16" numFmtId="0" xfId="0" applyAlignment="1" applyBorder="1" applyFont="1">
      <alignment shrinkToFit="0" vertical="bottom" wrapText="0"/>
    </xf>
    <xf borderId="1" fillId="21" fontId="3" numFmtId="166" xfId="0" applyAlignment="1" applyBorder="1" applyFont="1" applyNumberFormat="1">
      <alignment horizontal="right" shrinkToFit="0" vertical="bottom" wrapText="0"/>
    </xf>
    <xf borderId="1" fillId="18" fontId="3" numFmtId="0" xfId="0" applyAlignment="1" applyBorder="1" applyFont="1">
      <alignment horizontal="center" shrinkToFit="0" vertical="bottom" wrapText="0"/>
    </xf>
    <xf borderId="1" fillId="18" fontId="17" numFmtId="0" xfId="0" applyAlignment="1" applyBorder="1" applyFont="1">
      <alignment shrinkToFit="0" vertical="bottom" wrapText="0"/>
    </xf>
    <xf borderId="1" fillId="22" fontId="3" numFmtId="0" xfId="0" applyAlignment="1" applyBorder="1" applyFont="1">
      <alignment horizontal="center" shrinkToFit="0" vertical="bottom" wrapText="0"/>
    </xf>
    <xf borderId="1" fillId="22" fontId="3" numFmtId="164" xfId="0" applyAlignment="1" applyBorder="1" applyFont="1" applyNumberFormat="1">
      <alignment horizontal="center" shrinkToFit="0" vertical="bottom" wrapText="0"/>
    </xf>
    <xf borderId="1" fillId="22" fontId="3" numFmtId="0" xfId="0" applyAlignment="1" applyBorder="1" applyFont="1">
      <alignment shrinkToFit="0" vertical="bottom" wrapText="0"/>
    </xf>
    <xf borderId="1" fillId="22" fontId="3" numFmtId="0" xfId="0" applyAlignment="1" applyBorder="1" applyFont="1">
      <alignment horizontal="center" shrinkToFit="0" wrapText="0"/>
    </xf>
    <xf borderId="1" fillId="22" fontId="3" numFmtId="165" xfId="0" applyAlignment="1" applyBorder="1" applyFont="1" applyNumberFormat="1">
      <alignment horizontal="right" shrinkToFit="0" vertical="bottom" wrapText="0"/>
    </xf>
    <xf borderId="1" fillId="22" fontId="3" numFmtId="166" xfId="0" applyAlignment="1" applyBorder="1" applyFont="1" applyNumberFormat="1">
      <alignment horizontal="right" shrinkToFit="0" vertical="bottom" wrapText="0"/>
    </xf>
    <xf borderId="1" fillId="25" fontId="3" numFmtId="0" xfId="0" applyAlignment="1" applyBorder="1" applyFont="1">
      <alignment horizontal="center" shrinkToFit="0" vertical="bottom" wrapText="0"/>
    </xf>
    <xf borderId="1" fillId="25" fontId="3" numFmtId="164" xfId="0" applyAlignment="1" applyBorder="1" applyFont="1" applyNumberFormat="1">
      <alignment horizontal="center" shrinkToFit="0" vertical="bottom" wrapText="0"/>
    </xf>
    <xf borderId="1" fillId="25" fontId="3" numFmtId="0" xfId="0" applyAlignment="1" applyBorder="1" applyFont="1">
      <alignment shrinkToFit="0" vertical="bottom" wrapText="0"/>
    </xf>
    <xf borderId="1" fillId="25" fontId="3" numFmtId="0" xfId="0" applyAlignment="1" applyBorder="1" applyFont="1">
      <alignment horizontal="center" shrinkToFit="0" wrapText="0"/>
    </xf>
    <xf borderId="1" fillId="25" fontId="3" numFmtId="165" xfId="0" applyAlignment="1" applyBorder="1" applyFont="1" applyNumberFormat="1">
      <alignment horizontal="right" shrinkToFit="0" vertical="bottom" wrapText="0"/>
    </xf>
    <xf borderId="1" fillId="25" fontId="3" numFmtId="166" xfId="0" applyAlignment="1" applyBorder="1" applyFont="1" applyNumberFormat="1">
      <alignment horizontal="right" shrinkToFit="0" vertical="bottom" wrapText="0"/>
    </xf>
    <xf borderId="1" fillId="25" fontId="3" numFmtId="3" xfId="0" applyAlignment="1" applyBorder="1" applyFont="1" applyNumberFormat="1">
      <alignment horizontal="center" shrinkToFit="0" vertical="bottom" wrapText="0"/>
    </xf>
    <xf borderId="1" fillId="25" fontId="3" numFmtId="167" xfId="0" applyAlignment="1" applyBorder="1" applyFont="1" applyNumberFormat="1">
      <alignment horizontal="center" shrinkToFit="0" vertical="bottom" wrapText="0"/>
    </xf>
    <xf borderId="1" fillId="25" fontId="3" numFmtId="167" xfId="0" applyAlignment="1" applyBorder="1" applyFont="1" applyNumberFormat="1">
      <alignment shrinkToFit="0" vertical="bottom" wrapText="0"/>
    </xf>
    <xf borderId="1" fillId="23" fontId="3" numFmtId="0" xfId="0" applyAlignment="1" applyBorder="1" applyFont="1">
      <alignment horizontal="center" shrinkToFit="0" vertical="bottom" wrapText="0"/>
    </xf>
    <xf borderId="1" fillId="23" fontId="3" numFmtId="164" xfId="0" applyAlignment="1" applyBorder="1" applyFont="1" applyNumberFormat="1">
      <alignment horizontal="center" shrinkToFit="0" vertical="bottom" wrapText="0"/>
    </xf>
    <xf borderId="1" fillId="23" fontId="3" numFmtId="0" xfId="0" applyAlignment="1" applyBorder="1" applyFont="1">
      <alignment shrinkToFit="0" vertical="bottom" wrapText="0"/>
    </xf>
    <xf borderId="1" fillId="23" fontId="3" numFmtId="0" xfId="0" applyAlignment="1" applyBorder="1" applyFont="1">
      <alignment horizontal="center" shrinkToFit="0" wrapText="0"/>
    </xf>
    <xf borderId="1" fillId="23" fontId="3" numFmtId="165" xfId="0" applyAlignment="1" applyBorder="1" applyFont="1" applyNumberFormat="1">
      <alignment horizontal="right" shrinkToFit="0" vertical="bottom" wrapText="0"/>
    </xf>
    <xf borderId="1" fillId="23" fontId="3" numFmtId="166" xfId="0" applyAlignment="1" applyBorder="1" applyFont="1" applyNumberFormat="1">
      <alignment horizontal="right" shrinkToFit="0" vertical="bottom" wrapText="0"/>
    </xf>
    <xf borderId="1" fillId="28" fontId="3" numFmtId="0" xfId="0" applyAlignment="1" applyBorder="1" applyFill="1" applyFont="1">
      <alignment horizontal="center" shrinkToFit="0" vertical="bottom" wrapText="0"/>
    </xf>
    <xf borderId="1" fillId="28" fontId="3" numFmtId="164" xfId="0" applyAlignment="1" applyBorder="1" applyFont="1" applyNumberFormat="1">
      <alignment horizontal="center" shrinkToFit="0" vertical="bottom" wrapText="0"/>
    </xf>
    <xf borderId="1" fillId="28" fontId="3" numFmtId="0" xfId="0" applyAlignment="1" applyBorder="1" applyFont="1">
      <alignment shrinkToFit="0" vertical="bottom" wrapText="0"/>
    </xf>
    <xf borderId="1" fillId="28" fontId="3" numFmtId="0" xfId="0" applyAlignment="1" applyBorder="1" applyFont="1">
      <alignment horizontal="center" shrinkToFit="0" wrapText="0"/>
    </xf>
    <xf borderId="1" fillId="28" fontId="2" numFmtId="0" xfId="0" applyBorder="1" applyFont="1"/>
    <xf borderId="1" fillId="28" fontId="2" numFmtId="0" xfId="0" applyAlignment="1" applyBorder="1" applyFont="1">
      <alignment vertical="bottom"/>
    </xf>
    <xf borderId="1" fillId="28" fontId="2" numFmtId="165" xfId="0" applyAlignment="1" applyBorder="1" applyFont="1" applyNumberFormat="1">
      <alignment vertical="bottom"/>
    </xf>
    <xf borderId="1" fillId="28" fontId="3" numFmtId="165" xfId="0" applyAlignment="1" applyBorder="1" applyFont="1" applyNumberFormat="1">
      <alignment horizontal="right" shrinkToFit="0" vertical="bottom" wrapText="0"/>
    </xf>
    <xf borderId="1" fillId="28" fontId="3" numFmtId="166" xfId="0" applyAlignment="1" applyBorder="1" applyFont="1" applyNumberFormat="1">
      <alignment horizontal="right" shrinkToFit="0" vertical="bottom" wrapText="0"/>
    </xf>
    <xf borderId="0" fillId="28" fontId="2" numFmtId="166" xfId="0" applyAlignment="1" applyFont="1" applyNumberFormat="1">
      <alignment vertical="bottom"/>
    </xf>
    <xf borderId="1" fillId="29" fontId="3" numFmtId="0" xfId="0" applyAlignment="1" applyBorder="1" applyFill="1" applyFont="1">
      <alignment horizontal="center" shrinkToFit="0" vertical="bottom" wrapText="0"/>
    </xf>
    <xf borderId="1" fillId="29" fontId="3" numFmtId="164" xfId="0" applyAlignment="1" applyBorder="1" applyFont="1" applyNumberFormat="1">
      <alignment horizontal="center" shrinkToFit="0" vertical="bottom" wrapText="0"/>
    </xf>
    <xf borderId="1" fillId="29" fontId="3" numFmtId="0" xfId="0" applyAlignment="1" applyBorder="1" applyFont="1">
      <alignment shrinkToFit="0" vertical="bottom" wrapText="0"/>
    </xf>
    <xf borderId="1" fillId="29" fontId="2" numFmtId="0" xfId="0" applyBorder="1" applyFont="1"/>
    <xf borderId="1" fillId="29" fontId="3" numFmtId="0" xfId="0" applyAlignment="1" applyBorder="1" applyFont="1">
      <alignment horizontal="center" shrinkToFit="0" wrapText="0"/>
    </xf>
    <xf borderId="1" fillId="29" fontId="2" numFmtId="0" xfId="0" applyAlignment="1" applyBorder="1" applyFont="1">
      <alignment vertical="bottom"/>
    </xf>
    <xf borderId="1" fillId="29" fontId="2" numFmtId="165" xfId="0" applyAlignment="1" applyBorder="1" applyFont="1" applyNumberFormat="1">
      <alignment vertical="bottom"/>
    </xf>
    <xf borderId="1" fillId="29" fontId="3" numFmtId="165" xfId="0" applyAlignment="1" applyBorder="1" applyFont="1" applyNumberFormat="1">
      <alignment horizontal="right" shrinkToFit="0" vertical="bottom" wrapText="0"/>
    </xf>
    <xf borderId="1" fillId="29" fontId="3" numFmtId="166" xfId="0" applyAlignment="1" applyBorder="1" applyFont="1" applyNumberFormat="1">
      <alignment horizontal="right" shrinkToFit="0" vertical="bottom" wrapText="0"/>
    </xf>
    <xf borderId="0" fillId="29" fontId="2" numFmtId="166" xfId="0" applyAlignment="1" applyFont="1" applyNumberFormat="1">
      <alignment vertical="bottom"/>
    </xf>
    <xf borderId="1" fillId="30" fontId="3" numFmtId="0" xfId="0" applyAlignment="1" applyBorder="1" applyFill="1" applyFont="1">
      <alignment horizontal="center" shrinkToFit="0" vertical="bottom" wrapText="0"/>
    </xf>
    <xf borderId="1" fillId="30" fontId="3" numFmtId="164" xfId="0" applyAlignment="1" applyBorder="1" applyFont="1" applyNumberFormat="1">
      <alignment horizontal="center" shrinkToFit="0" vertical="bottom" wrapText="0"/>
    </xf>
    <xf borderId="1" fillId="30" fontId="3" numFmtId="0" xfId="0" applyAlignment="1" applyBorder="1" applyFont="1">
      <alignment shrinkToFit="0" vertical="bottom" wrapText="0"/>
    </xf>
    <xf borderId="1" fillId="30" fontId="3" numFmtId="0" xfId="0" applyAlignment="1" applyBorder="1" applyFont="1">
      <alignment horizontal="center" shrinkToFit="0" wrapText="0"/>
    </xf>
    <xf borderId="1" fillId="30" fontId="2" numFmtId="0" xfId="0" applyBorder="1" applyFont="1"/>
    <xf borderId="1" fillId="30" fontId="2" numFmtId="0" xfId="0" applyAlignment="1" applyBorder="1" applyFont="1">
      <alignment vertical="bottom"/>
    </xf>
    <xf borderId="1" fillId="30" fontId="2" numFmtId="165" xfId="0" applyAlignment="1" applyBorder="1" applyFont="1" applyNumberFormat="1">
      <alignment vertical="bottom"/>
    </xf>
    <xf borderId="1" fillId="30" fontId="3" numFmtId="165" xfId="0" applyAlignment="1" applyBorder="1" applyFont="1" applyNumberFormat="1">
      <alignment horizontal="right" shrinkToFit="0" vertical="bottom" wrapText="0"/>
    </xf>
    <xf borderId="1" fillId="30" fontId="3" numFmtId="166" xfId="0" applyAlignment="1" applyBorder="1" applyFont="1" applyNumberFormat="1">
      <alignment horizontal="right" shrinkToFit="0" vertical="bottom" wrapText="0"/>
    </xf>
    <xf borderId="0" fillId="30" fontId="2" numFmtId="166" xfId="0" applyAlignment="1" applyFont="1" applyNumberFormat="1">
      <alignment vertical="bottom"/>
    </xf>
    <xf borderId="1" fillId="0" fontId="18" numFmtId="0" xfId="0" applyAlignment="1" applyBorder="1" applyFont="1">
      <alignment horizontal="center" shrinkToFit="0" vertical="bottom" wrapText="0"/>
    </xf>
    <xf borderId="1" fillId="30" fontId="3" numFmtId="0" xfId="0" applyAlignment="1" applyBorder="1" applyFont="1">
      <alignment vertical="bottom"/>
    </xf>
    <xf borderId="1" fillId="31" fontId="3" numFmtId="0" xfId="0" applyAlignment="1" applyBorder="1" applyFill="1" applyFont="1">
      <alignment horizontal="center" shrinkToFit="0" vertical="bottom" wrapText="0"/>
    </xf>
    <xf borderId="1" fillId="31" fontId="3" numFmtId="164" xfId="0" applyAlignment="1" applyBorder="1" applyFont="1" applyNumberFormat="1">
      <alignment horizontal="center" shrinkToFit="0" vertical="bottom" wrapText="0"/>
    </xf>
    <xf borderId="1" fillId="31" fontId="3" numFmtId="0" xfId="0" applyAlignment="1" applyBorder="1" applyFont="1">
      <alignment shrinkToFit="0" vertical="bottom" wrapText="0"/>
    </xf>
    <xf borderId="1" fillId="31" fontId="3" numFmtId="0" xfId="0" applyAlignment="1" applyBorder="1" applyFont="1">
      <alignment horizontal="center" shrinkToFit="0" wrapText="0"/>
    </xf>
    <xf borderId="1" fillId="31" fontId="2" numFmtId="0" xfId="0" applyBorder="1" applyFont="1"/>
    <xf borderId="1" fillId="31" fontId="2" numFmtId="0" xfId="0" applyAlignment="1" applyBorder="1" applyFont="1">
      <alignment vertical="bottom"/>
    </xf>
    <xf borderId="1" fillId="31" fontId="2" numFmtId="165" xfId="0" applyAlignment="1" applyBorder="1" applyFont="1" applyNumberFormat="1">
      <alignment vertical="bottom"/>
    </xf>
    <xf borderId="1" fillId="31" fontId="3" numFmtId="165" xfId="0" applyAlignment="1" applyBorder="1" applyFont="1" applyNumberFormat="1">
      <alignment horizontal="right" shrinkToFit="0" vertical="bottom" wrapText="0"/>
    </xf>
    <xf borderId="1" fillId="31" fontId="3" numFmtId="166" xfId="0" applyAlignment="1" applyBorder="1" applyFont="1" applyNumberFormat="1">
      <alignment horizontal="right" shrinkToFit="0" vertical="bottom" wrapText="0"/>
    </xf>
    <xf borderId="0" fillId="31" fontId="2" numFmtId="166" xfId="0" applyAlignment="1" applyFont="1" applyNumberFormat="1">
      <alignment vertical="bottom"/>
    </xf>
    <xf borderId="1" fillId="27" fontId="3" numFmtId="0" xfId="0" applyAlignment="1" applyBorder="1" applyFont="1">
      <alignment horizontal="center" shrinkToFit="0" vertical="bottom" wrapText="0"/>
    </xf>
    <xf borderId="1" fillId="27" fontId="3" numFmtId="164" xfId="0" applyAlignment="1" applyBorder="1" applyFont="1" applyNumberFormat="1">
      <alignment horizontal="center" shrinkToFit="0" vertical="bottom" wrapText="0"/>
    </xf>
    <xf borderId="1" fillId="27" fontId="3" numFmtId="0" xfId="0" applyAlignment="1" applyBorder="1" applyFont="1">
      <alignment shrinkToFit="0" vertical="bottom" wrapText="0"/>
    </xf>
    <xf borderId="1" fillId="27" fontId="3" numFmtId="0" xfId="0" applyAlignment="1" applyBorder="1" applyFont="1">
      <alignment horizontal="center" shrinkToFit="0" wrapText="0"/>
    </xf>
    <xf borderId="1" fillId="27" fontId="3" numFmtId="165" xfId="0" applyAlignment="1" applyBorder="1" applyFont="1" applyNumberFormat="1">
      <alignment horizontal="right" shrinkToFit="0" vertical="bottom" wrapText="0"/>
    </xf>
    <xf borderId="1" fillId="27" fontId="3" numFmtId="166" xfId="0" applyAlignment="1" applyBorder="1" applyFont="1" applyNumberFormat="1">
      <alignment horizontal="right" shrinkToFit="0" vertical="bottom" wrapText="0"/>
    </xf>
    <xf borderId="1" fillId="28" fontId="3" numFmtId="0" xfId="0" applyAlignment="1" applyBorder="1" applyFont="1">
      <alignment horizontal="center" vertical="bottom"/>
    </xf>
    <xf borderId="1" fillId="28" fontId="3" numFmtId="164" xfId="0" applyAlignment="1" applyBorder="1" applyFont="1" applyNumberFormat="1">
      <alignment horizontal="center" vertical="bottom"/>
    </xf>
    <xf borderId="1" fillId="28" fontId="3" numFmtId="0" xfId="0" applyAlignment="1" applyBorder="1" applyFont="1">
      <alignment vertical="bottom"/>
    </xf>
    <xf borderId="1" fillId="28" fontId="3" numFmtId="0" xfId="0" applyAlignment="1" applyBorder="1" applyFont="1">
      <alignment horizontal="center"/>
    </xf>
    <xf borderId="1" fillId="28" fontId="3" numFmtId="165" xfId="0" applyAlignment="1" applyBorder="1" applyFont="1" applyNumberFormat="1">
      <alignment horizontal="right" vertical="bottom"/>
    </xf>
    <xf borderId="1" fillId="28" fontId="3" numFmtId="166" xfId="0" applyAlignment="1" applyBorder="1" applyFont="1" applyNumberFormat="1">
      <alignment horizontal="right" vertical="bottom"/>
    </xf>
    <xf borderId="1" fillId="32" fontId="3" numFmtId="0" xfId="0" applyAlignment="1" applyBorder="1" applyFill="1" applyFont="1">
      <alignment horizontal="center" shrinkToFit="0" vertical="bottom" wrapText="0"/>
    </xf>
    <xf borderId="1" fillId="32" fontId="3" numFmtId="164" xfId="0" applyAlignment="1" applyBorder="1" applyFont="1" applyNumberFormat="1">
      <alignment horizontal="center" shrinkToFit="0" vertical="bottom" wrapText="0"/>
    </xf>
    <xf borderId="1" fillId="32" fontId="3" numFmtId="0" xfId="0" applyAlignment="1" applyBorder="1" applyFont="1">
      <alignment shrinkToFit="0" vertical="bottom" wrapText="0"/>
    </xf>
    <xf borderId="1" fillId="32" fontId="3" numFmtId="0" xfId="0" applyAlignment="1" applyBorder="1" applyFont="1">
      <alignment horizontal="center" shrinkToFit="0" wrapText="0"/>
    </xf>
    <xf borderId="1" fillId="32" fontId="2" numFmtId="0" xfId="0" applyBorder="1" applyFont="1"/>
    <xf borderId="1" fillId="32" fontId="2" numFmtId="0" xfId="0" applyAlignment="1" applyBorder="1" applyFont="1">
      <alignment vertical="bottom"/>
    </xf>
    <xf borderId="1" fillId="32" fontId="2" numFmtId="165" xfId="0" applyAlignment="1" applyBorder="1" applyFont="1" applyNumberFormat="1">
      <alignment vertical="bottom"/>
    </xf>
    <xf borderId="1" fillId="32" fontId="3" numFmtId="165" xfId="0" applyAlignment="1" applyBorder="1" applyFont="1" applyNumberFormat="1">
      <alignment horizontal="right" shrinkToFit="0" vertical="bottom" wrapText="0"/>
    </xf>
    <xf borderId="1" fillId="32" fontId="3" numFmtId="166" xfId="0" applyAlignment="1" applyBorder="1" applyFont="1" applyNumberFormat="1">
      <alignment horizontal="right" shrinkToFit="0" vertical="bottom" wrapText="0"/>
    </xf>
    <xf borderId="0" fillId="32" fontId="2" numFmtId="166" xfId="0" applyAlignment="1" applyFont="1" applyNumberFormat="1">
      <alignment vertical="bottom"/>
    </xf>
    <xf borderId="1" fillId="32" fontId="3" numFmtId="0" xfId="0" applyAlignment="1" applyBorder="1" applyFont="1">
      <alignment horizontal="center" vertical="bottom"/>
    </xf>
    <xf borderId="1" fillId="32" fontId="3" numFmtId="0" xfId="0" applyAlignment="1" applyBorder="1" applyFont="1">
      <alignment vertical="bottom"/>
    </xf>
    <xf borderId="1" fillId="20" fontId="3" numFmtId="0" xfId="0" applyAlignment="1" applyBorder="1" applyFont="1">
      <alignment horizontal="center" shrinkToFit="0" vertical="bottom" wrapText="0"/>
    </xf>
    <xf borderId="1" fillId="20" fontId="3" numFmtId="164" xfId="0" applyAlignment="1" applyBorder="1" applyFont="1" applyNumberFormat="1">
      <alignment horizontal="center" shrinkToFit="0" vertical="bottom" wrapText="0"/>
    </xf>
    <xf borderId="1" fillId="20" fontId="3" numFmtId="0" xfId="0" applyAlignment="1" applyBorder="1" applyFont="1">
      <alignment shrinkToFit="0" vertical="bottom" wrapText="0"/>
    </xf>
    <xf borderId="1" fillId="20" fontId="3" numFmtId="0" xfId="0" applyAlignment="1" applyBorder="1" applyFont="1">
      <alignment horizontal="center" shrinkToFit="0" wrapText="0"/>
    </xf>
    <xf borderId="1" fillId="20" fontId="3" numFmtId="165" xfId="0" applyAlignment="1" applyBorder="1" applyFont="1" applyNumberFormat="1">
      <alignment horizontal="right" shrinkToFit="0" vertical="bottom" wrapText="0"/>
    </xf>
    <xf borderId="1" fillId="20" fontId="3" numFmtId="166" xfId="0" applyAlignment="1" applyBorder="1" applyFont="1" applyNumberFormat="1">
      <alignment horizontal="right" shrinkToFit="0" vertical="bottom" wrapText="0"/>
    </xf>
    <xf borderId="1" fillId="31" fontId="3" numFmtId="0" xfId="0" applyAlignment="1" applyBorder="1" applyFont="1">
      <alignment horizontal="center" vertical="bottom"/>
    </xf>
    <xf borderId="1" fillId="31" fontId="3" numFmtId="0" xfId="0" applyAlignment="1" applyBorder="1" applyFont="1">
      <alignment vertical="bottom"/>
    </xf>
    <xf borderId="1" fillId="33" fontId="3" numFmtId="0" xfId="0" applyAlignment="1" applyBorder="1" applyFill="1" applyFont="1">
      <alignment horizontal="center" shrinkToFit="0" vertical="bottom" wrapText="0"/>
    </xf>
    <xf borderId="1" fillId="33" fontId="3" numFmtId="164" xfId="0" applyAlignment="1" applyBorder="1" applyFont="1" applyNumberFormat="1">
      <alignment horizontal="center" shrinkToFit="0" vertical="bottom" wrapText="0"/>
    </xf>
    <xf borderId="1" fillId="33" fontId="3" numFmtId="0" xfId="0" applyAlignment="1" applyBorder="1" applyFont="1">
      <alignment shrinkToFit="0" vertical="bottom" wrapText="0"/>
    </xf>
    <xf borderId="1" fillId="33" fontId="2" numFmtId="0" xfId="0" applyBorder="1" applyFont="1"/>
    <xf borderId="1" fillId="33" fontId="2" numFmtId="0" xfId="0" applyAlignment="1" applyBorder="1" applyFont="1">
      <alignment vertical="bottom"/>
    </xf>
    <xf borderId="1" fillId="33" fontId="2" numFmtId="165" xfId="0" applyAlignment="1" applyBorder="1" applyFont="1" applyNumberFormat="1">
      <alignment vertical="bottom"/>
    </xf>
    <xf borderId="1" fillId="33" fontId="3" numFmtId="165" xfId="0" applyAlignment="1" applyBorder="1" applyFont="1" applyNumberFormat="1">
      <alignment horizontal="right" shrinkToFit="0" vertical="bottom" wrapText="0"/>
    </xf>
    <xf borderId="1" fillId="33" fontId="3" numFmtId="166" xfId="0" applyAlignment="1" applyBorder="1" applyFont="1" applyNumberFormat="1">
      <alignment horizontal="right" shrinkToFit="0" vertical="bottom" wrapText="0"/>
    </xf>
    <xf borderId="0" fillId="33" fontId="2" numFmtId="166" xfId="0" applyAlignment="1" applyFont="1" applyNumberFormat="1">
      <alignment vertical="bottom"/>
    </xf>
    <xf borderId="1" fillId="33" fontId="3" numFmtId="0" xfId="0" applyAlignment="1" applyBorder="1" applyFont="1">
      <alignment horizontal="center" shrinkToFit="0" wrapText="0"/>
    </xf>
    <xf borderId="1" fillId="22" fontId="3" numFmtId="168" xfId="0" applyAlignment="1" applyBorder="1" applyFont="1" applyNumberFormat="1">
      <alignment horizontal="center" shrinkToFit="0" vertical="bottom" wrapText="0"/>
    </xf>
    <xf borderId="1" fillId="22" fontId="3" numFmtId="168" xfId="0" applyAlignment="1" applyBorder="1" applyFont="1" applyNumberFormat="1">
      <alignment shrinkToFit="0" vertical="bottom" wrapText="0"/>
    </xf>
    <xf borderId="1" fillId="24" fontId="3" numFmtId="0" xfId="0" applyAlignment="1" applyBorder="1" applyFont="1">
      <alignment horizontal="center" shrinkToFit="0" vertical="bottom" wrapText="0"/>
    </xf>
    <xf borderId="1" fillId="24" fontId="3" numFmtId="164" xfId="0" applyAlignment="1" applyBorder="1" applyFont="1" applyNumberFormat="1">
      <alignment horizontal="center" shrinkToFit="0" vertical="bottom" wrapText="0"/>
    </xf>
    <xf borderId="1" fillId="24" fontId="3" numFmtId="0" xfId="0" applyAlignment="1" applyBorder="1" applyFont="1">
      <alignment shrinkToFit="0" vertical="bottom" wrapText="0"/>
    </xf>
    <xf borderId="1" fillId="24" fontId="3" numFmtId="165" xfId="0" applyAlignment="1" applyBorder="1" applyFont="1" applyNumberFormat="1">
      <alignment horizontal="right" shrinkToFit="0" vertical="bottom" wrapText="0"/>
    </xf>
    <xf borderId="1" fillId="24" fontId="3" numFmtId="166" xfId="0" applyAlignment="1" applyBorder="1" applyFont="1" applyNumberFormat="1">
      <alignment horizontal="right" shrinkToFit="0" vertical="bottom" wrapText="0"/>
    </xf>
    <xf borderId="1" fillId="24" fontId="3" numFmtId="0" xfId="0" applyAlignment="1" applyBorder="1" applyFont="1">
      <alignment horizontal="center" shrinkToFit="0" wrapText="0"/>
    </xf>
    <xf borderId="1" fillId="32" fontId="3" numFmtId="165" xfId="0" applyAlignment="1" applyBorder="1" applyFont="1" applyNumberFormat="1">
      <alignment horizontal="center" shrinkToFit="0" vertical="bottom" wrapText="0"/>
    </xf>
    <xf borderId="1" fillId="32" fontId="3" numFmtId="164" xfId="0" applyAlignment="1" applyBorder="1" applyFont="1" applyNumberFormat="1">
      <alignment horizontal="right" shrinkToFit="0" vertical="bottom" wrapText="0"/>
    </xf>
    <xf borderId="1" fillId="32" fontId="3" numFmtId="165" xfId="0" applyAlignment="1" applyBorder="1" applyFont="1" applyNumberFormat="1">
      <alignment shrinkToFit="0" vertical="bottom" wrapText="0"/>
    </xf>
    <xf borderId="1" fillId="22" fontId="3" numFmtId="165" xfId="0" applyAlignment="1" applyBorder="1" applyFont="1" applyNumberFormat="1">
      <alignment horizontal="center" shrinkToFit="0" vertical="bottom" wrapText="0"/>
    </xf>
    <xf borderId="1" fillId="22" fontId="3" numFmtId="164" xfId="0" applyAlignment="1" applyBorder="1" applyFont="1" applyNumberFormat="1">
      <alignment horizontal="right" shrinkToFit="0" vertical="bottom" wrapText="0"/>
    </xf>
    <xf borderId="1" fillId="22" fontId="3" numFmtId="165" xfId="0" applyAlignment="1" applyBorder="1" applyFont="1" applyNumberFormat="1">
      <alignment shrinkToFit="0" vertical="bottom" wrapText="0"/>
    </xf>
    <xf borderId="1" fillId="17" fontId="3" numFmtId="0" xfId="0" applyAlignment="1" applyBorder="1" applyFont="1">
      <alignment horizontal="center" shrinkToFit="0" vertical="bottom" wrapText="0"/>
    </xf>
    <xf borderId="1" fillId="17" fontId="3" numFmtId="164" xfId="0" applyAlignment="1" applyBorder="1" applyFont="1" applyNumberFormat="1">
      <alignment horizontal="center" shrinkToFit="0" vertical="bottom" wrapText="0"/>
    </xf>
    <xf borderId="1" fillId="17" fontId="3" numFmtId="0" xfId="0" applyAlignment="1" applyBorder="1" applyFont="1">
      <alignment shrinkToFit="0" vertical="bottom" wrapText="0"/>
    </xf>
    <xf borderId="1" fillId="17" fontId="3" numFmtId="165" xfId="0" applyAlignment="1" applyBorder="1" applyFont="1" applyNumberFormat="1">
      <alignment horizontal="right" shrinkToFit="0" vertical="bottom" wrapText="0"/>
    </xf>
    <xf borderId="1" fillId="17" fontId="3" numFmtId="166" xfId="0" applyAlignment="1" applyBorder="1" applyFont="1" applyNumberFormat="1">
      <alignment horizontal="right" shrinkToFit="0" vertical="bottom" wrapText="0"/>
    </xf>
    <xf borderId="1" fillId="17" fontId="3" numFmtId="0" xfId="0" applyAlignment="1" applyBorder="1" applyFont="1">
      <alignment horizontal="center" shrinkToFit="0" wrapText="0"/>
    </xf>
    <xf borderId="1" fillId="10" fontId="3" numFmtId="0" xfId="0" applyAlignment="1" applyBorder="1" applyFont="1">
      <alignment horizontal="center" shrinkToFit="0" vertical="bottom" wrapText="0"/>
    </xf>
    <xf borderId="1" fillId="10" fontId="3" numFmtId="164" xfId="0" applyAlignment="1" applyBorder="1" applyFont="1" applyNumberFormat="1">
      <alignment horizontal="center" shrinkToFit="0" vertical="bottom" wrapText="0"/>
    </xf>
    <xf borderId="1" fillId="10" fontId="3" numFmtId="0" xfId="0" applyAlignment="1" applyBorder="1" applyFont="1">
      <alignment shrinkToFit="0" vertical="bottom" wrapText="0"/>
    </xf>
    <xf borderId="1" fillId="10" fontId="2" numFmtId="0" xfId="0" applyBorder="1" applyFont="1"/>
    <xf borderId="1" fillId="10" fontId="2" numFmtId="0" xfId="0" applyAlignment="1" applyBorder="1" applyFont="1">
      <alignment vertical="bottom"/>
    </xf>
    <xf borderId="1" fillId="10" fontId="2" numFmtId="165" xfId="0" applyAlignment="1" applyBorder="1" applyFont="1" applyNumberFormat="1">
      <alignment vertical="bottom"/>
    </xf>
    <xf borderId="1" fillId="10" fontId="3" numFmtId="165" xfId="0" applyAlignment="1" applyBorder="1" applyFont="1" applyNumberFormat="1">
      <alignment horizontal="right" shrinkToFit="0" vertical="bottom" wrapText="0"/>
    </xf>
    <xf borderId="1" fillId="10" fontId="3" numFmtId="166" xfId="0" applyAlignment="1" applyBorder="1" applyFont="1" applyNumberFormat="1">
      <alignment horizontal="right" shrinkToFit="0" vertical="bottom" wrapText="0"/>
    </xf>
    <xf borderId="0" fillId="10" fontId="2" numFmtId="166" xfId="0" applyAlignment="1" applyFont="1" applyNumberFormat="1">
      <alignment vertical="bottom"/>
    </xf>
    <xf borderId="1" fillId="10" fontId="3" numFmtId="0" xfId="0" applyAlignment="1" applyBorder="1" applyFont="1">
      <alignment horizontal="center" shrinkToFit="0" wrapText="0"/>
    </xf>
    <xf borderId="1" fillId="16" fontId="3" numFmtId="0" xfId="0" applyAlignment="1" applyBorder="1" applyFont="1">
      <alignment horizontal="center" shrinkToFit="0" vertical="bottom" wrapText="0"/>
    </xf>
    <xf borderId="1" fillId="16" fontId="3" numFmtId="164" xfId="0" applyAlignment="1" applyBorder="1" applyFont="1" applyNumberFormat="1">
      <alignment horizontal="center" shrinkToFit="0" vertical="bottom" wrapText="0"/>
    </xf>
    <xf borderId="1" fillId="16" fontId="3" numFmtId="0" xfId="0" applyAlignment="1" applyBorder="1" applyFont="1">
      <alignment shrinkToFit="0" vertical="bottom" wrapText="0"/>
    </xf>
    <xf borderId="1" fillId="16" fontId="3" numFmtId="0" xfId="0" applyAlignment="1" applyBorder="1" applyFont="1">
      <alignment horizontal="center" shrinkToFit="0" wrapText="0"/>
    </xf>
    <xf borderId="1" fillId="16" fontId="3" numFmtId="165" xfId="0" applyAlignment="1" applyBorder="1" applyFont="1" applyNumberFormat="1">
      <alignment horizontal="right" shrinkToFit="0" vertical="bottom" wrapText="0"/>
    </xf>
    <xf borderId="1" fillId="16" fontId="3" numFmtId="166" xfId="0" applyAlignment="1" applyBorder="1" applyFont="1" applyNumberFormat="1">
      <alignment horizontal="right" shrinkToFit="0" vertical="bottom" wrapText="0"/>
    </xf>
    <xf borderId="1" fillId="16" fontId="19" numFmtId="0" xfId="0" applyAlignment="1" applyBorder="1" applyFont="1">
      <alignment horizontal="center" shrinkToFit="0" vertical="bottom" wrapText="0"/>
    </xf>
    <xf borderId="1" fillId="16" fontId="19" numFmtId="164" xfId="0" applyAlignment="1" applyBorder="1" applyFont="1" applyNumberFormat="1">
      <alignment horizontal="center" shrinkToFit="0" vertical="bottom" wrapText="0"/>
    </xf>
    <xf borderId="1" fillId="16" fontId="19" numFmtId="0" xfId="0" applyAlignment="1" applyBorder="1" applyFont="1">
      <alignment shrinkToFit="0" vertical="bottom" wrapText="0"/>
    </xf>
    <xf borderId="1" fillId="16" fontId="19" numFmtId="0" xfId="0" applyAlignment="1" applyBorder="1" applyFont="1">
      <alignment horizontal="center" shrinkToFit="0" wrapText="0"/>
    </xf>
    <xf borderId="1" fillId="16" fontId="19" numFmtId="165" xfId="0" applyAlignment="1" applyBorder="1" applyFont="1" applyNumberFormat="1">
      <alignment horizontal="right" shrinkToFit="0" vertical="bottom" wrapText="0"/>
    </xf>
    <xf borderId="1" fillId="0" fontId="19" numFmtId="0" xfId="0" applyAlignment="1" applyBorder="1" applyFont="1">
      <alignment horizontal="center" shrinkToFit="0" vertical="bottom" wrapText="0"/>
    </xf>
    <xf borderId="1" fillId="16" fontId="19" numFmtId="166" xfId="0" applyAlignment="1" applyBorder="1" applyFont="1" applyNumberFormat="1">
      <alignment horizontal="right" shrinkToFit="0" vertical="bottom" wrapText="0"/>
    </xf>
    <xf borderId="1" fillId="32" fontId="3" numFmtId="166" xfId="0" applyAlignment="1" applyBorder="1" applyFont="1" applyNumberFormat="1">
      <alignment horizontal="center" shrinkToFit="0" vertical="bottom" wrapText="0"/>
    </xf>
    <xf borderId="1" fillId="17" fontId="3" numFmtId="166" xfId="0" applyAlignment="1" applyBorder="1" applyFont="1" applyNumberFormat="1">
      <alignment horizontal="center" shrinkToFit="0" vertical="bottom" wrapText="0"/>
    </xf>
    <xf borderId="1" fillId="20" fontId="3" numFmtId="166" xfId="0" applyAlignment="1" applyBorder="1" applyFont="1" applyNumberFormat="1">
      <alignment horizontal="center" shrinkToFit="0" vertical="bottom" wrapText="0"/>
    </xf>
    <xf borderId="1" fillId="34" fontId="3" numFmtId="0" xfId="0" applyAlignment="1" applyBorder="1" applyFill="1" applyFont="1">
      <alignment horizontal="center" shrinkToFit="0" vertical="bottom" wrapText="0"/>
    </xf>
    <xf borderId="1" fillId="34" fontId="3" numFmtId="164" xfId="0" applyAlignment="1" applyBorder="1" applyFont="1" applyNumberFormat="1">
      <alignment horizontal="center" shrinkToFit="0" vertical="bottom" wrapText="0"/>
    </xf>
    <xf borderId="1" fillId="34" fontId="3" numFmtId="0" xfId="0" applyAlignment="1" applyBorder="1" applyFont="1">
      <alignment vertical="bottom"/>
    </xf>
    <xf borderId="1" fillId="34" fontId="3" numFmtId="0" xfId="0" applyAlignment="1" applyBorder="1" applyFont="1">
      <alignment shrinkToFit="0" vertical="bottom" wrapText="0"/>
    </xf>
    <xf borderId="1" fillId="34" fontId="2" numFmtId="0" xfId="0" applyBorder="1" applyFont="1"/>
    <xf borderId="1" fillId="34" fontId="3" numFmtId="0" xfId="0" applyAlignment="1" applyBorder="1" applyFont="1">
      <alignment horizontal="center" shrinkToFit="0" wrapText="0"/>
    </xf>
    <xf borderId="1" fillId="34" fontId="2" numFmtId="0" xfId="0" applyAlignment="1" applyBorder="1" applyFont="1">
      <alignment vertical="bottom"/>
    </xf>
    <xf borderId="1" fillId="34" fontId="3" numFmtId="166" xfId="0" applyAlignment="1" applyBorder="1" applyFont="1" applyNumberFormat="1">
      <alignment horizontal="center" shrinkToFit="0" vertical="bottom" wrapText="0"/>
    </xf>
    <xf borderId="1" fillId="34" fontId="2" numFmtId="165" xfId="0" applyAlignment="1" applyBorder="1" applyFont="1" applyNumberFormat="1">
      <alignment vertical="bottom"/>
    </xf>
    <xf borderId="1" fillId="34" fontId="3" numFmtId="165" xfId="0" applyAlignment="1" applyBorder="1" applyFont="1" applyNumberFormat="1">
      <alignment horizontal="right" shrinkToFit="0" vertical="bottom" wrapText="0"/>
    </xf>
    <xf borderId="1" fillId="18" fontId="20" numFmtId="0" xfId="0" applyAlignment="1" applyBorder="1" applyFont="1">
      <alignment horizontal="center" shrinkToFit="0" vertical="bottom" wrapText="0"/>
    </xf>
    <xf borderId="1" fillId="34" fontId="3" numFmtId="166" xfId="0" applyAlignment="1" applyBorder="1" applyFont="1" applyNumberFormat="1">
      <alignment horizontal="right" shrinkToFit="0" vertical="bottom" wrapText="0"/>
    </xf>
    <xf borderId="0" fillId="34" fontId="2" numFmtId="166" xfId="0" applyAlignment="1" applyFont="1" applyNumberFormat="1">
      <alignment vertical="bottom"/>
    </xf>
    <xf borderId="2" fillId="34" fontId="3" numFmtId="0" xfId="0" applyAlignment="1" applyBorder="1" applyFont="1">
      <alignment vertical="bottom"/>
    </xf>
    <xf borderId="1" fillId="15" fontId="3" numFmtId="0" xfId="0" applyAlignment="1" applyBorder="1" applyFont="1">
      <alignment horizontal="center" shrinkToFit="0" vertical="bottom" wrapText="0"/>
    </xf>
    <xf borderId="1" fillId="15" fontId="3" numFmtId="164" xfId="0" applyAlignment="1" applyBorder="1" applyFont="1" applyNumberFormat="1">
      <alignment horizontal="center" shrinkToFit="0" vertical="bottom" wrapText="0"/>
    </xf>
    <xf borderId="2" fillId="15" fontId="3" numFmtId="0" xfId="0" applyAlignment="1" applyBorder="1" applyFont="1">
      <alignment vertical="bottom"/>
    </xf>
    <xf borderId="1" fillId="15" fontId="3" numFmtId="0" xfId="0" applyAlignment="1" applyBorder="1" applyFont="1">
      <alignment shrinkToFit="0" vertical="bottom" wrapText="0"/>
    </xf>
    <xf borderId="1" fillId="15" fontId="3" numFmtId="0" xfId="0" applyAlignment="1" applyBorder="1" applyFont="1">
      <alignment horizontal="center" shrinkToFit="0" wrapText="0"/>
    </xf>
    <xf borderId="1" fillId="15" fontId="3" numFmtId="166" xfId="0" applyAlignment="1" applyBorder="1" applyFont="1" applyNumberFormat="1">
      <alignment horizontal="center" shrinkToFit="0" vertical="bottom" wrapText="0"/>
    </xf>
    <xf borderId="1" fillId="15" fontId="3" numFmtId="165" xfId="0" applyAlignment="1" applyBorder="1" applyFont="1" applyNumberFormat="1">
      <alignment horizontal="right" shrinkToFit="0" vertical="bottom" wrapText="0"/>
    </xf>
    <xf borderId="1" fillId="15" fontId="21" numFmtId="0" xfId="0" applyAlignment="1" applyBorder="1" applyFont="1">
      <alignment horizontal="center" shrinkToFit="0" vertical="bottom" wrapText="0"/>
    </xf>
    <xf borderId="1" fillId="15" fontId="3" numFmtId="166" xfId="0" applyAlignment="1" applyBorder="1" applyFont="1" applyNumberFormat="1">
      <alignment horizontal="right" shrinkToFit="0" vertical="bottom" wrapText="0"/>
    </xf>
    <xf borderId="2" fillId="24" fontId="3" numFmtId="0" xfId="0" applyAlignment="1" applyBorder="1" applyFont="1">
      <alignment vertical="bottom"/>
    </xf>
    <xf borderId="1" fillId="24" fontId="3" numFmtId="166" xfId="0" applyAlignment="1" applyBorder="1" applyFont="1" applyNumberFormat="1">
      <alignment horizontal="center" shrinkToFit="0" vertical="bottom" wrapText="0"/>
    </xf>
    <xf borderId="1" fillId="24" fontId="22" numFmtId="0" xfId="0" applyAlignment="1" applyBorder="1" applyFont="1">
      <alignment horizontal="center" shrinkToFit="0" vertical="bottom" wrapText="0"/>
    </xf>
    <xf borderId="2" fillId="29" fontId="3" numFmtId="0" xfId="0" applyAlignment="1" applyBorder="1" applyFont="1">
      <alignment vertical="bottom"/>
    </xf>
    <xf borderId="1" fillId="29" fontId="3" numFmtId="166" xfId="0" applyAlignment="1" applyBorder="1" applyFont="1" applyNumberFormat="1">
      <alignment horizontal="center" shrinkToFit="0" vertical="bottom" wrapText="0"/>
    </xf>
    <xf borderId="1" fillId="29" fontId="23" numFmtId="0" xfId="0" applyAlignment="1" applyBorder="1" applyFont="1">
      <alignment horizontal="center" shrinkToFit="0" vertical="bottom" wrapText="0"/>
    </xf>
    <xf borderId="1" fillId="29" fontId="3" numFmtId="0" xfId="0" applyAlignment="1" applyBorder="1" applyFont="1">
      <alignment horizontal="center" vertical="bottom"/>
    </xf>
    <xf borderId="1" fillId="29" fontId="3" numFmtId="0" xfId="0" applyAlignment="1" applyBorder="1" applyFont="1">
      <alignment horizontal="center"/>
    </xf>
    <xf borderId="0" fillId="29" fontId="3" numFmtId="165" xfId="0" applyAlignment="1" applyFont="1" applyNumberFormat="1">
      <alignment horizontal="right" vertical="bottom"/>
    </xf>
    <xf borderId="2" fillId="20" fontId="3" numFmtId="0" xfId="0" applyAlignment="1" applyBorder="1" applyFont="1">
      <alignment vertical="bottom"/>
    </xf>
    <xf borderId="1" fillId="20" fontId="24" numFmtId="0" xfId="0" applyAlignment="1" applyBorder="1" applyFont="1">
      <alignment horizontal="center" shrinkToFit="0" vertical="bottom" wrapText="0"/>
    </xf>
    <xf borderId="3" fillId="20" fontId="3" numFmtId="0" xfId="0" applyAlignment="1" applyBorder="1" applyFont="1">
      <alignment horizontal="center" shrinkToFit="0" vertical="bottom" wrapText="0"/>
    </xf>
    <xf borderId="3" fillId="20" fontId="3" numFmtId="166" xfId="0" applyAlignment="1" applyBorder="1" applyFont="1" applyNumberFormat="1">
      <alignment horizontal="right" shrinkToFit="0" vertical="bottom" wrapText="0"/>
    </xf>
    <xf borderId="3" fillId="20" fontId="3" numFmtId="165" xfId="0" applyAlignment="1" applyBorder="1" applyFont="1" applyNumberFormat="1">
      <alignment horizontal="right" shrinkToFit="0" vertical="bottom" wrapText="0"/>
    </xf>
    <xf borderId="0" fillId="20" fontId="3" numFmtId="165" xfId="0" applyAlignment="1" applyFont="1" applyNumberFormat="1">
      <alignment horizontal="right" vertical="bottom"/>
    </xf>
    <xf borderId="0" fillId="20" fontId="3" numFmtId="0" xfId="0" applyAlignment="1" applyFont="1">
      <alignment horizontal="center" vertical="bottom"/>
    </xf>
    <xf borderId="2" fillId="20" fontId="3" numFmtId="165" xfId="0" applyAlignment="1" applyBorder="1" applyFont="1" applyNumberFormat="1">
      <alignment horizontal="right" vertical="bottom"/>
    </xf>
    <xf borderId="0" fillId="20" fontId="2" numFmtId="0" xfId="0" applyAlignment="1" applyFont="1">
      <alignment vertical="bottom"/>
    </xf>
    <xf borderId="2" fillId="20" fontId="3" numFmtId="166" xfId="0" applyAlignment="1" applyBorder="1" applyFont="1" applyNumberFormat="1">
      <alignment horizontal="right" vertical="bottom"/>
    </xf>
    <xf borderId="2" fillId="20" fontId="3" numFmtId="0" xfId="0" applyAlignment="1" applyBorder="1" applyFont="1">
      <alignment shrinkToFit="0" vertical="bottom" wrapText="0"/>
    </xf>
    <xf borderId="2" fillId="33" fontId="3" numFmtId="0" xfId="0" applyAlignment="1" applyBorder="1" applyFont="1">
      <alignment shrinkToFit="0" vertical="bottom" wrapText="0"/>
    </xf>
    <xf borderId="1" fillId="33" fontId="3" numFmtId="0" xfId="0" applyAlignment="1" applyBorder="1" applyFont="1">
      <alignment horizontal="center" vertical="bottom"/>
    </xf>
    <xf borderId="1" fillId="33" fontId="3" numFmtId="0" xfId="0" applyAlignment="1" applyBorder="1" applyFont="1">
      <alignment horizontal="center"/>
    </xf>
    <xf borderId="1" fillId="33" fontId="3" numFmtId="166" xfId="0" applyAlignment="1" applyBorder="1" applyFont="1" applyNumberFormat="1">
      <alignment horizontal="center" shrinkToFit="0" vertical="bottom" wrapText="0"/>
    </xf>
    <xf borderId="1" fillId="33" fontId="25" numFmtId="0" xfId="0" applyAlignment="1" applyBorder="1" applyFont="1">
      <alignment horizontal="center" shrinkToFit="0" vertical="bottom" wrapText="0"/>
    </xf>
    <xf borderId="1" fillId="33" fontId="3" numFmtId="165" xfId="0" applyAlignment="1" applyBorder="1" applyFont="1" applyNumberFormat="1">
      <alignment horizontal="right" vertical="bottom"/>
    </xf>
    <xf borderId="1" fillId="33" fontId="3" numFmtId="166" xfId="0" applyAlignment="1" applyBorder="1" applyFont="1" applyNumberFormat="1">
      <alignment horizontal="right" vertical="bottom"/>
    </xf>
    <xf borderId="1" fillId="33" fontId="3" numFmtId="165" xfId="0" applyAlignment="1" applyBorder="1" applyFont="1" applyNumberFormat="1">
      <alignment horizontal="center" vertical="bottom"/>
    </xf>
    <xf borderId="2" fillId="16" fontId="3" numFmtId="0" xfId="0" applyAlignment="1" applyBorder="1" applyFont="1">
      <alignment shrinkToFit="0" vertical="bottom" wrapText="0"/>
    </xf>
    <xf borderId="1" fillId="16" fontId="3" numFmtId="166" xfId="0" applyAlignment="1" applyBorder="1" applyFont="1" applyNumberFormat="1">
      <alignment horizontal="center" shrinkToFit="0" vertical="bottom" wrapText="0"/>
    </xf>
    <xf borderId="1" fillId="16" fontId="26" numFmtId="0" xfId="0" applyAlignment="1" applyBorder="1" applyFont="1">
      <alignment horizontal="center" shrinkToFit="0" vertical="bottom" wrapText="0"/>
    </xf>
    <xf borderId="1" fillId="16" fontId="3" numFmtId="165" xfId="0" applyAlignment="1" applyBorder="1" applyFont="1" applyNumberFormat="1">
      <alignment horizontal="center" vertical="bottom"/>
    </xf>
    <xf borderId="3" fillId="16" fontId="3" numFmtId="166" xfId="0" applyAlignment="1" applyBorder="1" applyFont="1" applyNumberFormat="1">
      <alignment horizontal="right" shrinkToFit="0" vertical="bottom" wrapText="0"/>
    </xf>
    <xf borderId="3" fillId="16" fontId="3" numFmtId="165" xfId="0" applyAlignment="1" applyBorder="1" applyFont="1" applyNumberFormat="1">
      <alignment horizontal="right" shrinkToFit="0" vertical="bottom" wrapText="0"/>
    </xf>
    <xf borderId="1" fillId="14" fontId="3" numFmtId="0" xfId="0" applyAlignment="1" applyBorder="1" applyFont="1">
      <alignment horizontal="center" shrinkToFit="0" vertical="bottom" wrapText="0"/>
    </xf>
    <xf borderId="1" fillId="14" fontId="3" numFmtId="164" xfId="0" applyAlignment="1" applyBorder="1" applyFont="1" applyNumberFormat="1">
      <alignment horizontal="center" shrinkToFit="0" vertical="bottom" wrapText="0"/>
    </xf>
    <xf borderId="2" fillId="14" fontId="3" numFmtId="0" xfId="0" applyAlignment="1" applyBorder="1" applyFont="1">
      <alignment shrinkToFit="0" vertical="bottom" wrapText="0"/>
    </xf>
    <xf borderId="1" fillId="14" fontId="3" numFmtId="0" xfId="0" applyAlignment="1" applyBorder="1" applyFont="1">
      <alignment shrinkToFit="0" vertical="bottom" wrapText="0"/>
    </xf>
    <xf borderId="1" fillId="14" fontId="3" numFmtId="0" xfId="0" applyAlignment="1" applyBorder="1" applyFont="1">
      <alignment horizontal="center" shrinkToFit="0" wrapText="0"/>
    </xf>
    <xf borderId="1" fillId="14" fontId="3" numFmtId="166" xfId="0" applyAlignment="1" applyBorder="1" applyFont="1" applyNumberFormat="1">
      <alignment horizontal="center" shrinkToFit="0" vertical="bottom" wrapText="0"/>
    </xf>
    <xf borderId="1" fillId="14" fontId="3" numFmtId="165" xfId="0" applyAlignment="1" applyBorder="1" applyFont="1" applyNumberFormat="1">
      <alignment horizontal="right" shrinkToFit="0" vertical="bottom" wrapText="0"/>
    </xf>
    <xf borderId="1" fillId="14" fontId="27" numFmtId="0" xfId="0" applyAlignment="1" applyBorder="1" applyFont="1">
      <alignment horizontal="center" shrinkToFit="0" vertical="bottom" wrapText="0"/>
    </xf>
    <xf borderId="3" fillId="14" fontId="3" numFmtId="0" xfId="0" applyAlignment="1" applyBorder="1" applyFont="1">
      <alignment horizontal="center" shrinkToFit="0" vertical="bottom" wrapText="0"/>
    </xf>
    <xf borderId="3" fillId="14" fontId="3" numFmtId="166" xfId="0" applyAlignment="1" applyBorder="1" applyFont="1" applyNumberFormat="1">
      <alignment horizontal="right" shrinkToFit="0" vertical="bottom" wrapText="0"/>
    </xf>
    <xf borderId="1" fillId="14" fontId="3" numFmtId="166" xfId="0" applyAlignment="1" applyBorder="1" applyFont="1" applyNumberFormat="1">
      <alignment horizontal="right" shrinkToFit="0" vertical="bottom" wrapText="0"/>
    </xf>
    <xf borderId="3" fillId="14" fontId="3" numFmtId="165" xfId="0" applyAlignment="1" applyBorder="1" applyFont="1" applyNumberFormat="1">
      <alignment horizontal="right" shrinkToFit="0" vertical="bottom" wrapText="0"/>
    </xf>
    <xf borderId="2" fillId="14" fontId="3" numFmtId="0" xfId="0" applyAlignment="1" applyBorder="1" applyFont="1">
      <alignment vertical="bottom"/>
    </xf>
    <xf borderId="0" fillId="14" fontId="2" numFmtId="0" xfId="0" applyAlignment="1" applyFont="1">
      <alignment vertical="bottom"/>
    </xf>
    <xf borderId="2" fillId="28" fontId="3" numFmtId="0" xfId="0" applyAlignment="1" applyBorder="1" applyFont="1">
      <alignment shrinkToFit="0" vertical="bottom" wrapText="0"/>
    </xf>
    <xf borderId="1" fillId="28" fontId="28" numFmtId="0" xfId="0" applyAlignment="1" applyBorder="1" applyFont="1">
      <alignment horizontal="center" vertical="bottom"/>
    </xf>
    <xf borderId="1" fillId="28" fontId="3" numFmtId="166" xfId="0" applyAlignment="1" applyBorder="1" applyFont="1" applyNumberFormat="1">
      <alignment horizontal="center" shrinkToFit="0" vertical="bottom" wrapText="0"/>
    </xf>
    <xf borderId="1" fillId="28" fontId="29" numFmtId="0" xfId="0" applyAlignment="1" applyBorder="1" applyFont="1">
      <alignment horizontal="center" shrinkToFit="0" vertical="bottom" wrapText="0"/>
    </xf>
    <xf borderId="3" fillId="28" fontId="3" numFmtId="0" xfId="0" applyAlignment="1" applyBorder="1" applyFont="1">
      <alignment horizontal="center" shrinkToFit="0" vertical="bottom" wrapText="0"/>
    </xf>
    <xf borderId="3" fillId="28" fontId="3" numFmtId="166" xfId="0" applyAlignment="1" applyBorder="1" applyFont="1" applyNumberFormat="1">
      <alignment horizontal="right" shrinkToFit="0" vertical="bottom" wrapText="0"/>
    </xf>
    <xf borderId="3" fillId="28" fontId="3" numFmtId="165" xfId="0" applyAlignment="1" applyBorder="1" applyFont="1" applyNumberFormat="1">
      <alignment horizontal="right" shrinkToFit="0" vertical="bottom" wrapText="0"/>
    </xf>
    <xf borderId="2" fillId="24" fontId="3" numFmtId="0" xfId="0" applyAlignment="1" applyBorder="1" applyFont="1">
      <alignment shrinkToFit="0" vertical="bottom" wrapText="0"/>
    </xf>
    <xf borderId="1" fillId="24" fontId="28" numFmtId="0" xfId="0" applyAlignment="1" applyBorder="1" applyFont="1">
      <alignment horizontal="center" vertical="bottom"/>
    </xf>
    <xf borderId="3" fillId="24" fontId="3" numFmtId="0" xfId="0" applyAlignment="1" applyBorder="1" applyFont="1">
      <alignment horizontal="center" shrinkToFit="0" vertical="bottom" wrapText="0"/>
    </xf>
    <xf borderId="3" fillId="24" fontId="3" numFmtId="166" xfId="0" applyAlignment="1" applyBorder="1" applyFont="1" applyNumberFormat="1">
      <alignment horizontal="right" shrinkToFit="0" vertical="bottom" wrapText="0"/>
    </xf>
    <xf borderId="3" fillId="24" fontId="3" numFmtId="165" xfId="0" applyAlignment="1" applyBorder="1" applyFont="1" applyNumberFormat="1">
      <alignment horizontal="right" shrinkToFit="0" vertical="bottom" wrapText="0"/>
    </xf>
    <xf borderId="2" fillId="24" fontId="2" numFmtId="0" xfId="0" applyBorder="1" applyFont="1"/>
    <xf borderId="1" fillId="24" fontId="2" numFmtId="164" xfId="0" applyBorder="1" applyFont="1" applyNumberFormat="1"/>
    <xf borderId="2" fillId="24" fontId="2" numFmtId="0" xfId="0" applyAlignment="1" applyBorder="1" applyFont="1">
      <alignment vertical="bottom"/>
    </xf>
    <xf borderId="2" fillId="24" fontId="2" numFmtId="165" xfId="0" applyAlignment="1" applyBorder="1" applyFont="1" applyNumberFormat="1">
      <alignment vertical="bottom"/>
    </xf>
    <xf borderId="2" fillId="32" fontId="3" numFmtId="0" xfId="0" applyAlignment="1" applyBorder="1" applyFont="1">
      <alignment shrinkToFit="0" vertical="bottom" wrapText="0"/>
    </xf>
    <xf borderId="1" fillId="32" fontId="28" numFmtId="0" xfId="0" applyAlignment="1" applyBorder="1" applyFont="1">
      <alignment horizontal="center" vertical="bottom"/>
    </xf>
    <xf borderId="2" fillId="32" fontId="2" numFmtId="0" xfId="0" applyBorder="1" applyFont="1"/>
    <xf borderId="2" fillId="32" fontId="2" numFmtId="0" xfId="0" applyAlignment="1" applyBorder="1" applyFont="1">
      <alignment vertical="bottom"/>
    </xf>
    <xf borderId="2" fillId="32" fontId="2" numFmtId="165" xfId="0" applyAlignment="1" applyBorder="1" applyFont="1" applyNumberFormat="1">
      <alignment vertical="bottom"/>
    </xf>
    <xf borderId="1" fillId="32" fontId="30" numFmtId="0" xfId="0" applyAlignment="1" applyBorder="1" applyFont="1">
      <alignment horizontal="center" shrinkToFit="0" vertical="bottom" wrapText="0"/>
    </xf>
    <xf borderId="2" fillId="32" fontId="3" numFmtId="0" xfId="0" applyAlignment="1" applyBorder="1" applyFont="1">
      <alignment horizontal="center" shrinkToFit="0" vertical="bottom" wrapText="0"/>
    </xf>
    <xf borderId="3" fillId="32" fontId="3" numFmtId="0" xfId="0" applyAlignment="1" applyBorder="1" applyFont="1">
      <alignment horizontal="center" shrinkToFit="0" vertical="bottom" wrapText="0"/>
    </xf>
    <xf borderId="3" fillId="32" fontId="3" numFmtId="166" xfId="0" applyAlignment="1" applyBorder="1" applyFont="1" applyNumberFormat="1">
      <alignment horizontal="right" shrinkToFit="0" vertical="bottom" wrapText="0"/>
    </xf>
    <xf borderId="3" fillId="32" fontId="3" numFmtId="165" xfId="0" applyAlignment="1" applyBorder="1" applyFont="1" applyNumberFormat="1">
      <alignment horizontal="right" shrinkToFit="0" vertical="bottom" wrapText="0"/>
    </xf>
    <xf borderId="1" fillId="32" fontId="2" numFmtId="164" xfId="0" applyBorder="1" applyFont="1" applyNumberFormat="1"/>
    <xf borderId="1" fillId="32" fontId="3" numFmtId="0" xfId="0" applyAlignment="1" applyBorder="1" applyFont="1">
      <alignment horizontal="center"/>
    </xf>
    <xf borderId="2" fillId="32" fontId="3" numFmtId="0" xfId="0" applyAlignment="1" applyBorder="1" applyFont="1">
      <alignment horizontal="center" shrinkToFit="0" wrapText="0"/>
    </xf>
    <xf borderId="1" fillId="12" fontId="3" numFmtId="0" xfId="0" applyAlignment="1" applyBorder="1" applyFont="1">
      <alignment horizontal="center" shrinkToFit="0" vertical="bottom" wrapText="0"/>
    </xf>
    <xf borderId="1" fillId="12" fontId="3" numFmtId="164" xfId="0" applyAlignment="1" applyBorder="1" applyFont="1" applyNumberFormat="1">
      <alignment horizontal="center" shrinkToFit="0" vertical="bottom" wrapText="0"/>
    </xf>
    <xf borderId="2" fillId="12" fontId="3" numFmtId="0" xfId="0" applyAlignment="1" applyBorder="1" applyFont="1">
      <alignment shrinkToFit="0" vertical="bottom" wrapText="0"/>
    </xf>
    <xf borderId="1" fillId="12" fontId="28" numFmtId="0" xfId="0" applyAlignment="1" applyBorder="1" applyFont="1">
      <alignment horizontal="center" vertical="bottom"/>
    </xf>
    <xf borderId="1" fillId="12" fontId="3" numFmtId="0" xfId="0" applyAlignment="1" applyBorder="1" applyFont="1">
      <alignment shrinkToFit="0" vertical="bottom" wrapText="0"/>
    </xf>
    <xf borderId="2" fillId="12" fontId="3" numFmtId="0" xfId="0" applyAlignment="1" applyBorder="1" applyFont="1">
      <alignment horizontal="center" shrinkToFit="0" wrapText="0"/>
    </xf>
    <xf borderId="1" fillId="12" fontId="2" numFmtId="164" xfId="0" applyBorder="1" applyFont="1" applyNumberFormat="1"/>
    <xf borderId="2" fillId="12" fontId="2" numFmtId="0" xfId="0" applyAlignment="1" applyBorder="1" applyFont="1">
      <alignment vertical="bottom"/>
    </xf>
    <xf borderId="2" fillId="12" fontId="2" numFmtId="165" xfId="0" applyAlignment="1" applyBorder="1" applyFont="1" applyNumberFormat="1">
      <alignment vertical="bottom"/>
    </xf>
    <xf borderId="1" fillId="12" fontId="3" numFmtId="165" xfId="0" applyAlignment="1" applyBorder="1" applyFont="1" applyNumberFormat="1">
      <alignment horizontal="right" shrinkToFit="0" vertical="bottom" wrapText="0"/>
    </xf>
    <xf borderId="1" fillId="12" fontId="31" numFmtId="0" xfId="0" applyAlignment="1" applyBorder="1" applyFont="1">
      <alignment horizontal="center" shrinkToFit="0" vertical="bottom" wrapText="0"/>
    </xf>
    <xf borderId="2" fillId="12" fontId="3" numFmtId="0" xfId="0" applyAlignment="1" applyBorder="1" applyFont="1">
      <alignment horizontal="center" shrinkToFit="0" vertical="bottom" wrapText="0"/>
    </xf>
    <xf borderId="3" fillId="12" fontId="3" numFmtId="0" xfId="0" applyAlignment="1" applyBorder="1" applyFont="1">
      <alignment horizontal="center" shrinkToFit="0" vertical="bottom" wrapText="0"/>
    </xf>
    <xf borderId="3" fillId="12" fontId="3" numFmtId="166" xfId="0" applyAlignment="1" applyBorder="1" applyFont="1" applyNumberFormat="1">
      <alignment horizontal="right" shrinkToFit="0" vertical="bottom" wrapText="0"/>
    </xf>
    <xf borderId="3" fillId="12" fontId="3" numFmtId="165" xfId="0" applyAlignment="1" applyBorder="1" applyFont="1" applyNumberFormat="1">
      <alignment horizontal="right" shrinkToFit="0" vertical="bottom" wrapText="0"/>
    </xf>
    <xf borderId="2" fillId="12" fontId="2" numFmtId="0" xfId="0" applyBorder="1" applyFont="1"/>
    <xf borderId="1" fillId="12" fontId="3" numFmtId="0" xfId="0" applyAlignment="1" applyBorder="1" applyFont="1">
      <alignment horizontal="center" shrinkToFit="0" wrapText="0"/>
    </xf>
    <xf borderId="1" fillId="12" fontId="3" numFmtId="169" xfId="0" applyAlignment="1" applyBorder="1" applyFont="1" applyNumberFormat="1">
      <alignment horizontal="center" shrinkToFit="0" vertical="bottom" wrapText="0"/>
    </xf>
    <xf borderId="0" fillId="12" fontId="3" numFmtId="165" xfId="0" applyAlignment="1" applyFont="1" applyNumberFormat="1">
      <alignment horizontal="right" shrinkToFit="0" vertical="bottom" wrapText="0"/>
    </xf>
    <xf borderId="1" fillId="12" fontId="28" numFmtId="0" xfId="0" applyAlignment="1" applyBorder="1" applyFont="1">
      <alignment horizontal="center"/>
    </xf>
    <xf borderId="1" fillId="35" fontId="3" numFmtId="0" xfId="0" applyAlignment="1" applyBorder="1" applyFill="1" applyFont="1">
      <alignment horizontal="center" shrinkToFit="0" vertical="bottom" wrapText="0"/>
    </xf>
    <xf borderId="1" fillId="35" fontId="3" numFmtId="164" xfId="0" applyAlignment="1" applyBorder="1" applyFont="1" applyNumberFormat="1">
      <alignment horizontal="center" shrinkToFit="0" vertical="bottom" wrapText="0"/>
    </xf>
    <xf borderId="1" fillId="35" fontId="2" numFmtId="0" xfId="0" applyAlignment="1" applyBorder="1" applyFont="1">
      <alignment vertical="bottom"/>
    </xf>
    <xf borderId="2" fillId="35" fontId="3" numFmtId="0" xfId="0" applyAlignment="1" applyBorder="1" applyFont="1">
      <alignment shrinkToFit="0" vertical="bottom" wrapText="0"/>
    </xf>
    <xf borderId="1" fillId="35" fontId="28" numFmtId="0" xfId="0" applyAlignment="1" applyBorder="1" applyFont="1">
      <alignment horizontal="center" vertical="bottom"/>
    </xf>
    <xf borderId="1" fillId="35" fontId="3" numFmtId="0" xfId="0" applyAlignment="1" applyBorder="1" applyFont="1">
      <alignment shrinkToFit="0" vertical="bottom" wrapText="0"/>
    </xf>
    <xf borderId="1" fillId="35" fontId="3" numFmtId="0" xfId="0" applyAlignment="1" applyBorder="1" applyFont="1">
      <alignment horizontal="center"/>
    </xf>
    <xf borderId="2" fillId="35" fontId="2" numFmtId="0" xfId="0" applyBorder="1" applyFont="1"/>
    <xf borderId="1" fillId="35" fontId="2" numFmtId="0" xfId="0" applyBorder="1" applyFont="1"/>
    <xf borderId="1" fillId="35" fontId="2" numFmtId="164" xfId="0" applyBorder="1" applyFont="1" applyNumberFormat="1"/>
    <xf borderId="2" fillId="35" fontId="2" numFmtId="0" xfId="0" applyAlignment="1" applyBorder="1" applyFont="1">
      <alignment vertical="bottom"/>
    </xf>
    <xf borderId="1" fillId="35" fontId="2" numFmtId="165" xfId="0" applyAlignment="1" applyBorder="1" applyFont="1" applyNumberFormat="1">
      <alignment vertical="bottom"/>
    </xf>
    <xf borderId="2" fillId="35" fontId="2" numFmtId="165" xfId="0" applyAlignment="1" applyBorder="1" applyFont="1" applyNumberFormat="1">
      <alignment vertical="bottom"/>
    </xf>
    <xf borderId="1" fillId="35" fontId="3" numFmtId="165" xfId="0" applyAlignment="1" applyBorder="1" applyFont="1" applyNumberFormat="1">
      <alignment horizontal="right" shrinkToFit="0" vertical="bottom" wrapText="0"/>
    </xf>
    <xf borderId="1" fillId="35" fontId="32" numFmtId="0" xfId="0" applyAlignment="1" applyBorder="1" applyFont="1">
      <alignment horizontal="center" shrinkToFit="0" vertical="bottom" wrapText="0"/>
    </xf>
    <xf borderId="3" fillId="35" fontId="3" numFmtId="0" xfId="0" applyAlignment="1" applyBorder="1" applyFont="1">
      <alignment horizontal="center" shrinkToFit="0" vertical="bottom" wrapText="0"/>
    </xf>
    <xf borderId="3" fillId="35" fontId="3" numFmtId="166" xfId="0" applyAlignment="1" applyBorder="1" applyFont="1" applyNumberFormat="1">
      <alignment horizontal="right" shrinkToFit="0" vertical="bottom" wrapText="0"/>
    </xf>
    <xf borderId="3" fillId="35" fontId="3" numFmtId="165" xfId="0" applyAlignment="1" applyBorder="1" applyFont="1" applyNumberFormat="1">
      <alignment horizontal="right" shrinkToFit="0" vertical="bottom" wrapText="0"/>
    </xf>
    <xf borderId="0" fillId="35" fontId="2" numFmtId="166" xfId="0" applyAlignment="1" applyFont="1" applyNumberFormat="1">
      <alignment vertical="bottom"/>
    </xf>
    <xf borderId="2" fillId="35" fontId="3" numFmtId="0" xfId="0" applyAlignment="1" applyBorder="1" applyFont="1">
      <alignment horizontal="center" shrinkToFit="0" wrapText="0"/>
    </xf>
    <xf borderId="1" fillId="35" fontId="3" numFmtId="0" xfId="0" applyAlignment="1" applyBorder="1" applyFont="1">
      <alignment horizontal="center" shrinkToFit="0" wrapText="0"/>
    </xf>
    <xf borderId="2" fillId="28" fontId="3" numFmtId="0" xfId="0" applyAlignment="1" applyBorder="1" applyFont="1">
      <alignment horizontal="center" shrinkToFit="0" wrapText="0"/>
    </xf>
    <xf borderId="1" fillId="28" fontId="2" numFmtId="164" xfId="0" applyBorder="1" applyFont="1" applyNumberFormat="1"/>
    <xf borderId="2" fillId="28" fontId="2" numFmtId="0" xfId="0" applyAlignment="1" applyBorder="1" applyFont="1">
      <alignment vertical="bottom"/>
    </xf>
    <xf borderId="2" fillId="28" fontId="2" numFmtId="165" xfId="0" applyAlignment="1" applyBorder="1" applyFont="1" applyNumberFormat="1">
      <alignment vertical="bottom"/>
    </xf>
    <xf borderId="1" fillId="28" fontId="33" numFmtId="0" xfId="0" applyAlignment="1" applyBorder="1" applyFont="1">
      <alignment horizontal="center" shrinkToFit="0" vertical="bottom" wrapText="0"/>
    </xf>
    <xf borderId="3" fillId="28" fontId="28" numFmtId="0" xfId="0" applyAlignment="1" applyBorder="1" applyFont="1">
      <alignment horizontal="center" vertical="bottom"/>
    </xf>
    <xf borderId="3" fillId="28" fontId="3" numFmtId="4" xfId="0" applyAlignment="1" applyBorder="1" applyFont="1" applyNumberFormat="1">
      <alignment horizontal="right" shrinkToFit="0" vertical="bottom" wrapText="0"/>
    </xf>
    <xf borderId="2" fillId="28" fontId="2" numFmtId="0" xfId="0" applyBorder="1" applyFont="1"/>
    <xf borderId="2" fillId="22" fontId="3" numFmtId="0" xfId="0" applyAlignment="1" applyBorder="1" applyFont="1">
      <alignment shrinkToFit="0" vertical="bottom" wrapText="0"/>
    </xf>
    <xf borderId="1" fillId="22" fontId="28" numFmtId="0" xfId="0" applyAlignment="1" applyBorder="1" applyFont="1">
      <alignment horizontal="center" vertical="bottom"/>
    </xf>
    <xf borderId="2" fillId="22" fontId="3" numFmtId="0" xfId="0" applyAlignment="1" applyBorder="1" applyFont="1">
      <alignment horizontal="center" shrinkToFit="0" wrapText="0"/>
    </xf>
    <xf borderId="1" fillId="22" fontId="2" numFmtId="164" xfId="0" applyBorder="1" applyFont="1" applyNumberFormat="1"/>
    <xf borderId="2" fillId="22" fontId="2" numFmtId="0" xfId="0" applyAlignment="1" applyBorder="1" applyFont="1">
      <alignment vertical="bottom"/>
    </xf>
    <xf borderId="2" fillId="22" fontId="2" numFmtId="165" xfId="0" applyAlignment="1" applyBorder="1" applyFont="1" applyNumberFormat="1">
      <alignment vertical="bottom"/>
    </xf>
    <xf borderId="1" fillId="22" fontId="34" numFmtId="0" xfId="0" applyAlignment="1" applyBorder="1" applyFont="1">
      <alignment horizontal="center" shrinkToFit="0" vertical="bottom" wrapText="0"/>
    </xf>
    <xf borderId="3" fillId="22" fontId="28" numFmtId="0" xfId="0" applyAlignment="1" applyBorder="1" applyFont="1">
      <alignment horizontal="center" vertical="bottom"/>
    </xf>
    <xf borderId="3" fillId="22" fontId="3" numFmtId="4" xfId="0" applyAlignment="1" applyBorder="1" applyFont="1" applyNumberFormat="1">
      <alignment horizontal="right" shrinkToFit="0" vertical="bottom" wrapText="0"/>
    </xf>
    <xf borderId="3" fillId="22" fontId="3" numFmtId="165" xfId="0" applyAlignment="1" applyBorder="1" applyFont="1" applyNumberFormat="1">
      <alignment horizontal="right" shrinkToFit="0" vertical="bottom" wrapText="0"/>
    </xf>
    <xf borderId="2" fillId="22" fontId="2" numFmtId="0" xfId="0" applyBorder="1" applyFont="1"/>
    <xf borderId="2" fillId="22" fontId="19" numFmtId="0" xfId="0" applyAlignment="1" applyBorder="1" applyFont="1">
      <alignment shrinkToFit="0" vertical="bottom" wrapText="0"/>
    </xf>
    <xf borderId="1" fillId="33" fontId="28" numFmtId="0" xfId="0" applyAlignment="1" applyBorder="1" applyFont="1">
      <alignment horizontal="center" vertical="bottom"/>
    </xf>
    <xf borderId="2" fillId="33" fontId="3" numFmtId="0" xfId="0" applyAlignment="1" applyBorder="1" applyFont="1">
      <alignment horizontal="center" shrinkToFit="0" wrapText="0"/>
    </xf>
    <xf borderId="1" fillId="33" fontId="2" numFmtId="164" xfId="0" applyBorder="1" applyFont="1" applyNumberFormat="1"/>
    <xf borderId="2" fillId="33" fontId="2" numFmtId="0" xfId="0" applyAlignment="1" applyBorder="1" applyFont="1">
      <alignment vertical="bottom"/>
    </xf>
    <xf borderId="2" fillId="33" fontId="2" numFmtId="165" xfId="0" applyAlignment="1" applyBorder="1" applyFont="1" applyNumberFormat="1">
      <alignment vertical="bottom"/>
    </xf>
    <xf borderId="1" fillId="33" fontId="35" numFmtId="0" xfId="0" applyAlignment="1" applyBorder="1" applyFont="1">
      <alignment horizontal="center" shrinkToFit="0" vertical="bottom" wrapText="0"/>
    </xf>
    <xf borderId="3" fillId="33" fontId="28" numFmtId="0" xfId="0" applyAlignment="1" applyBorder="1" applyFont="1">
      <alignment horizontal="center" vertical="bottom"/>
    </xf>
    <xf borderId="3" fillId="33" fontId="3" numFmtId="4" xfId="0" applyAlignment="1" applyBorder="1" applyFont="1" applyNumberFormat="1">
      <alignment horizontal="right" shrinkToFit="0" vertical="bottom" wrapText="0"/>
    </xf>
    <xf borderId="3" fillId="33" fontId="3" numFmtId="165" xfId="0" applyAlignment="1" applyBorder="1" applyFont="1" applyNumberFormat="1">
      <alignment horizontal="right" shrinkToFit="0" vertical="bottom" wrapText="0"/>
    </xf>
    <xf borderId="2" fillId="33" fontId="2" numFmtId="0" xfId="0" applyBorder="1" applyFont="1"/>
    <xf borderId="1" fillId="20" fontId="28" numFmtId="0" xfId="0" applyAlignment="1" applyBorder="1" applyFont="1">
      <alignment horizontal="center" vertical="bottom"/>
    </xf>
    <xf borderId="2" fillId="20" fontId="2" numFmtId="0" xfId="0" applyBorder="1" applyFont="1"/>
    <xf borderId="1" fillId="20" fontId="2" numFmtId="164" xfId="0" applyBorder="1" applyFont="1" applyNumberFormat="1"/>
    <xf borderId="2" fillId="20" fontId="2" numFmtId="0" xfId="0" applyAlignment="1" applyBorder="1" applyFont="1">
      <alignment vertical="bottom"/>
    </xf>
    <xf borderId="2" fillId="20" fontId="2" numFmtId="165" xfId="0" applyAlignment="1" applyBorder="1" applyFont="1" applyNumberFormat="1">
      <alignment vertical="bottom"/>
    </xf>
    <xf borderId="1" fillId="20" fontId="36" numFmtId="0" xfId="0" applyAlignment="1" applyBorder="1" applyFont="1">
      <alignment horizontal="center" shrinkToFit="0" vertical="bottom" wrapText="0"/>
    </xf>
    <xf borderId="3" fillId="20" fontId="28" numFmtId="0" xfId="0" applyAlignment="1" applyBorder="1" applyFont="1">
      <alignment horizontal="center" vertical="bottom"/>
    </xf>
    <xf borderId="3" fillId="20" fontId="3" numFmtId="167" xfId="0" applyAlignment="1" applyBorder="1" applyFont="1" applyNumberFormat="1">
      <alignment horizontal="right" shrinkToFit="0" vertical="bottom" wrapText="0"/>
    </xf>
    <xf borderId="2" fillId="20" fontId="3" numFmtId="0" xfId="0" applyAlignment="1" applyBorder="1" applyFont="1">
      <alignment horizontal="center" shrinkToFit="0" wrapText="0"/>
    </xf>
    <xf borderId="2" fillId="34" fontId="3" numFmtId="0" xfId="0" applyAlignment="1" applyBorder="1" applyFont="1">
      <alignment shrinkToFit="0" vertical="bottom" wrapText="0"/>
    </xf>
    <xf borderId="1" fillId="34" fontId="28" numFmtId="0" xfId="0" applyAlignment="1" applyBorder="1" applyFont="1">
      <alignment horizontal="center" vertical="bottom"/>
    </xf>
    <xf borderId="1" fillId="34" fontId="3" numFmtId="0" xfId="0" applyAlignment="1" applyBorder="1" applyFont="1">
      <alignment horizontal="center"/>
    </xf>
    <xf borderId="2" fillId="34" fontId="2" numFmtId="0" xfId="0" applyBorder="1" applyFont="1"/>
    <xf borderId="1" fillId="34" fontId="2" numFmtId="164" xfId="0" applyBorder="1" applyFont="1" applyNumberFormat="1"/>
    <xf borderId="2" fillId="34" fontId="2" numFmtId="0" xfId="0" applyAlignment="1" applyBorder="1" applyFont="1">
      <alignment vertical="bottom"/>
    </xf>
    <xf borderId="2" fillId="34" fontId="2" numFmtId="165" xfId="0" applyAlignment="1" applyBorder="1" applyFont="1" applyNumberFormat="1">
      <alignment vertical="bottom"/>
    </xf>
    <xf borderId="1" fillId="34" fontId="37" numFmtId="0" xfId="0" applyAlignment="1" applyBorder="1" applyFont="1">
      <alignment horizontal="center" shrinkToFit="0" vertical="bottom" wrapText="0"/>
    </xf>
    <xf borderId="3" fillId="34" fontId="28" numFmtId="0" xfId="0" applyAlignment="1" applyBorder="1" applyFont="1">
      <alignment horizontal="center" vertical="bottom"/>
    </xf>
    <xf borderId="3" fillId="34" fontId="3" numFmtId="166" xfId="0" applyAlignment="1" applyBorder="1" applyFont="1" applyNumberFormat="1">
      <alignment horizontal="right" shrinkToFit="0" vertical="bottom" wrapText="0"/>
    </xf>
    <xf borderId="3" fillId="34" fontId="3" numFmtId="165" xfId="0" applyAlignment="1" applyBorder="1" applyFont="1" applyNumberFormat="1">
      <alignment horizontal="right" shrinkToFit="0" vertical="bottom" wrapText="0"/>
    </xf>
    <xf borderId="2" fillId="34" fontId="3" numFmtId="0" xfId="0" applyAlignment="1" applyBorder="1" applyFont="1">
      <alignment horizontal="center" shrinkToFit="0" wrapText="0"/>
    </xf>
    <xf borderId="1" fillId="34" fontId="3" numFmtId="170" xfId="0" applyAlignment="1" applyBorder="1" applyFont="1" applyNumberFormat="1">
      <alignment horizontal="center" shrinkToFit="0" vertical="bottom" wrapText="0"/>
    </xf>
    <xf borderId="3" fillId="35" fontId="28" numFmtId="0" xfId="0" applyAlignment="1" applyBorder="1" applyFont="1">
      <alignment horizontal="center" vertical="bottom"/>
    </xf>
    <xf borderId="0" fillId="35" fontId="3" numFmtId="166" xfId="0" applyAlignment="1" applyFont="1" applyNumberFormat="1">
      <alignment horizontal="right" shrinkToFit="0" vertical="bottom" wrapText="0"/>
    </xf>
    <xf borderId="1" fillId="35" fontId="28" numFmtId="0" xfId="0" applyAlignment="1" applyBorder="1" applyFont="1">
      <alignment horizontal="center"/>
    </xf>
    <xf borderId="1" fillId="35" fontId="3" numFmtId="165" xfId="0" applyAlignment="1" applyBorder="1" applyFont="1" applyNumberFormat="1">
      <alignment horizontal="right" vertical="bottom"/>
    </xf>
    <xf borderId="2" fillId="35" fontId="3" numFmtId="165" xfId="0" applyAlignment="1" applyBorder="1" applyFont="1" applyNumberFormat="1">
      <alignment shrinkToFit="0" vertical="bottom" wrapText="0"/>
    </xf>
    <xf borderId="1" fillId="35" fontId="28" numFmtId="165" xfId="0" applyAlignment="1" applyBorder="1" applyFont="1" applyNumberFormat="1">
      <alignment horizontal="center" vertical="bottom"/>
    </xf>
    <xf borderId="1" fillId="28" fontId="3" numFmtId="167" xfId="0" applyAlignment="1" applyBorder="1" applyFont="1" applyNumberFormat="1">
      <alignment horizontal="right" shrinkToFit="0" vertical="bottom" wrapText="0"/>
    </xf>
    <xf borderId="1" fillId="28" fontId="3" numFmtId="170" xfId="0" applyAlignment="1" applyBorder="1" applyFont="1" applyNumberFormat="1">
      <alignment horizontal="center" shrinkToFit="0" vertical="bottom" wrapText="0"/>
    </xf>
    <xf borderId="1" fillId="22" fontId="3" numFmtId="167" xfId="0" applyAlignment="1" applyBorder="1" applyFont="1" applyNumberFormat="1">
      <alignment horizontal="right" shrinkToFit="0" vertical="bottom" wrapText="0"/>
    </xf>
    <xf borderId="1" fillId="22" fontId="3" numFmtId="4" xfId="0" applyAlignment="1" applyBorder="1" applyFont="1" applyNumberFormat="1">
      <alignment horizontal="right" shrinkToFit="0" vertical="bottom" wrapText="0"/>
    </xf>
    <xf borderId="1" fillId="33" fontId="3" numFmtId="167" xfId="0" applyAlignment="1" applyBorder="1" applyFont="1" applyNumberFormat="1">
      <alignment horizontal="right" shrinkToFit="0" vertical="bottom" wrapText="0"/>
    </xf>
    <xf borderId="1" fillId="33" fontId="28" numFmtId="0" xfId="0" applyAlignment="1" applyBorder="1" applyFont="1">
      <alignment horizontal="center"/>
    </xf>
    <xf borderId="1" fillId="33" fontId="3" numFmtId="169" xfId="0" applyAlignment="1" applyBorder="1" applyFont="1" applyNumberFormat="1">
      <alignment horizontal="center" shrinkToFit="0" vertical="bottom" wrapText="0"/>
    </xf>
    <xf borderId="1" fillId="20" fontId="3" numFmtId="167" xfId="0" applyAlignment="1" applyBorder="1" applyFont="1" applyNumberFormat="1">
      <alignment horizontal="right" shrinkToFit="0" vertical="bottom" wrapText="0"/>
    </xf>
    <xf borderId="1" fillId="20" fontId="38" numFmtId="0" xfId="0" applyAlignment="1" applyBorder="1" applyFont="1">
      <alignment horizontal="center" shrinkToFit="0" vertical="bottom" wrapText="0"/>
    </xf>
    <xf borderId="1" fillId="24" fontId="39" numFmtId="0" xfId="0" applyAlignment="1" applyBorder="1" applyFont="1">
      <alignment horizontal="center" shrinkToFit="0" vertical="bottom" wrapText="0"/>
    </xf>
    <xf borderId="1" fillId="34" fontId="3" numFmtId="165" xfId="0" applyAlignment="1" applyBorder="1" applyFont="1" applyNumberFormat="1">
      <alignment horizontal="right" vertical="bottom"/>
    </xf>
    <xf borderId="1" fillId="17" fontId="28" numFmtId="0" xfId="0" applyAlignment="1" applyBorder="1" applyFont="1">
      <alignment horizontal="center" vertical="bottom"/>
    </xf>
    <xf borderId="1" fillId="17" fontId="2" numFmtId="164" xfId="0" applyBorder="1" applyFont="1" applyNumberFormat="1"/>
    <xf borderId="1" fillId="17" fontId="40" numFmtId="0" xfId="0" applyAlignment="1" applyBorder="1" applyFont="1">
      <alignment horizontal="center" shrinkToFit="0" vertical="bottom" wrapText="0"/>
    </xf>
    <xf borderId="1" fillId="17" fontId="38" numFmtId="0" xfId="0" applyAlignment="1" applyBorder="1" applyFont="1">
      <alignment horizontal="center" shrinkToFit="0" vertical="bottom" wrapText="0"/>
    </xf>
    <xf borderId="1" fillId="20" fontId="3" numFmtId="170" xfId="0" applyAlignment="1" applyBorder="1" applyFont="1" applyNumberFormat="1">
      <alignment horizontal="center" shrinkToFit="0" vertical="bottom" wrapText="0"/>
    </xf>
    <xf borderId="1" fillId="31" fontId="28" numFmtId="0" xfId="0" applyAlignment="1" applyBorder="1" applyFont="1">
      <alignment horizontal="center" vertical="bottom"/>
    </xf>
    <xf borderId="1" fillId="31" fontId="41" numFmtId="0" xfId="0" applyAlignment="1" applyBorder="1" applyFont="1">
      <alignment horizontal="center" shrinkToFit="0" vertical="bottom" wrapText="0"/>
    </xf>
    <xf borderId="1" fillId="31" fontId="2" numFmtId="164" xfId="0" applyBorder="1" applyFont="1" applyNumberFormat="1"/>
    <xf borderId="1" fillId="31" fontId="2" numFmtId="164" xfId="0" applyAlignment="1" applyBorder="1" applyFont="1" applyNumberFormat="1">
      <alignment vertical="bottom"/>
    </xf>
    <xf borderId="1" fillId="31" fontId="42" numFmtId="164" xfId="0" applyAlignment="1" applyBorder="1" applyFont="1" applyNumberFormat="1">
      <alignment horizontal="center" shrinkToFit="0" vertical="bottom" wrapText="0"/>
    </xf>
    <xf borderId="1" fillId="31" fontId="42" numFmtId="0" xfId="0" applyAlignment="1" applyBorder="1" applyFont="1">
      <alignment shrinkToFit="0" vertical="bottom" wrapText="0"/>
    </xf>
    <xf borderId="1" fillId="31" fontId="43" numFmtId="0" xfId="0" applyAlignment="1" applyBorder="1" applyFont="1">
      <alignment horizontal="center" vertical="bottom"/>
    </xf>
    <xf borderId="1" fillId="31" fontId="42" numFmtId="0" xfId="0" applyAlignment="1" applyBorder="1" applyFont="1">
      <alignment horizontal="center" shrinkToFit="0" vertical="bottom" wrapText="0"/>
    </xf>
    <xf borderId="1" fillId="31" fontId="42" numFmtId="0" xfId="0" applyAlignment="1" applyBorder="1" applyFont="1">
      <alignment horizontal="center"/>
    </xf>
    <xf borderId="1" fillId="31" fontId="42" numFmtId="0" xfId="0" applyAlignment="1" applyBorder="1" applyFont="1">
      <alignment horizontal="center" shrinkToFit="0" wrapText="0"/>
    </xf>
    <xf borderId="1" fillId="31" fontId="42" numFmtId="165" xfId="0" applyAlignment="1" applyBorder="1" applyFont="1" applyNumberFormat="1">
      <alignment horizontal="right" shrinkToFit="0" vertical="bottom" wrapText="0"/>
    </xf>
    <xf borderId="1" fillId="31" fontId="44" numFmtId="0" xfId="0" applyAlignment="1" applyBorder="1" applyFont="1">
      <alignment horizontal="center" shrinkToFit="0" vertical="bottom" wrapText="0"/>
    </xf>
    <xf borderId="1" fillId="31" fontId="42" numFmtId="167" xfId="0" applyAlignment="1" applyBorder="1" applyFont="1" applyNumberFormat="1">
      <alignment horizontal="right" shrinkToFit="0" vertical="bottom" wrapText="0"/>
    </xf>
    <xf borderId="0" fillId="36" fontId="2" numFmtId="0" xfId="0" applyAlignment="1" applyFill="1" applyFont="1">
      <alignment vertical="bottom"/>
    </xf>
    <xf borderId="0" fillId="36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36" fontId="2" numFmtId="0" xfId="0" applyFont="1"/>
    <xf borderId="0" fillId="36" fontId="2" numFmtId="166" xfId="0" applyAlignment="1" applyFont="1" applyNumberFormat="1">
      <alignment vertical="bottom"/>
    </xf>
    <xf borderId="0" fillId="36" fontId="2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clientes.infosis-arg.com:8090/pages/viewpage.action?pageId=27623493" TargetMode="External"/><Relationship Id="rId391" Type="http://schemas.openxmlformats.org/officeDocument/2006/relationships/hyperlink" Target="https://crm.infosis.tech/crm/deal/details/4091/" TargetMode="External"/><Relationship Id="rId390" Type="http://schemas.openxmlformats.org/officeDocument/2006/relationships/hyperlink" Target="http://clientes.infosis-arg.com:8090/pages/viewpage.action?pageId=27623479" TargetMode="External"/><Relationship Id="rId1" Type="http://schemas.openxmlformats.org/officeDocument/2006/relationships/hyperlink" Target="https://crm.infosis.tech/crm/deal/details/2054/" TargetMode="External"/><Relationship Id="rId2" Type="http://schemas.openxmlformats.org/officeDocument/2006/relationships/hyperlink" Target="https://crm.infosis.tech/crm/deal/details/2176/" TargetMode="External"/><Relationship Id="rId3" Type="http://schemas.openxmlformats.org/officeDocument/2006/relationships/hyperlink" Target="http://clientes.infosis-arg.com:8090/display/IMP/OTTANI+MIRIAN_OC" TargetMode="External"/><Relationship Id="rId4" Type="http://schemas.openxmlformats.org/officeDocument/2006/relationships/hyperlink" Target="https://crm.infosis.tech/crm/deal/details/1962/" TargetMode="External"/><Relationship Id="rId2180" Type="http://schemas.openxmlformats.org/officeDocument/2006/relationships/hyperlink" Target="https://crm.infosis.tech/crm/deal/details/16550/" TargetMode="External"/><Relationship Id="rId2181" Type="http://schemas.openxmlformats.org/officeDocument/2006/relationships/hyperlink" Target="https://crm.infosis.tech/crm/deal/details/16626/" TargetMode="External"/><Relationship Id="rId2182" Type="http://schemas.openxmlformats.org/officeDocument/2006/relationships/hyperlink" Target="https://crm.infosis.tech/crm/deal/details/16498/" TargetMode="External"/><Relationship Id="rId2183" Type="http://schemas.openxmlformats.org/officeDocument/2006/relationships/hyperlink" Target="https://crm.infosis.tech/crm/deal/details/16752/?any=details%2F16752%2F" TargetMode="External"/><Relationship Id="rId9" Type="http://schemas.openxmlformats.org/officeDocument/2006/relationships/hyperlink" Target="http://clientes.infosis-arg.com:8090/pages/viewpage.action?pageId=17891331" TargetMode="External"/><Relationship Id="rId385" Type="http://schemas.openxmlformats.org/officeDocument/2006/relationships/hyperlink" Target="http://clientes.infosis-arg.com:8090/display/IMP/BITOMA+SRL" TargetMode="External"/><Relationship Id="rId2184" Type="http://schemas.openxmlformats.org/officeDocument/2006/relationships/hyperlink" Target="https://crm.infosis.tech/crm/deal/details/16774/?any=details%2F16774%2F" TargetMode="External"/><Relationship Id="rId384" Type="http://schemas.openxmlformats.org/officeDocument/2006/relationships/hyperlink" Target="https://crm.infosis.tech/crm/deal/details/4077/" TargetMode="External"/><Relationship Id="rId2185" Type="http://schemas.openxmlformats.org/officeDocument/2006/relationships/hyperlink" Target="https://crm.infosis.tech/crm/deal/details/16820/?any=details%2F16820%2F" TargetMode="External"/><Relationship Id="rId383" Type="http://schemas.openxmlformats.org/officeDocument/2006/relationships/hyperlink" Target="http://clientes.infosis-arg.com:8090/pages/viewpage.action?pageId=27623454" TargetMode="External"/><Relationship Id="rId2186" Type="http://schemas.openxmlformats.org/officeDocument/2006/relationships/hyperlink" Target="https://crm.infosis.tech/crm/deal/details/16208/?any=details%2F16208%2F" TargetMode="External"/><Relationship Id="rId382" Type="http://schemas.openxmlformats.org/officeDocument/2006/relationships/hyperlink" Target="https://crm.infosis.tech/crm/deal/details/1998/" TargetMode="External"/><Relationship Id="rId2187" Type="http://schemas.openxmlformats.org/officeDocument/2006/relationships/hyperlink" Target="https://crm.infosis.tech/crm/deal/details/16876/" TargetMode="External"/><Relationship Id="rId5" Type="http://schemas.openxmlformats.org/officeDocument/2006/relationships/hyperlink" Target="http://clientes.infosis-arg.com:8090/display/IMP/Paredes+Bruno" TargetMode="External"/><Relationship Id="rId389" Type="http://schemas.openxmlformats.org/officeDocument/2006/relationships/hyperlink" Target="https://crm.infosis.tech/crm/deal/details/4083/" TargetMode="External"/><Relationship Id="rId2188" Type="http://schemas.openxmlformats.org/officeDocument/2006/relationships/hyperlink" Target="https://crm.infosis.tech/crm/deal/details/16914/?any=details%2F16914%2F" TargetMode="External"/><Relationship Id="rId6" Type="http://schemas.openxmlformats.org/officeDocument/2006/relationships/hyperlink" Target="https://crm.infosis.tech/crm/deal/details/2062/" TargetMode="External"/><Relationship Id="rId388" Type="http://schemas.openxmlformats.org/officeDocument/2006/relationships/hyperlink" Target="http://clientes.infosis-arg.com:8090/pages/viewpage.action?pageId=27623474" TargetMode="External"/><Relationship Id="rId2189" Type="http://schemas.openxmlformats.org/officeDocument/2006/relationships/hyperlink" Target="https://crm.infosis.tech/crm/deal/details/16660/?any=details%2F16660%2F" TargetMode="External"/><Relationship Id="rId7" Type="http://schemas.openxmlformats.org/officeDocument/2006/relationships/hyperlink" Target="http://clientes.infosis-arg.com:8090/pages/viewpage.action?pageId=15532034" TargetMode="External"/><Relationship Id="rId387" Type="http://schemas.openxmlformats.org/officeDocument/2006/relationships/hyperlink" Target="http://clientes.infosis-arg.com:8090/display/IMP/RIOS+SEBASTIAN+CESAR" TargetMode="External"/><Relationship Id="rId8" Type="http://schemas.openxmlformats.org/officeDocument/2006/relationships/hyperlink" Target="https://crm.infosis.tech/crm/deal/details/2252/" TargetMode="External"/><Relationship Id="rId386" Type="http://schemas.openxmlformats.org/officeDocument/2006/relationships/hyperlink" Target="https://crm.infosis.tech/crm/deal/details/4075/" TargetMode="External"/><Relationship Id="rId381" Type="http://schemas.openxmlformats.org/officeDocument/2006/relationships/hyperlink" Target="http://clientes.infosis-arg.com:8090/pages/viewpage.action?pageId=27165046" TargetMode="External"/><Relationship Id="rId380" Type="http://schemas.openxmlformats.org/officeDocument/2006/relationships/hyperlink" Target="https://crm.infosis.tech/crm/deal/details/3877/" TargetMode="External"/><Relationship Id="rId379" Type="http://schemas.openxmlformats.org/officeDocument/2006/relationships/hyperlink" Target="http://clientes.infosis-arg.com:8090/pages/viewpage.action?pageId=27623446" TargetMode="External"/><Relationship Id="rId2170" Type="http://schemas.openxmlformats.org/officeDocument/2006/relationships/hyperlink" Target="https://crm.infosis.tech/crm/deal/details/16542/" TargetMode="External"/><Relationship Id="rId2171" Type="http://schemas.openxmlformats.org/officeDocument/2006/relationships/hyperlink" Target="https://crm.infosis.tech/crm/deal/details/16604/" TargetMode="External"/><Relationship Id="rId2172" Type="http://schemas.openxmlformats.org/officeDocument/2006/relationships/hyperlink" Target="https://crm.infosis.tech/crm/deal/details/16572/?any=details%2F16572%2F" TargetMode="External"/><Relationship Id="rId374" Type="http://schemas.openxmlformats.org/officeDocument/2006/relationships/hyperlink" Target="https://crm.infosis.tech/crm/deal/details/4051/" TargetMode="External"/><Relationship Id="rId2173" Type="http://schemas.openxmlformats.org/officeDocument/2006/relationships/hyperlink" Target="https://crm.infosis.tech/crm/deal/details/16634/?any=details%2F16634%2F" TargetMode="External"/><Relationship Id="rId373" Type="http://schemas.openxmlformats.org/officeDocument/2006/relationships/hyperlink" Target="http://clientes.infosis-arg.com:8090/pages/viewpage.action?pageId=27427149" TargetMode="External"/><Relationship Id="rId2174" Type="http://schemas.openxmlformats.org/officeDocument/2006/relationships/hyperlink" Target="https://crm.infosis.tech/crm/deal/details/16662/?any=details%2F16662%2F" TargetMode="External"/><Relationship Id="rId372" Type="http://schemas.openxmlformats.org/officeDocument/2006/relationships/hyperlink" Target="https://crm.infosis.tech/crm/deal/details/3407/" TargetMode="External"/><Relationship Id="rId2175" Type="http://schemas.openxmlformats.org/officeDocument/2006/relationships/hyperlink" Target="https://crm.infosis.tech/crm/deal/details/16648/?any=details%2F16648%2F" TargetMode="External"/><Relationship Id="rId371" Type="http://schemas.openxmlformats.org/officeDocument/2006/relationships/hyperlink" Target="http://clientes.infosis-arg.com:8090/display/IMP/TOOLSEN+INC+S.A.S.+%234049" TargetMode="External"/><Relationship Id="rId2176" Type="http://schemas.openxmlformats.org/officeDocument/2006/relationships/hyperlink" Target="https://crm.infosis.tech/crm/deal/details/16630/" TargetMode="External"/><Relationship Id="rId378" Type="http://schemas.openxmlformats.org/officeDocument/2006/relationships/hyperlink" Target="https://crm.infosis.tech/crm/deal/details/4063/" TargetMode="External"/><Relationship Id="rId2177" Type="http://schemas.openxmlformats.org/officeDocument/2006/relationships/hyperlink" Target="https://crm.infosis.tech/crm/deal/details/16566/?any=details%2F16566%2F" TargetMode="External"/><Relationship Id="rId377" Type="http://schemas.openxmlformats.org/officeDocument/2006/relationships/hyperlink" Target="http://clientes.infosis-arg.com:8090/pages/viewpage.action?pageId=27623435" TargetMode="External"/><Relationship Id="rId2178" Type="http://schemas.openxmlformats.org/officeDocument/2006/relationships/hyperlink" Target="https://crm.infosis.tech/crm/deal/details/16640/" TargetMode="External"/><Relationship Id="rId376" Type="http://schemas.openxmlformats.org/officeDocument/2006/relationships/hyperlink" Target="https://crm.infosis.tech/crm/deal/details/4053/" TargetMode="External"/><Relationship Id="rId2179" Type="http://schemas.openxmlformats.org/officeDocument/2006/relationships/hyperlink" Target="https://crm.infosis.tech/crm/deal/details/15964/" TargetMode="External"/><Relationship Id="rId375" Type="http://schemas.openxmlformats.org/officeDocument/2006/relationships/hyperlink" Target="http://clientes.infosis-arg.com:8090/display/IMP/Emmanuel+Luxen_OC" TargetMode="External"/><Relationship Id="rId2190" Type="http://schemas.openxmlformats.org/officeDocument/2006/relationships/hyperlink" Target="https://crm.infosis.tech/crm/deal/details/16736/" TargetMode="External"/><Relationship Id="rId2191" Type="http://schemas.openxmlformats.org/officeDocument/2006/relationships/hyperlink" Target="https://crm.infosis.tech/crm/deal/details/16736/" TargetMode="External"/><Relationship Id="rId2192" Type="http://schemas.openxmlformats.org/officeDocument/2006/relationships/hyperlink" Target="https://crm.infosis.tech/crm/deal/details/16484/" TargetMode="External"/><Relationship Id="rId2193" Type="http://schemas.openxmlformats.org/officeDocument/2006/relationships/hyperlink" Target="https://crm.infosis.tech/crm/deal/details/16756/?any=details%2F16756%2F" TargetMode="External"/><Relationship Id="rId2194" Type="http://schemas.openxmlformats.org/officeDocument/2006/relationships/hyperlink" Target="https://crm.infosis.tech/crm/deal/details/16842/" TargetMode="External"/><Relationship Id="rId396" Type="http://schemas.openxmlformats.org/officeDocument/2006/relationships/hyperlink" Target="http://clientes.infosis-arg.com:8090/display/IMP/ONE+ART+ARGENTINA+SAS+%234093" TargetMode="External"/><Relationship Id="rId2195" Type="http://schemas.openxmlformats.org/officeDocument/2006/relationships/hyperlink" Target="https://crm.infosis.tech/crm/deal/details/16592/?any=details%2F16592%2F" TargetMode="External"/><Relationship Id="rId395" Type="http://schemas.openxmlformats.org/officeDocument/2006/relationships/hyperlink" Target="https://crm.infosis.tech/crm/deal/details/4093/" TargetMode="External"/><Relationship Id="rId2196" Type="http://schemas.openxmlformats.org/officeDocument/2006/relationships/hyperlink" Target="https://crm.infosis.tech/crm/deal/details/16830/" TargetMode="External"/><Relationship Id="rId394" Type="http://schemas.openxmlformats.org/officeDocument/2006/relationships/hyperlink" Target="http://clientes.infosis-arg.com:8090/pages/editpage.action?pageId=27623499" TargetMode="External"/><Relationship Id="rId2197" Type="http://schemas.openxmlformats.org/officeDocument/2006/relationships/hyperlink" Target="https://crm.infosis.tech/crm/deal/details/16998" TargetMode="External"/><Relationship Id="rId393" Type="http://schemas.openxmlformats.org/officeDocument/2006/relationships/hyperlink" Target="https://crm.infosis.tech/crm/deal/details/4087/" TargetMode="External"/><Relationship Id="rId2198" Type="http://schemas.openxmlformats.org/officeDocument/2006/relationships/hyperlink" Target="https://crm.infosis.tech/crm/deal/details/17002/" TargetMode="External"/><Relationship Id="rId2199" Type="http://schemas.openxmlformats.org/officeDocument/2006/relationships/hyperlink" Target="https://crm.infosis.tech/crm/deal/details/17020/?any=details%2F17020%2F" TargetMode="External"/><Relationship Id="rId399" Type="http://schemas.openxmlformats.org/officeDocument/2006/relationships/hyperlink" Target="https://crm.infosis.tech/crm/deal/details/4079/" TargetMode="External"/><Relationship Id="rId398" Type="http://schemas.openxmlformats.org/officeDocument/2006/relationships/hyperlink" Target="http://clientes.infosis-arg.com:8090/pages/viewpage.action?pageId=25493506" TargetMode="External"/><Relationship Id="rId397" Type="http://schemas.openxmlformats.org/officeDocument/2006/relationships/hyperlink" Target="https://crm.infosis.tech/crm/deal/details/4089/" TargetMode="External"/><Relationship Id="rId1730" Type="http://schemas.openxmlformats.org/officeDocument/2006/relationships/hyperlink" Target="https://crm.infosis.tech/crm/deal/details/9994/" TargetMode="External"/><Relationship Id="rId1731" Type="http://schemas.openxmlformats.org/officeDocument/2006/relationships/hyperlink" Target="https://crm.infosis.tech/crm/deal/details/10016/" TargetMode="External"/><Relationship Id="rId1732" Type="http://schemas.openxmlformats.org/officeDocument/2006/relationships/hyperlink" Target="https://crm.infosis.tech/crm/deal/details/9956/" TargetMode="External"/><Relationship Id="rId1733" Type="http://schemas.openxmlformats.org/officeDocument/2006/relationships/hyperlink" Target="https://crm.infosis.tech/crm/deal/details/9990/" TargetMode="External"/><Relationship Id="rId1734" Type="http://schemas.openxmlformats.org/officeDocument/2006/relationships/hyperlink" Target="https://crm.infosis.tech/crm/deal/details/9970/" TargetMode="External"/><Relationship Id="rId1735" Type="http://schemas.openxmlformats.org/officeDocument/2006/relationships/hyperlink" Target="https://crm.infosis.tech/crm/deal/details/10042/" TargetMode="External"/><Relationship Id="rId1736" Type="http://schemas.openxmlformats.org/officeDocument/2006/relationships/hyperlink" Target="https://crm.infosis.tech/crm/deal/details/10008/" TargetMode="External"/><Relationship Id="rId1737" Type="http://schemas.openxmlformats.org/officeDocument/2006/relationships/hyperlink" Target="https://crm.infosis.tech/crm/deal/details/8378/" TargetMode="External"/><Relationship Id="rId1738" Type="http://schemas.openxmlformats.org/officeDocument/2006/relationships/hyperlink" Target="https://crm.infosis.tech/crm/deal/details/10078/" TargetMode="External"/><Relationship Id="rId1739" Type="http://schemas.openxmlformats.org/officeDocument/2006/relationships/hyperlink" Target="https://crm.infosis.tech/crm/deal/details/10064/" TargetMode="External"/><Relationship Id="rId1720" Type="http://schemas.openxmlformats.org/officeDocument/2006/relationships/hyperlink" Target="https://crm.infosis.tech/crm/deal/details/9910/" TargetMode="External"/><Relationship Id="rId1721" Type="http://schemas.openxmlformats.org/officeDocument/2006/relationships/hyperlink" Target="https://crm.infosis.tech/crm/deal/details/9888/" TargetMode="External"/><Relationship Id="rId1722" Type="http://schemas.openxmlformats.org/officeDocument/2006/relationships/hyperlink" Target="https://crm.infosis.tech/crm/deal/details/9672/" TargetMode="External"/><Relationship Id="rId1723" Type="http://schemas.openxmlformats.org/officeDocument/2006/relationships/hyperlink" Target="https://crm.infosis.tech/crm/deal/details/9814/" TargetMode="External"/><Relationship Id="rId1724" Type="http://schemas.openxmlformats.org/officeDocument/2006/relationships/hyperlink" Target="https://crm.infosis.tech/crm/deal/details/9922" TargetMode="External"/><Relationship Id="rId1725" Type="http://schemas.openxmlformats.org/officeDocument/2006/relationships/hyperlink" Target="https://crm.infosis.tech/crm/deal/details/9932/" TargetMode="External"/><Relationship Id="rId1726" Type="http://schemas.openxmlformats.org/officeDocument/2006/relationships/hyperlink" Target="https://crm.infosis.tech/crm/deal/details/9964/" TargetMode="External"/><Relationship Id="rId1727" Type="http://schemas.openxmlformats.org/officeDocument/2006/relationships/hyperlink" Target="https://crm.infosis.tech/crm/deal/details/9866/" TargetMode="External"/><Relationship Id="rId1728" Type="http://schemas.openxmlformats.org/officeDocument/2006/relationships/hyperlink" Target="https://crm.infosis.tech/crm/deal/details/9916/" TargetMode="External"/><Relationship Id="rId1729" Type="http://schemas.openxmlformats.org/officeDocument/2006/relationships/hyperlink" Target="https://crm.infosis.tech/crm/deal/details/9840/" TargetMode="External"/><Relationship Id="rId1752" Type="http://schemas.openxmlformats.org/officeDocument/2006/relationships/hyperlink" Target="https://crm.infosis.tech/crm/deal/details/10176/" TargetMode="External"/><Relationship Id="rId1753" Type="http://schemas.openxmlformats.org/officeDocument/2006/relationships/hyperlink" Target="https://crm.infosis.tech/crm/deal/details/10188/" TargetMode="External"/><Relationship Id="rId2600" Type="http://schemas.openxmlformats.org/officeDocument/2006/relationships/hyperlink" Target="https://crm.infosis.tech/crm/deal/details/24322/" TargetMode="External"/><Relationship Id="rId1754" Type="http://schemas.openxmlformats.org/officeDocument/2006/relationships/hyperlink" Target="https://crm.infosis.tech/crm/deal/details/10152/" TargetMode="External"/><Relationship Id="rId2601" Type="http://schemas.openxmlformats.org/officeDocument/2006/relationships/hyperlink" Target="https://crm.infosis.tech/crm/deal/details/24348/" TargetMode="External"/><Relationship Id="rId1755" Type="http://schemas.openxmlformats.org/officeDocument/2006/relationships/hyperlink" Target="https://crm.infosis.tech/crm/deal/details/10192/" TargetMode="External"/><Relationship Id="rId2602" Type="http://schemas.openxmlformats.org/officeDocument/2006/relationships/hyperlink" Target="https://crm.infosis.tech/crm/deal/details/24366/" TargetMode="External"/><Relationship Id="rId1756" Type="http://schemas.openxmlformats.org/officeDocument/2006/relationships/hyperlink" Target="https://crm.infosis.tech/crm/deal/details/9582/" TargetMode="External"/><Relationship Id="rId2603" Type="http://schemas.openxmlformats.org/officeDocument/2006/relationships/hyperlink" Target="https://crm.infosis.tech/crm/deal/details/24422/?any=details%2F24422%2F" TargetMode="External"/><Relationship Id="rId1757" Type="http://schemas.openxmlformats.org/officeDocument/2006/relationships/hyperlink" Target="https://crm.infosis.tech/crm/deal/details/10302/" TargetMode="External"/><Relationship Id="rId2604" Type="http://schemas.openxmlformats.org/officeDocument/2006/relationships/hyperlink" Target="https://crm.infosis.tech/crm/deal/details/24204/?any=details%2F24204%2F" TargetMode="External"/><Relationship Id="rId1758" Type="http://schemas.openxmlformats.org/officeDocument/2006/relationships/hyperlink" Target="https://crm.infosis.tech/crm/deal/details/10310/" TargetMode="External"/><Relationship Id="rId2605" Type="http://schemas.openxmlformats.org/officeDocument/2006/relationships/hyperlink" Target="https://crm.infosis.tech/crm/deal/details/24420/?any=details%2F24420%2F" TargetMode="External"/><Relationship Id="rId1759" Type="http://schemas.openxmlformats.org/officeDocument/2006/relationships/hyperlink" Target="https://crm.infosis.tech/crm/deal/details/10074/" TargetMode="External"/><Relationship Id="rId2606" Type="http://schemas.openxmlformats.org/officeDocument/2006/relationships/hyperlink" Target="https://crm.infosis.tech/crm/deal/details/24454/" TargetMode="External"/><Relationship Id="rId808" Type="http://schemas.openxmlformats.org/officeDocument/2006/relationships/hyperlink" Target="http://clientes.infosis-arg.com:8090/pages/viewpage.action?pageId=28049720" TargetMode="External"/><Relationship Id="rId2607" Type="http://schemas.openxmlformats.org/officeDocument/2006/relationships/hyperlink" Target="https://crm.infosis.tech/crm/deal/details/24196/" TargetMode="External"/><Relationship Id="rId807" Type="http://schemas.openxmlformats.org/officeDocument/2006/relationships/hyperlink" Target="https://crm.infosis.tech/crm/deal/details/4571/" TargetMode="External"/><Relationship Id="rId2608" Type="http://schemas.openxmlformats.org/officeDocument/2006/relationships/hyperlink" Target="https://crm.infosis.tech/crm/deal/details/24004/" TargetMode="External"/><Relationship Id="rId806" Type="http://schemas.openxmlformats.org/officeDocument/2006/relationships/hyperlink" Target="http://clientes.infosis-arg.com:8090/pages/viewpage.action?pageId=28049708" TargetMode="External"/><Relationship Id="rId2609" Type="http://schemas.openxmlformats.org/officeDocument/2006/relationships/hyperlink" Target="https://crm.infosis.tech/crm/deal/details/24004/" TargetMode="External"/><Relationship Id="rId805" Type="http://schemas.openxmlformats.org/officeDocument/2006/relationships/hyperlink" Target="https://crm.infosis.tech/crm/deal/details/4567/" TargetMode="External"/><Relationship Id="rId809" Type="http://schemas.openxmlformats.org/officeDocument/2006/relationships/hyperlink" Target="https://crm.infosis.tech/crm/deal/details/4557/" TargetMode="External"/><Relationship Id="rId800" Type="http://schemas.openxmlformats.org/officeDocument/2006/relationships/hyperlink" Target="http://clientes.infosis-arg.com:8090/display/IMP/GO+UNIVERSITARIO+ALEM" TargetMode="External"/><Relationship Id="rId804" Type="http://schemas.openxmlformats.org/officeDocument/2006/relationships/hyperlink" Target="http://clientes.infosis-arg.com:8090/display/IMP/CENDRA+ALEJANDRA+BEATRIZ" TargetMode="External"/><Relationship Id="rId803" Type="http://schemas.openxmlformats.org/officeDocument/2006/relationships/hyperlink" Target="https://crm.infosis.tech/crm/deal/details/4357/" TargetMode="External"/><Relationship Id="rId802" Type="http://schemas.openxmlformats.org/officeDocument/2006/relationships/hyperlink" Target="http://clientes.infosis-arg.com:8090/pages/viewpage.action?pageId=28049699" TargetMode="External"/><Relationship Id="rId801" Type="http://schemas.openxmlformats.org/officeDocument/2006/relationships/hyperlink" Target="https://crm.infosis.tech/crm/deal/details/4567/" TargetMode="External"/><Relationship Id="rId1750" Type="http://schemas.openxmlformats.org/officeDocument/2006/relationships/hyperlink" Target="https://crm.infosis.tech/crm/deal/details/10144/" TargetMode="External"/><Relationship Id="rId1751" Type="http://schemas.openxmlformats.org/officeDocument/2006/relationships/hyperlink" Target="https://crm.infosis.tech/crm/deal/details/10126/" TargetMode="External"/><Relationship Id="rId1741" Type="http://schemas.openxmlformats.org/officeDocument/2006/relationships/hyperlink" Target="https://crm.infosis.tech/crm/deal/details/10084/" TargetMode="External"/><Relationship Id="rId1742" Type="http://schemas.openxmlformats.org/officeDocument/2006/relationships/hyperlink" Target="https://crm.infosis.tech/crm/deal/details/10120/" TargetMode="External"/><Relationship Id="rId1743" Type="http://schemas.openxmlformats.org/officeDocument/2006/relationships/hyperlink" Target="https://crm.infosis.tech/crm/deal/details/10124/" TargetMode="External"/><Relationship Id="rId1744" Type="http://schemas.openxmlformats.org/officeDocument/2006/relationships/hyperlink" Target="https://crm.infosis.tech/crm/deal/details/10072/" TargetMode="External"/><Relationship Id="rId1745" Type="http://schemas.openxmlformats.org/officeDocument/2006/relationships/hyperlink" Target="https://crm.infosis.tech/crm/deal/details/10138/" TargetMode="External"/><Relationship Id="rId1746" Type="http://schemas.openxmlformats.org/officeDocument/2006/relationships/hyperlink" Target="https://crm.infosis.tech/crm/deal/details/9844/" TargetMode="External"/><Relationship Id="rId1747" Type="http://schemas.openxmlformats.org/officeDocument/2006/relationships/hyperlink" Target="https://crm.infosis.tech/crm/deal/details/10166/" TargetMode="External"/><Relationship Id="rId1748" Type="http://schemas.openxmlformats.org/officeDocument/2006/relationships/hyperlink" Target="https://crm.infosis.tech/crm/deal/details/10062/" TargetMode="External"/><Relationship Id="rId1749" Type="http://schemas.openxmlformats.org/officeDocument/2006/relationships/hyperlink" Target="https://crm.infosis.tech/crm/deal/details/10158/" TargetMode="External"/><Relationship Id="rId1740" Type="http://schemas.openxmlformats.org/officeDocument/2006/relationships/hyperlink" Target="https://crm.infosis.tech/crm/deal/details/9982/" TargetMode="External"/><Relationship Id="rId1710" Type="http://schemas.openxmlformats.org/officeDocument/2006/relationships/hyperlink" Target="https://crm.infosis.tech/crm/deal/details/9484/" TargetMode="External"/><Relationship Id="rId1711" Type="http://schemas.openxmlformats.org/officeDocument/2006/relationships/hyperlink" Target="https://crm.infosis.tech/crm/deal/details/9740/" TargetMode="External"/><Relationship Id="rId1712" Type="http://schemas.openxmlformats.org/officeDocument/2006/relationships/hyperlink" Target="https://crm.infosis.tech/crm/deal/details/9786/" TargetMode="External"/><Relationship Id="rId1713" Type="http://schemas.openxmlformats.org/officeDocument/2006/relationships/hyperlink" Target="https://crm.infosis.tech/crm/deal/details/9658/" TargetMode="External"/><Relationship Id="rId1714" Type="http://schemas.openxmlformats.org/officeDocument/2006/relationships/hyperlink" Target="https://crm.infosis.tech/crm/deal/details/9794/" TargetMode="External"/><Relationship Id="rId1715" Type="http://schemas.openxmlformats.org/officeDocument/2006/relationships/hyperlink" Target="https://crm.infosis.tech/crm/deal/details/9652/" TargetMode="External"/><Relationship Id="rId1716" Type="http://schemas.openxmlformats.org/officeDocument/2006/relationships/hyperlink" Target="https://crm.infosis.tech/crm/deal/details/9854/" TargetMode="External"/><Relationship Id="rId1717" Type="http://schemas.openxmlformats.org/officeDocument/2006/relationships/hyperlink" Target="https://crm.infosis.tech/crm/deal/details/9868/" TargetMode="External"/><Relationship Id="rId1718" Type="http://schemas.openxmlformats.org/officeDocument/2006/relationships/hyperlink" Target="https://crm.infosis.tech/crm/deal/details/9898/" TargetMode="External"/><Relationship Id="rId1719" Type="http://schemas.openxmlformats.org/officeDocument/2006/relationships/hyperlink" Target="https://crm.infosis.tech/crm/deal/details/9904/" TargetMode="External"/><Relationship Id="rId1700" Type="http://schemas.openxmlformats.org/officeDocument/2006/relationships/hyperlink" Target="https://crm.infosis.tech/crm/deal/details/8606/" TargetMode="External"/><Relationship Id="rId1701" Type="http://schemas.openxmlformats.org/officeDocument/2006/relationships/hyperlink" Target="https://crm.infosis.tech/crm/deal/details/9646/" TargetMode="External"/><Relationship Id="rId1702" Type="http://schemas.openxmlformats.org/officeDocument/2006/relationships/hyperlink" Target="https://crm.infosis.tech/crm/deal/details/9676/" TargetMode="External"/><Relationship Id="rId1703" Type="http://schemas.openxmlformats.org/officeDocument/2006/relationships/hyperlink" Target="https://crm.infosis.tech/crm/deal/details/9648/" TargetMode="External"/><Relationship Id="rId1704" Type="http://schemas.openxmlformats.org/officeDocument/2006/relationships/hyperlink" Target="https://crm.infosis.tech/crm/deal/details/9664/" TargetMode="External"/><Relationship Id="rId1705" Type="http://schemas.openxmlformats.org/officeDocument/2006/relationships/hyperlink" Target="https://crm.infosis.tech/crm/deal/details/9820/" TargetMode="External"/><Relationship Id="rId1706" Type="http://schemas.openxmlformats.org/officeDocument/2006/relationships/hyperlink" Target="https://crm.infosis.tech/crm/deal/details/9712/" TargetMode="External"/><Relationship Id="rId1707" Type="http://schemas.openxmlformats.org/officeDocument/2006/relationships/hyperlink" Target="https://crm.infosis.tech/crm/deal/details/9654/" TargetMode="External"/><Relationship Id="rId1708" Type="http://schemas.openxmlformats.org/officeDocument/2006/relationships/hyperlink" Target="https://crm.infosis.tech/crm/deal/details/9270/" TargetMode="External"/><Relationship Id="rId1709" Type="http://schemas.openxmlformats.org/officeDocument/2006/relationships/hyperlink" Target="https://crm.infosis.tech/crm/deal/details/9744/" TargetMode="External"/><Relationship Id="rId40" Type="http://schemas.openxmlformats.org/officeDocument/2006/relationships/hyperlink" Target="https://crm.infosis.tech/crm/deal/details/2587/" TargetMode="External"/><Relationship Id="rId1334" Type="http://schemas.openxmlformats.org/officeDocument/2006/relationships/hyperlink" Target="https://crm.infosis.tech/crm/deal/details/6256/" TargetMode="External"/><Relationship Id="rId1335" Type="http://schemas.openxmlformats.org/officeDocument/2006/relationships/hyperlink" Target="https://crm.infosis.tech/crm/deal/details/6264/" TargetMode="External"/><Relationship Id="rId42" Type="http://schemas.openxmlformats.org/officeDocument/2006/relationships/hyperlink" Target="http://clientes.infosis-arg.com:8090/display/IMP/MOLINA+NORMA+ANA_OC" TargetMode="External"/><Relationship Id="rId1336" Type="http://schemas.openxmlformats.org/officeDocument/2006/relationships/hyperlink" Target="https://crm.infosis.tech/crm/deal/details/6266/" TargetMode="External"/><Relationship Id="rId41" Type="http://schemas.openxmlformats.org/officeDocument/2006/relationships/hyperlink" Target="http://clientes.infosis-arg.com:8090/display/IMP/LUNA+MAURO+ALBERTO_OC" TargetMode="External"/><Relationship Id="rId1337" Type="http://schemas.openxmlformats.org/officeDocument/2006/relationships/hyperlink" Target="https://crm.infosis.tech/crm/deal/details/6276/" TargetMode="External"/><Relationship Id="rId44" Type="http://schemas.openxmlformats.org/officeDocument/2006/relationships/hyperlink" Target="http://clientes.infosis-arg.com:8090/pages/viewpage.action?pageId=22282253" TargetMode="External"/><Relationship Id="rId1338" Type="http://schemas.openxmlformats.org/officeDocument/2006/relationships/hyperlink" Target="https://crm.infosis.tech/crm/deal/details/6280/" TargetMode="External"/><Relationship Id="rId43" Type="http://schemas.openxmlformats.org/officeDocument/2006/relationships/hyperlink" Target="https://crm.infosis.tech/crm/deal/details/2447/" TargetMode="External"/><Relationship Id="rId1339" Type="http://schemas.openxmlformats.org/officeDocument/2006/relationships/hyperlink" Target="https://crm.infosis.tech/crm/deal/details/6288/" TargetMode="External"/><Relationship Id="rId46" Type="http://schemas.openxmlformats.org/officeDocument/2006/relationships/hyperlink" Target="http://clientes.infosis-arg.com:8090/pages/viewpage.action?pageId=22904845" TargetMode="External"/><Relationship Id="rId45" Type="http://schemas.openxmlformats.org/officeDocument/2006/relationships/hyperlink" Target="https://crm.infosis.tech/crm/deal/details/2439/" TargetMode="External"/><Relationship Id="rId745" Type="http://schemas.openxmlformats.org/officeDocument/2006/relationships/hyperlink" Target="https://crm.infosis.tech/crm/deal/details/4297/" TargetMode="External"/><Relationship Id="rId744" Type="http://schemas.openxmlformats.org/officeDocument/2006/relationships/hyperlink" Target="http://clientes.infosis-arg.com:8090/pages/viewpage.action?title=KAL+SRL_OC&amp;spaceKey=IMP" TargetMode="External"/><Relationship Id="rId743" Type="http://schemas.openxmlformats.org/officeDocument/2006/relationships/hyperlink" Target="https://crm.infosis.tech/crm/deal/details/4223/" TargetMode="External"/><Relationship Id="rId742" Type="http://schemas.openxmlformats.org/officeDocument/2006/relationships/hyperlink" Target="http://clientes.infosis-arg.com:8090/pages/viewpage.action?pageId=28049568" TargetMode="External"/><Relationship Id="rId749" Type="http://schemas.openxmlformats.org/officeDocument/2006/relationships/hyperlink" Target="https://crm.infosis.tech/crm/deal/details/4505/" TargetMode="External"/><Relationship Id="rId748" Type="http://schemas.openxmlformats.org/officeDocument/2006/relationships/hyperlink" Target="http://clientes.infosis-arg.com:8090/pages/viewpage.action?pageId=28049583" TargetMode="External"/><Relationship Id="rId747" Type="http://schemas.openxmlformats.org/officeDocument/2006/relationships/hyperlink" Target="https://crm.infosis.tech/crm/deal/details/4507/" TargetMode="External"/><Relationship Id="rId746" Type="http://schemas.openxmlformats.org/officeDocument/2006/relationships/hyperlink" Target="http://clientes.infosis-arg.com:8090/display/IMP/MATERIALES+RIU+SRL" TargetMode="External"/><Relationship Id="rId48" Type="http://schemas.openxmlformats.org/officeDocument/2006/relationships/hyperlink" Target="http://clientes.infosis-arg.com:8090/display/IMP/Amplia+Debora+TODOPROF+SRL" TargetMode="External"/><Relationship Id="rId47" Type="http://schemas.openxmlformats.org/officeDocument/2006/relationships/hyperlink" Target="https://crm.infosis.tech/crm/deal/details/2495/" TargetMode="External"/><Relationship Id="rId49" Type="http://schemas.openxmlformats.org/officeDocument/2006/relationships/hyperlink" Target="https://crm.infosis.tech/crm/deal/details/2501/" TargetMode="External"/><Relationship Id="rId741" Type="http://schemas.openxmlformats.org/officeDocument/2006/relationships/hyperlink" Target="https://crm.infosis.tech/crm/deal/details/4503/" TargetMode="External"/><Relationship Id="rId1330" Type="http://schemas.openxmlformats.org/officeDocument/2006/relationships/hyperlink" Target="https://crm.infosis.tech/crm/deal/details/6234/" TargetMode="External"/><Relationship Id="rId740" Type="http://schemas.openxmlformats.org/officeDocument/2006/relationships/hyperlink" Target="http://clientes.infosis-arg.com:8090/pages/viewpage.action?pageId=28049564" TargetMode="External"/><Relationship Id="rId1331" Type="http://schemas.openxmlformats.org/officeDocument/2006/relationships/hyperlink" Target="https://crm.infosis.tech/crm/deal/details/6240/" TargetMode="External"/><Relationship Id="rId1332" Type="http://schemas.openxmlformats.org/officeDocument/2006/relationships/hyperlink" Target="https://crm.infosis.tech/crm/deal/details/6246/" TargetMode="External"/><Relationship Id="rId1333" Type="http://schemas.openxmlformats.org/officeDocument/2006/relationships/hyperlink" Target="https://crm.infosis.tech/crm/deal/details/6252/" TargetMode="External"/><Relationship Id="rId1323" Type="http://schemas.openxmlformats.org/officeDocument/2006/relationships/hyperlink" Target="https://crm.infosis.tech/crm/deal/details/6180/" TargetMode="External"/><Relationship Id="rId1324" Type="http://schemas.openxmlformats.org/officeDocument/2006/relationships/hyperlink" Target="https://crm.infosis.tech/crm/deal/details/6186/" TargetMode="External"/><Relationship Id="rId31" Type="http://schemas.openxmlformats.org/officeDocument/2006/relationships/hyperlink" Target="http://clientes.infosis-arg.com:8090/pages/viewpage.action?pageId=19333124" TargetMode="External"/><Relationship Id="rId1325" Type="http://schemas.openxmlformats.org/officeDocument/2006/relationships/hyperlink" Target="https://crm.infosis.tech/crm/deal/details/6184/?IFRAME_TYPE=SIDE_SLIDER" TargetMode="External"/><Relationship Id="rId30" Type="http://schemas.openxmlformats.org/officeDocument/2006/relationships/hyperlink" Target="https://crm.infosis.tech/crm/deal/details/2296/" TargetMode="External"/><Relationship Id="rId1326" Type="http://schemas.openxmlformats.org/officeDocument/2006/relationships/hyperlink" Target="https://crm.infosis.tech/crm/deal/details/6200/" TargetMode="External"/><Relationship Id="rId33" Type="http://schemas.openxmlformats.org/officeDocument/2006/relationships/hyperlink" Target="http://clientes.infosis-arg.com:8090/pages/viewpage.action?pageId=20709378" TargetMode="External"/><Relationship Id="rId1327" Type="http://schemas.openxmlformats.org/officeDocument/2006/relationships/hyperlink" Target="https://crm.infosis.tech/crm/deal/details/6202/" TargetMode="External"/><Relationship Id="rId32" Type="http://schemas.openxmlformats.org/officeDocument/2006/relationships/hyperlink" Target="https://crm.infosis.tech/crm/deal/details/2338/" TargetMode="External"/><Relationship Id="rId1328" Type="http://schemas.openxmlformats.org/officeDocument/2006/relationships/hyperlink" Target="https://crm.infosis.tech/crm/deal/details/6222/" TargetMode="External"/><Relationship Id="rId35" Type="http://schemas.openxmlformats.org/officeDocument/2006/relationships/hyperlink" Target="http://clientes.infosis-arg.com:8090/pages/viewpage.action?pageId=21528584" TargetMode="External"/><Relationship Id="rId1329" Type="http://schemas.openxmlformats.org/officeDocument/2006/relationships/hyperlink" Target="https://crm.infosis.tech/crm/deal/details/6228/" TargetMode="External"/><Relationship Id="rId34" Type="http://schemas.openxmlformats.org/officeDocument/2006/relationships/hyperlink" Target="https://crm.infosis.tech/crm/deal/details/2298/" TargetMode="External"/><Relationship Id="rId739" Type="http://schemas.openxmlformats.org/officeDocument/2006/relationships/hyperlink" Target="https://crm.infosis.tech/crm/deal/details/4501/" TargetMode="External"/><Relationship Id="rId734" Type="http://schemas.openxmlformats.org/officeDocument/2006/relationships/hyperlink" Target="http://clientes.infosis-arg.com:8090/pages/viewpage.action?pageId=28049551" TargetMode="External"/><Relationship Id="rId733" Type="http://schemas.openxmlformats.org/officeDocument/2006/relationships/hyperlink" Target="https://crm.infosis.tech/crm/deal/details/4491/" TargetMode="External"/><Relationship Id="rId732" Type="http://schemas.openxmlformats.org/officeDocument/2006/relationships/hyperlink" Target="http://clientes.infosis-arg.com:8090/pages/viewpage.action?pageId=28049546" TargetMode="External"/><Relationship Id="rId731" Type="http://schemas.openxmlformats.org/officeDocument/2006/relationships/hyperlink" Target="https://crm.infosis.tech/crm/deal/details/4489/" TargetMode="External"/><Relationship Id="rId738" Type="http://schemas.openxmlformats.org/officeDocument/2006/relationships/hyperlink" Target="http://clientes.infosis-arg.com:8090/display/IMP/WOX+SRL+-+WOX+PINTURERIAS+-+4493" TargetMode="External"/><Relationship Id="rId737" Type="http://schemas.openxmlformats.org/officeDocument/2006/relationships/hyperlink" Target="https://crm.infosis.tech/crm/deal/details/4493/" TargetMode="External"/><Relationship Id="rId736" Type="http://schemas.openxmlformats.org/officeDocument/2006/relationships/hyperlink" Target="http://clientes.infosis-arg.com:8090/pages/viewpage.action?pageId=28049555" TargetMode="External"/><Relationship Id="rId735" Type="http://schemas.openxmlformats.org/officeDocument/2006/relationships/hyperlink" Target="https://crm.infosis.tech/crm/deal/details/4497/" TargetMode="External"/><Relationship Id="rId37" Type="http://schemas.openxmlformats.org/officeDocument/2006/relationships/hyperlink" Target="http://clientes.infosis-arg.com:8090/pages/viewpage.action?pageId=19333122" TargetMode="External"/><Relationship Id="rId36" Type="http://schemas.openxmlformats.org/officeDocument/2006/relationships/hyperlink" Target="https://crm.infosis.tech/crm/deal/details/1752/" TargetMode="External"/><Relationship Id="rId39" Type="http://schemas.openxmlformats.org/officeDocument/2006/relationships/hyperlink" Target="http://clientes.infosis-arg.com:8090/pages/viewpage.action?pageId=2951093" TargetMode="External"/><Relationship Id="rId38" Type="http://schemas.openxmlformats.org/officeDocument/2006/relationships/hyperlink" Target="https://crm.infosis.tech/crm/deal/details/1932/" TargetMode="External"/><Relationship Id="rId730" Type="http://schemas.openxmlformats.org/officeDocument/2006/relationships/hyperlink" Target="http://clientes.infosis-arg.com:8090/display/IMP/MATERIALES+IANTOM+GROUP+SA+%28MIG%29_OC" TargetMode="External"/><Relationship Id="rId1320" Type="http://schemas.openxmlformats.org/officeDocument/2006/relationships/hyperlink" Target="https://crm.infosis.tech/crm/deal/details/6156/" TargetMode="External"/><Relationship Id="rId1321" Type="http://schemas.openxmlformats.org/officeDocument/2006/relationships/hyperlink" Target="https://crm.infosis.tech/crm/deal/details/6164/" TargetMode="External"/><Relationship Id="rId1322" Type="http://schemas.openxmlformats.org/officeDocument/2006/relationships/hyperlink" Target="https://crm.infosis.tech/crm/deal/details/6174/" TargetMode="External"/><Relationship Id="rId1356" Type="http://schemas.openxmlformats.org/officeDocument/2006/relationships/hyperlink" Target="https://crm.infosis.tech/crm/deal/details/6398/" TargetMode="External"/><Relationship Id="rId2203" Type="http://schemas.openxmlformats.org/officeDocument/2006/relationships/hyperlink" Target="https://crm.infosis.tech/crm/deal/details/17058/" TargetMode="External"/><Relationship Id="rId1357" Type="http://schemas.openxmlformats.org/officeDocument/2006/relationships/hyperlink" Target="https://crm.infosis.tech/crm/deal/details/6404/" TargetMode="External"/><Relationship Id="rId2204" Type="http://schemas.openxmlformats.org/officeDocument/2006/relationships/hyperlink" Target="https://crm.infosis.tech/crm/deal/details/17140/" TargetMode="External"/><Relationship Id="rId20" Type="http://schemas.openxmlformats.org/officeDocument/2006/relationships/hyperlink" Target="https://crm.infosis.tech/crm/deal/details/4038/" TargetMode="External"/><Relationship Id="rId1358" Type="http://schemas.openxmlformats.org/officeDocument/2006/relationships/hyperlink" Target="https://crm.infosis.tech/crm/deal/details/6406/" TargetMode="External"/><Relationship Id="rId2205" Type="http://schemas.openxmlformats.org/officeDocument/2006/relationships/hyperlink" Target="https://crm.infosis.tech/crm/deal/details/17136/" TargetMode="External"/><Relationship Id="rId1359" Type="http://schemas.openxmlformats.org/officeDocument/2006/relationships/hyperlink" Target="https://crm.infosis.tech/crm/deal/details/6416" TargetMode="External"/><Relationship Id="rId2206" Type="http://schemas.openxmlformats.org/officeDocument/2006/relationships/hyperlink" Target="https://crm.infosis.tech/crm/deal/details/17138/" TargetMode="External"/><Relationship Id="rId22" Type="http://schemas.openxmlformats.org/officeDocument/2006/relationships/hyperlink" Target="https://crm.infosis.tech/crm/deal/details/1958/" TargetMode="External"/><Relationship Id="rId2207" Type="http://schemas.openxmlformats.org/officeDocument/2006/relationships/hyperlink" Target="https://crm.infosis.tech/crm/deal/details/17232/?any=details%2F17232%2F" TargetMode="External"/><Relationship Id="rId21" Type="http://schemas.openxmlformats.org/officeDocument/2006/relationships/hyperlink" Target="http://clientes.infosis-arg.com:8090/pages/viewpage.action?pageId=21757954" TargetMode="External"/><Relationship Id="rId2208" Type="http://schemas.openxmlformats.org/officeDocument/2006/relationships/hyperlink" Target="https://crm.infosis.tech/crm/deal/details/17162/" TargetMode="External"/><Relationship Id="rId24" Type="http://schemas.openxmlformats.org/officeDocument/2006/relationships/hyperlink" Target="https://crm.infosis.tech/crm/deal/details/2276/" TargetMode="External"/><Relationship Id="rId2209" Type="http://schemas.openxmlformats.org/officeDocument/2006/relationships/hyperlink" Target="https://crm.infosis.tech/crm/deal/details/17210/" TargetMode="External"/><Relationship Id="rId23" Type="http://schemas.openxmlformats.org/officeDocument/2006/relationships/hyperlink" Target="http://clientes.infosis-arg.com:8090/pages/viewpage.action?pageId=12681223" TargetMode="External"/><Relationship Id="rId767" Type="http://schemas.openxmlformats.org/officeDocument/2006/relationships/hyperlink" Target="https://crm.infosis.tech/crm/deal/details/4523/" TargetMode="External"/><Relationship Id="rId766" Type="http://schemas.openxmlformats.org/officeDocument/2006/relationships/hyperlink" Target="http://clientes.infosis-arg.com:8090/pages/viewpage.action?pageId=28049615" TargetMode="External"/><Relationship Id="rId765" Type="http://schemas.openxmlformats.org/officeDocument/2006/relationships/hyperlink" Target="https://crm.infosis.tech/crm/deal/details/4547/" TargetMode="External"/><Relationship Id="rId764" Type="http://schemas.openxmlformats.org/officeDocument/2006/relationships/hyperlink" Target="http://clientes.infosis-arg.com:8090/pages/viewpage.action?pageId=28049604" TargetMode="External"/><Relationship Id="rId769" Type="http://schemas.openxmlformats.org/officeDocument/2006/relationships/hyperlink" Target="https://crm.infosis.tech/crm/deal/details/4525/" TargetMode="External"/><Relationship Id="rId768" Type="http://schemas.openxmlformats.org/officeDocument/2006/relationships/hyperlink" Target="http://clientes.infosis-arg.com:8090/pages/viewpage.action?pageId=28049612" TargetMode="External"/><Relationship Id="rId26" Type="http://schemas.openxmlformats.org/officeDocument/2006/relationships/hyperlink" Target="https://crm.infosis.tech/crm/deal/details/2116/" TargetMode="External"/><Relationship Id="rId25" Type="http://schemas.openxmlformats.org/officeDocument/2006/relationships/hyperlink" Target="http://clientes.infosis-arg.com:8090/pages/viewpage.action?pageId=18776068" TargetMode="External"/><Relationship Id="rId28" Type="http://schemas.openxmlformats.org/officeDocument/2006/relationships/hyperlink" Target="https://crm.infosis.tech/crm/deal/details/2284/" TargetMode="External"/><Relationship Id="rId1350" Type="http://schemas.openxmlformats.org/officeDocument/2006/relationships/hyperlink" Target="https://crm.infosis.tech/crm/deal/details/6346/" TargetMode="External"/><Relationship Id="rId27" Type="http://schemas.openxmlformats.org/officeDocument/2006/relationships/hyperlink" Target="http://clientes.infosis-arg.com:8090/pages/viewpage.action?pageId=18153475" TargetMode="External"/><Relationship Id="rId1351" Type="http://schemas.openxmlformats.org/officeDocument/2006/relationships/hyperlink" Target="https://crm.infosis.tech/crm/deal/details/6370/" TargetMode="External"/><Relationship Id="rId763" Type="http://schemas.openxmlformats.org/officeDocument/2006/relationships/hyperlink" Target="https://crm.infosis.tech/crm/deal/details/4521/" TargetMode="External"/><Relationship Id="rId1352" Type="http://schemas.openxmlformats.org/officeDocument/2006/relationships/hyperlink" Target="https://crm.infosis.tech/crm/deal/details/6374/" TargetMode="External"/><Relationship Id="rId29" Type="http://schemas.openxmlformats.org/officeDocument/2006/relationships/hyperlink" Target="http://clientes.infosis-arg.com:8090/pages/viewpage.action?pageId=19693570" TargetMode="External"/><Relationship Id="rId762" Type="http://schemas.openxmlformats.org/officeDocument/2006/relationships/hyperlink" Target="http://clientes.infosis-arg.com:8090/pages/viewpage.action?pageId=28049592" TargetMode="External"/><Relationship Id="rId1353" Type="http://schemas.openxmlformats.org/officeDocument/2006/relationships/hyperlink" Target="https://crm.infosis.tech/crm/deal/details/6366/" TargetMode="External"/><Relationship Id="rId2200" Type="http://schemas.openxmlformats.org/officeDocument/2006/relationships/hyperlink" Target="https://crm.infosis.tech/crm/deal/details/17018/?any=details%2F17018%2F" TargetMode="External"/><Relationship Id="rId761" Type="http://schemas.openxmlformats.org/officeDocument/2006/relationships/hyperlink" Target="https://crm.infosis.tech/crm/deal/details/4519/" TargetMode="External"/><Relationship Id="rId1354" Type="http://schemas.openxmlformats.org/officeDocument/2006/relationships/hyperlink" Target="https://crm.infosis.tech/crm/deal/details/6384/" TargetMode="External"/><Relationship Id="rId2201" Type="http://schemas.openxmlformats.org/officeDocument/2006/relationships/hyperlink" Target="https://crm.infosis.tech/crm/deal/details/17032/" TargetMode="External"/><Relationship Id="rId760" Type="http://schemas.openxmlformats.org/officeDocument/2006/relationships/hyperlink" Target="http://clientes.infosis-arg.com:8090/pages/viewpage.action?pageId=28049590" TargetMode="External"/><Relationship Id="rId1355" Type="http://schemas.openxmlformats.org/officeDocument/2006/relationships/hyperlink" Target="https://crm.infosis.tech/crm/deal/details/6390/" TargetMode="External"/><Relationship Id="rId2202" Type="http://schemas.openxmlformats.org/officeDocument/2006/relationships/hyperlink" Target="https://crm.infosis.tech/crm/deal/details/17040/" TargetMode="External"/><Relationship Id="rId1345" Type="http://schemas.openxmlformats.org/officeDocument/2006/relationships/hyperlink" Target="https://crm.infosis.tech/crm/deal/details/6330/" TargetMode="External"/><Relationship Id="rId1346" Type="http://schemas.openxmlformats.org/officeDocument/2006/relationships/hyperlink" Target="https://crm.infosis.tech/crm/deal/details/6332/" TargetMode="External"/><Relationship Id="rId1347" Type="http://schemas.openxmlformats.org/officeDocument/2006/relationships/hyperlink" Target="https://crm.infosis.tech/crm/deal/details/6338/" TargetMode="External"/><Relationship Id="rId1348" Type="http://schemas.openxmlformats.org/officeDocument/2006/relationships/hyperlink" Target="https://crm.infosis.tech/crm/deal/details/6340/" TargetMode="External"/><Relationship Id="rId11" Type="http://schemas.openxmlformats.org/officeDocument/2006/relationships/hyperlink" Target="http://clientes.infosis-arg.com:8090/display/IMP/MARTINEZ+FERNANDO+CARLOS+%28Mundo+Figus%29+%23Neg1850" TargetMode="External"/><Relationship Id="rId1349" Type="http://schemas.openxmlformats.org/officeDocument/2006/relationships/hyperlink" Target="https://crm.infosis.tech/crm/deal/details/6350/" TargetMode="External"/><Relationship Id="rId10" Type="http://schemas.openxmlformats.org/officeDocument/2006/relationships/hyperlink" Target="https://crm.infosis.tech/crm/deal/details/1850/" TargetMode="External"/><Relationship Id="rId13" Type="http://schemas.openxmlformats.org/officeDocument/2006/relationships/hyperlink" Target="http://clientes.infosis-arg.com:8090/pages/viewpage.action?pageId=15958018" TargetMode="External"/><Relationship Id="rId12" Type="http://schemas.openxmlformats.org/officeDocument/2006/relationships/hyperlink" Target="https://crm.infosis.tech/crm/deal/details/2028/" TargetMode="External"/><Relationship Id="rId756" Type="http://schemas.openxmlformats.org/officeDocument/2006/relationships/hyperlink" Target="http://clientes.infosis-arg.com:8090/pages/viewpage.action?title=JORGE+LUCAS+JALIL_OC&amp;spaceKey=IMP" TargetMode="External"/><Relationship Id="rId755" Type="http://schemas.openxmlformats.org/officeDocument/2006/relationships/hyperlink" Target="https://crm.infosis.tech/crm/deal/details/4515/" TargetMode="External"/><Relationship Id="rId754" Type="http://schemas.openxmlformats.org/officeDocument/2006/relationships/hyperlink" Target="http://clientes.infosis-arg.com:8090/pages/viewpage.action?pageId=28049587" TargetMode="External"/><Relationship Id="rId753" Type="http://schemas.openxmlformats.org/officeDocument/2006/relationships/hyperlink" Target="https://crm.infosis.tech/crm/deal/details/4513/?IFRAME_TYPE=SIDE_SLIDER&amp;any=details%2F4513%2F" TargetMode="External"/><Relationship Id="rId759" Type="http://schemas.openxmlformats.org/officeDocument/2006/relationships/hyperlink" Target="https://crm.infosis.tech/crm/deal/details/4517/" TargetMode="External"/><Relationship Id="rId758" Type="http://schemas.openxmlformats.org/officeDocument/2006/relationships/hyperlink" Target="http://clientes.infosis-arg.com:8090/pages/viewpage.action?title=GAZZE+JORGE+LUIS_OC&amp;spaceKey=IMP" TargetMode="External"/><Relationship Id="rId757" Type="http://schemas.openxmlformats.org/officeDocument/2006/relationships/hyperlink" Target="https://crm.infosis.tech/crm/deal/details/4407/" TargetMode="External"/><Relationship Id="rId15" Type="http://schemas.openxmlformats.org/officeDocument/2006/relationships/hyperlink" Target="http://clientes.infosis-arg.com:8090/display/IMP/de+De+Blasis+Luis+S.%2C+Segura+Dario+A.+Y+Costa+Gustavo+S.H+%23+2160" TargetMode="External"/><Relationship Id="rId14" Type="http://schemas.openxmlformats.org/officeDocument/2006/relationships/hyperlink" Target="https://crm.infosis.tech/crm/deal/details/2160/" TargetMode="External"/><Relationship Id="rId17" Type="http://schemas.openxmlformats.org/officeDocument/2006/relationships/hyperlink" Target="http://clientes.infosis-arg.com:8090/pages/viewpage.action?pageId=20578307" TargetMode="External"/><Relationship Id="rId16" Type="http://schemas.openxmlformats.org/officeDocument/2006/relationships/hyperlink" Target="https://crm.infosis.tech/crm/deal/details/2302/" TargetMode="External"/><Relationship Id="rId1340" Type="http://schemas.openxmlformats.org/officeDocument/2006/relationships/hyperlink" Target="https://crm.infosis.tech/crm/deal/details/6298/" TargetMode="External"/><Relationship Id="rId19" Type="http://schemas.openxmlformats.org/officeDocument/2006/relationships/hyperlink" Target="http://clientes.infosis-arg.com:8090/pages/viewpage.action?pageId=21528577" TargetMode="External"/><Relationship Id="rId752" Type="http://schemas.openxmlformats.org/officeDocument/2006/relationships/hyperlink" Target="http://clientes.infosis-arg.com:8090/display/IMP/BULNES+AUSTRAL+SRL" TargetMode="External"/><Relationship Id="rId1341" Type="http://schemas.openxmlformats.org/officeDocument/2006/relationships/hyperlink" Target="https://crm.infosis.tech/crm/deal/details/6296/" TargetMode="External"/><Relationship Id="rId18" Type="http://schemas.openxmlformats.org/officeDocument/2006/relationships/hyperlink" Target="https://crm.infosis.tech/crm/deal/details/2425/" TargetMode="External"/><Relationship Id="rId751" Type="http://schemas.openxmlformats.org/officeDocument/2006/relationships/hyperlink" Target="https://crm.infosis.tech/crm/deal/details/4511/" TargetMode="External"/><Relationship Id="rId1342" Type="http://schemas.openxmlformats.org/officeDocument/2006/relationships/hyperlink" Target="https://crm.infosis.tech/crm/deal/details/6294/" TargetMode="External"/><Relationship Id="rId750" Type="http://schemas.openxmlformats.org/officeDocument/2006/relationships/hyperlink" Target="http://clientes.infosis-arg.com:8090/pages/viewpage.action?pageId=28049573" TargetMode="External"/><Relationship Id="rId1343" Type="http://schemas.openxmlformats.org/officeDocument/2006/relationships/hyperlink" Target="https://crm.infosis.tech/crm/deal/details/6310/" TargetMode="External"/><Relationship Id="rId1344" Type="http://schemas.openxmlformats.org/officeDocument/2006/relationships/hyperlink" Target="https://crm.infosis.tech/crm/deal/details/6324/" TargetMode="External"/><Relationship Id="rId84" Type="http://schemas.openxmlformats.org/officeDocument/2006/relationships/hyperlink" Target="http://clientes.infosis-arg.com:8090/pages/viewpage.action?pageId=26443827" TargetMode="External"/><Relationship Id="rId1774" Type="http://schemas.openxmlformats.org/officeDocument/2006/relationships/hyperlink" Target="https://crm.infosis.tech/crm/deal/details/10392/" TargetMode="External"/><Relationship Id="rId2621" Type="http://schemas.openxmlformats.org/officeDocument/2006/relationships/hyperlink" Target="https://crm.infosis.tech/crm/deal/details/25072/" TargetMode="External"/><Relationship Id="rId83" Type="http://schemas.openxmlformats.org/officeDocument/2006/relationships/hyperlink" Target="https://crm.infosis.tech/crm/deal/details/2737/" TargetMode="External"/><Relationship Id="rId1775" Type="http://schemas.openxmlformats.org/officeDocument/2006/relationships/hyperlink" Target="https://crm.infosis.tech/crm/deal/details/10502/" TargetMode="External"/><Relationship Id="rId2622" Type="http://schemas.openxmlformats.org/officeDocument/2006/relationships/hyperlink" Target="https://crm.infosis.tech/crm/deal/details/25314/" TargetMode="External"/><Relationship Id="rId86" Type="http://schemas.openxmlformats.org/officeDocument/2006/relationships/hyperlink" Target="http://clientes.infosis-arg.com:8090/pages/viewpage.action?pageId=26673424" TargetMode="External"/><Relationship Id="rId1776" Type="http://schemas.openxmlformats.org/officeDocument/2006/relationships/hyperlink" Target="https://crm.infosis.tech/crm/deal/details/10466/" TargetMode="External"/><Relationship Id="rId2623" Type="http://schemas.openxmlformats.org/officeDocument/2006/relationships/hyperlink" Target="https://crm.infosis.tech/crm/deal/details/25488/" TargetMode="External"/><Relationship Id="rId85" Type="http://schemas.openxmlformats.org/officeDocument/2006/relationships/hyperlink" Target="https://crm.infosis.tech/crm/deal/details/3193/" TargetMode="External"/><Relationship Id="rId1777" Type="http://schemas.openxmlformats.org/officeDocument/2006/relationships/hyperlink" Target="https://crm.infosis.tech/crm/deal/details/10492/" TargetMode="External"/><Relationship Id="rId2624" Type="http://schemas.openxmlformats.org/officeDocument/2006/relationships/hyperlink" Target="https://crm.infosis.tech/crm/deal/details/25412/" TargetMode="External"/><Relationship Id="rId88" Type="http://schemas.openxmlformats.org/officeDocument/2006/relationships/hyperlink" Target="http://clientes.infosis-arg.com:8090/pages/viewpage.action?pageId=25493506" TargetMode="External"/><Relationship Id="rId1778" Type="http://schemas.openxmlformats.org/officeDocument/2006/relationships/hyperlink" Target="https://crm.infosis.tech/crm/deal/details/10468/" TargetMode="External"/><Relationship Id="rId2625" Type="http://schemas.openxmlformats.org/officeDocument/2006/relationships/hyperlink" Target="https://crm.infosis.tech/crm/deal/details/25284/" TargetMode="External"/><Relationship Id="rId87" Type="http://schemas.openxmlformats.org/officeDocument/2006/relationships/hyperlink" Target="https://crm.infosis.tech/crm/deal/details/2487/" TargetMode="External"/><Relationship Id="rId1779" Type="http://schemas.openxmlformats.org/officeDocument/2006/relationships/hyperlink" Target="https://crm.infosis.tech/crm/deal/details/10444/" TargetMode="External"/><Relationship Id="rId2626" Type="http://schemas.openxmlformats.org/officeDocument/2006/relationships/hyperlink" Target="https://crm.infosis.tech/crm/deal/details/25440/" TargetMode="External"/><Relationship Id="rId2627" Type="http://schemas.openxmlformats.org/officeDocument/2006/relationships/hyperlink" Target="https://crm.infosis.tech/crm/deal/details/24952/" TargetMode="External"/><Relationship Id="rId89" Type="http://schemas.openxmlformats.org/officeDocument/2006/relationships/hyperlink" Target="https://crm.infosis.tech/crm/deal/details/2613/" TargetMode="External"/><Relationship Id="rId2628" Type="http://schemas.openxmlformats.org/officeDocument/2006/relationships/hyperlink" Target="https://crm.infosis.tech/crm/deal/details/24952/" TargetMode="External"/><Relationship Id="rId709" Type="http://schemas.openxmlformats.org/officeDocument/2006/relationships/hyperlink" Target="https://crm.infosis.tech/crm/deal/details/4475/" TargetMode="External"/><Relationship Id="rId2629" Type="http://schemas.openxmlformats.org/officeDocument/2006/relationships/hyperlink" Target="https://crm.infosis.tech/crm/deal/details/25478/" TargetMode="External"/><Relationship Id="rId708" Type="http://schemas.openxmlformats.org/officeDocument/2006/relationships/hyperlink" Target="http://clientes.infosis-arg.com:8090/display/IMP/ORTIZ+JUAN+CRUZ" TargetMode="External"/><Relationship Id="rId707" Type="http://schemas.openxmlformats.org/officeDocument/2006/relationships/hyperlink" Target="https://crm.infosis.tech/crm/deal/details/4465/" TargetMode="External"/><Relationship Id="rId706" Type="http://schemas.openxmlformats.org/officeDocument/2006/relationships/hyperlink" Target="http://clientes.infosis-arg.com:8090/display/IMP/RODRIGUEZ+REINOSO+FACUNDO" TargetMode="External"/><Relationship Id="rId80" Type="http://schemas.openxmlformats.org/officeDocument/2006/relationships/hyperlink" Target="http://clientes.infosis-arg.com:8090/pages/viewpage.action?pageId=26443783" TargetMode="External"/><Relationship Id="rId82" Type="http://schemas.openxmlformats.org/officeDocument/2006/relationships/hyperlink" Target="http://clientes.infosis-arg.com:8090/pages/viewpage.action?pageId=26443807" TargetMode="External"/><Relationship Id="rId81" Type="http://schemas.openxmlformats.org/officeDocument/2006/relationships/hyperlink" Target="https://crm.infosis.tech/crm/deal/details/2723/" TargetMode="External"/><Relationship Id="rId701" Type="http://schemas.openxmlformats.org/officeDocument/2006/relationships/hyperlink" Target="https://crm.infosis.tech/crm/deal/details/4213/" TargetMode="External"/><Relationship Id="rId700" Type="http://schemas.openxmlformats.org/officeDocument/2006/relationships/hyperlink" Target="http://clientes.infosis-arg.com:8090/pages/viewpage.action?pageId=28049510" TargetMode="External"/><Relationship Id="rId705" Type="http://schemas.openxmlformats.org/officeDocument/2006/relationships/hyperlink" Target="https://crm.infosis.tech/crm/deal/details/4473/" TargetMode="External"/><Relationship Id="rId704" Type="http://schemas.openxmlformats.org/officeDocument/2006/relationships/hyperlink" Target="http://clientes.infosis-arg.com:8090/display/IMP/ROVETTO+GABRIELA+ALEJANDRA_OC" TargetMode="External"/><Relationship Id="rId703" Type="http://schemas.openxmlformats.org/officeDocument/2006/relationships/hyperlink" Target="https://crm.infosis.tech/crm/deal/details/4469/" TargetMode="External"/><Relationship Id="rId702" Type="http://schemas.openxmlformats.org/officeDocument/2006/relationships/hyperlink" Target="http://clientes.infosis-arg.com:8090/display/IMP/FRANFELIRENU+S.R.L.+%234209" TargetMode="External"/><Relationship Id="rId1770" Type="http://schemas.openxmlformats.org/officeDocument/2006/relationships/hyperlink" Target="https://crm.infosis.tech/crm/deal/details/10032/" TargetMode="External"/><Relationship Id="rId1771" Type="http://schemas.openxmlformats.org/officeDocument/2006/relationships/hyperlink" Target="https://crm.infosis.tech/crm/deal/details/10418/" TargetMode="External"/><Relationship Id="rId1772" Type="http://schemas.openxmlformats.org/officeDocument/2006/relationships/hyperlink" Target="https://crm.infosis.tech/crm/deal/details/10400/" TargetMode="External"/><Relationship Id="rId1773" Type="http://schemas.openxmlformats.org/officeDocument/2006/relationships/hyperlink" Target="https://crm.infosis.tech/crm/deal/details/9074/" TargetMode="External"/><Relationship Id="rId2620" Type="http://schemas.openxmlformats.org/officeDocument/2006/relationships/hyperlink" Target="https://crm.infosis.tech/crm/deal/details/25320/" TargetMode="External"/><Relationship Id="rId73" Type="http://schemas.openxmlformats.org/officeDocument/2006/relationships/hyperlink" Target="https://crm.infosis.tech/crm/deal/details/2691/" TargetMode="External"/><Relationship Id="rId1763" Type="http://schemas.openxmlformats.org/officeDocument/2006/relationships/hyperlink" Target="https://crm.infosis.tech/crm/deal/details/10326/" TargetMode="External"/><Relationship Id="rId2610" Type="http://schemas.openxmlformats.org/officeDocument/2006/relationships/hyperlink" Target="https://crm.infosis.tech/crm/deal/details/24472/" TargetMode="External"/><Relationship Id="rId72" Type="http://schemas.openxmlformats.org/officeDocument/2006/relationships/hyperlink" Target="http://clientes.infosis-arg.com:8090/pages/viewpage.action?pageId=23625731" TargetMode="External"/><Relationship Id="rId1764" Type="http://schemas.openxmlformats.org/officeDocument/2006/relationships/hyperlink" Target="https://crm.infosis.tech/crm/deal/details/10282/" TargetMode="External"/><Relationship Id="rId2611" Type="http://schemas.openxmlformats.org/officeDocument/2006/relationships/hyperlink" Target="https://crm.infosis.tech/crm/deal/details/24472/" TargetMode="External"/><Relationship Id="rId75" Type="http://schemas.openxmlformats.org/officeDocument/2006/relationships/hyperlink" Target="https://crm.infosis.tech/crm/deal/details/2667/" TargetMode="External"/><Relationship Id="rId1765" Type="http://schemas.openxmlformats.org/officeDocument/2006/relationships/hyperlink" Target="https://crm.infosis.tech/crm/deal/details/10286/?any=details%2F10286%2F" TargetMode="External"/><Relationship Id="rId2612" Type="http://schemas.openxmlformats.org/officeDocument/2006/relationships/hyperlink" Target="https://crm.infosis.tech/crm/deal/details/24842/?any=details%2F24842%2F" TargetMode="External"/><Relationship Id="rId74" Type="http://schemas.openxmlformats.org/officeDocument/2006/relationships/hyperlink" Target="http://clientes.infosis-arg.com:8090/pages/viewpage.action?pageId=26443778" TargetMode="External"/><Relationship Id="rId1766" Type="http://schemas.openxmlformats.org/officeDocument/2006/relationships/hyperlink" Target="https://crm.infosis.tech/crm/deal/details/10398/" TargetMode="External"/><Relationship Id="rId2613" Type="http://schemas.openxmlformats.org/officeDocument/2006/relationships/hyperlink" Target="https://crm.infosis.tech/crm/deal/details/24388/?any=details%2F24388%2F" TargetMode="External"/><Relationship Id="rId77" Type="http://schemas.openxmlformats.org/officeDocument/2006/relationships/hyperlink" Target="https://crm.infosis.tech/crm/deal/details/1954/" TargetMode="External"/><Relationship Id="rId1767" Type="http://schemas.openxmlformats.org/officeDocument/2006/relationships/hyperlink" Target="https://crm.infosis.tech/crm/deal/details/10320/" TargetMode="External"/><Relationship Id="rId2614" Type="http://schemas.openxmlformats.org/officeDocument/2006/relationships/hyperlink" Target="https://crm.infosis.tech/crm/deal/details/24888/" TargetMode="External"/><Relationship Id="rId76" Type="http://schemas.openxmlformats.org/officeDocument/2006/relationships/hyperlink" Target="http://clientes.infosis-arg.com:8090/display/IMP/QUINTANA+SILVIA+ROSANA_OC" TargetMode="External"/><Relationship Id="rId1768" Type="http://schemas.openxmlformats.org/officeDocument/2006/relationships/hyperlink" Target="https://crm.infosis.tech/crm/deal/details/10238/" TargetMode="External"/><Relationship Id="rId2615" Type="http://schemas.openxmlformats.org/officeDocument/2006/relationships/hyperlink" Target="https://crm.infosis.tech/crm/deal/details/24964/" TargetMode="External"/><Relationship Id="rId79" Type="http://schemas.openxmlformats.org/officeDocument/2006/relationships/hyperlink" Target="https://crm.infosis.tech/crm/deal/details/2689/" TargetMode="External"/><Relationship Id="rId1769" Type="http://schemas.openxmlformats.org/officeDocument/2006/relationships/hyperlink" Target="https://crm.infosis.tech/crm/deal/details/10404/" TargetMode="External"/><Relationship Id="rId2616" Type="http://schemas.openxmlformats.org/officeDocument/2006/relationships/hyperlink" Target="https://crm.infosis.tech/crm/deal/details/25074/" TargetMode="External"/><Relationship Id="rId78" Type="http://schemas.openxmlformats.org/officeDocument/2006/relationships/hyperlink" Target="http://clientes.infosis-arg.com:8090/pages/viewpage.action?pageId=12288004" TargetMode="External"/><Relationship Id="rId2617" Type="http://schemas.openxmlformats.org/officeDocument/2006/relationships/hyperlink" Target="https://crm.infosis.tech/crm/deal/details/24690/" TargetMode="External"/><Relationship Id="rId2618" Type="http://schemas.openxmlformats.org/officeDocument/2006/relationships/hyperlink" Target="https://crm.infosis.tech/crm/deal/details/25246/" TargetMode="External"/><Relationship Id="rId2619" Type="http://schemas.openxmlformats.org/officeDocument/2006/relationships/hyperlink" Target="https://crm.infosis.tech/crm/deal/details/25250/" TargetMode="External"/><Relationship Id="rId71" Type="http://schemas.openxmlformats.org/officeDocument/2006/relationships/hyperlink" Target="https://crm.infosis.tech/crm/deal/details/2509/" TargetMode="External"/><Relationship Id="rId70" Type="http://schemas.openxmlformats.org/officeDocument/2006/relationships/hyperlink" Target="http://clientes.infosis-arg.com:8090/pages/viewpage.action?pageId=23625735" TargetMode="External"/><Relationship Id="rId1760" Type="http://schemas.openxmlformats.org/officeDocument/2006/relationships/hyperlink" Target="https://crm.infosis.tech/crm/deal/details/10298/?any=details%2F10298%2F" TargetMode="External"/><Relationship Id="rId1761" Type="http://schemas.openxmlformats.org/officeDocument/2006/relationships/hyperlink" Target="https://crm.infosis.tech/crm/deal/details/10284/" TargetMode="External"/><Relationship Id="rId1762" Type="http://schemas.openxmlformats.org/officeDocument/2006/relationships/hyperlink" Target="https://crm.infosis.tech/crm/deal/details/10304/" TargetMode="External"/><Relationship Id="rId62" Type="http://schemas.openxmlformats.org/officeDocument/2006/relationships/hyperlink" Target="http://clientes.infosis-arg.com:8090/pages/viewpage.action?pageId=20709384" TargetMode="External"/><Relationship Id="rId1312" Type="http://schemas.openxmlformats.org/officeDocument/2006/relationships/hyperlink" Target="https://crm.infosis.tech/crm/deal/details/6114/" TargetMode="External"/><Relationship Id="rId1796" Type="http://schemas.openxmlformats.org/officeDocument/2006/relationships/hyperlink" Target="https://crm.infosis.tech/crm/deal/details/10686/" TargetMode="External"/><Relationship Id="rId2643" Type="http://schemas.openxmlformats.org/officeDocument/2006/relationships/hyperlink" Target="https://crm.infosis.tech/crm/lead/details/58422/" TargetMode="External"/><Relationship Id="rId61" Type="http://schemas.openxmlformats.org/officeDocument/2006/relationships/hyperlink" Target="https://crm.infosis.tech/crm/deal/details/2330/" TargetMode="External"/><Relationship Id="rId1313" Type="http://schemas.openxmlformats.org/officeDocument/2006/relationships/hyperlink" Target="https://crm.infosis.tech/crm/deal/details/6118/" TargetMode="External"/><Relationship Id="rId1797" Type="http://schemas.openxmlformats.org/officeDocument/2006/relationships/hyperlink" Target="https://crm.infosis.tech/crm/deal/details/10746/" TargetMode="External"/><Relationship Id="rId2644" Type="http://schemas.openxmlformats.org/officeDocument/2006/relationships/hyperlink" Target="https://crm.infosis.tech/crm/deal/details/14040/?any=details%2F14040%2F" TargetMode="External"/><Relationship Id="rId64" Type="http://schemas.openxmlformats.org/officeDocument/2006/relationships/hyperlink" Target="http://clientes.infosis-arg.com:8090/pages/viewpage.action?pageId=21889040" TargetMode="External"/><Relationship Id="rId1314" Type="http://schemas.openxmlformats.org/officeDocument/2006/relationships/hyperlink" Target="https://crm.infosis.tech/crm/deal/details/6122/" TargetMode="External"/><Relationship Id="rId1798" Type="http://schemas.openxmlformats.org/officeDocument/2006/relationships/hyperlink" Target="https://crm.infosis.tech/crm/deal/details/10632/" TargetMode="External"/><Relationship Id="rId2645" Type="http://schemas.openxmlformats.org/officeDocument/2006/relationships/drawing" Target="../drawings/drawing1.xml"/><Relationship Id="rId63" Type="http://schemas.openxmlformats.org/officeDocument/2006/relationships/hyperlink" Target="https://crm.infosis.tech/crm/deal/details/2326/" TargetMode="External"/><Relationship Id="rId1315" Type="http://schemas.openxmlformats.org/officeDocument/2006/relationships/hyperlink" Target="https://crm.infosis.tech/crm/deal/details/6132/" TargetMode="External"/><Relationship Id="rId1799" Type="http://schemas.openxmlformats.org/officeDocument/2006/relationships/hyperlink" Target="https://crm.infosis.tech/crm/deal/details/10458/" TargetMode="External"/><Relationship Id="rId66" Type="http://schemas.openxmlformats.org/officeDocument/2006/relationships/hyperlink" Target="http://clientes.infosis-arg.com:8090/pages/viewpage.action?pageId=21102605" TargetMode="External"/><Relationship Id="rId1316" Type="http://schemas.openxmlformats.org/officeDocument/2006/relationships/hyperlink" Target="https://crm.infosis.tech/crm/deal/details/6138/" TargetMode="External"/><Relationship Id="rId65" Type="http://schemas.openxmlformats.org/officeDocument/2006/relationships/hyperlink" Target="https://crm.infosis.tech/crm/deal/details/2417/" TargetMode="External"/><Relationship Id="rId1317" Type="http://schemas.openxmlformats.org/officeDocument/2006/relationships/hyperlink" Target="https://crm.infosis.tech/crm/deal/details/6144/" TargetMode="External"/><Relationship Id="rId68" Type="http://schemas.openxmlformats.org/officeDocument/2006/relationships/hyperlink" Target="http://clientes.infosis-arg.com:8090/pages/viewpage.action?pageId=22904834" TargetMode="External"/><Relationship Id="rId1318" Type="http://schemas.openxmlformats.org/officeDocument/2006/relationships/hyperlink" Target="https://crm.infosis.tech/crm/deal/details/6150/" TargetMode="External"/><Relationship Id="rId67" Type="http://schemas.openxmlformats.org/officeDocument/2006/relationships/hyperlink" Target="https://crm.infosis.tech/crm/deal/details/1690/" TargetMode="External"/><Relationship Id="rId1319" Type="http://schemas.openxmlformats.org/officeDocument/2006/relationships/hyperlink" Target="https://crm.infosis.tech/crm/deal/details/6158/" TargetMode="External"/><Relationship Id="rId729" Type="http://schemas.openxmlformats.org/officeDocument/2006/relationships/hyperlink" Target="https://crm.infosis.tech/crm/deal/details/4487/" TargetMode="External"/><Relationship Id="rId728" Type="http://schemas.openxmlformats.org/officeDocument/2006/relationships/hyperlink" Target="http://clientes.infosis-arg.com:8090/pages/viewpage.action?pageId=27427024" TargetMode="External"/><Relationship Id="rId60" Type="http://schemas.openxmlformats.org/officeDocument/2006/relationships/hyperlink" Target="http://clientes.infosis-arg.com:8090/pages/viewpage.action?pageId=23134214" TargetMode="External"/><Relationship Id="rId723" Type="http://schemas.openxmlformats.org/officeDocument/2006/relationships/hyperlink" Target="https://crm.infosis.tech/crm/deal/details/4265/" TargetMode="External"/><Relationship Id="rId722" Type="http://schemas.openxmlformats.org/officeDocument/2006/relationships/hyperlink" Target="http://clientes.infosis-arg.com:8090/display/IMP/TOOLSEN+INC+S.A.S.+%234049" TargetMode="External"/><Relationship Id="rId721" Type="http://schemas.openxmlformats.org/officeDocument/2006/relationships/hyperlink" Target="https://crm.infosis.tech/crm/deal/details/4049/" TargetMode="External"/><Relationship Id="rId720" Type="http://schemas.openxmlformats.org/officeDocument/2006/relationships/hyperlink" Target="http://clientes.infosis-arg.com:8090/pages/viewpage.action?pageId=28049535" TargetMode="External"/><Relationship Id="rId727" Type="http://schemas.openxmlformats.org/officeDocument/2006/relationships/hyperlink" Target="https://crm.infosis.tech/crm/deal/details/4263/" TargetMode="External"/><Relationship Id="rId726" Type="http://schemas.openxmlformats.org/officeDocument/2006/relationships/hyperlink" Target="http://clientes.infosis-arg.com:8090/pages/viewpage.action?pageId=27623435" TargetMode="External"/><Relationship Id="rId725" Type="http://schemas.openxmlformats.org/officeDocument/2006/relationships/hyperlink" Target="https://crm.infosis.tech/crm/deal/details/4165/" TargetMode="External"/><Relationship Id="rId724" Type="http://schemas.openxmlformats.org/officeDocument/2006/relationships/hyperlink" Target="http://clientes.infosis-arg.com:8090/pages/viewpage.action?pageId=27623741" TargetMode="External"/><Relationship Id="rId69" Type="http://schemas.openxmlformats.org/officeDocument/2006/relationships/hyperlink" Target="https://crm.infosis.tech/crm/deal/details/2423/" TargetMode="External"/><Relationship Id="rId1790" Type="http://schemas.openxmlformats.org/officeDocument/2006/relationships/hyperlink" Target="https://crm.infosis.tech/crm/deal/details/10656/" TargetMode="External"/><Relationship Id="rId1791" Type="http://schemas.openxmlformats.org/officeDocument/2006/relationships/hyperlink" Target="https://crm.infosis.tech/crm/deal/details/10232/" TargetMode="External"/><Relationship Id="rId1792" Type="http://schemas.openxmlformats.org/officeDocument/2006/relationships/hyperlink" Target="https://crm.infosis.tech/crm/deal/details/10452/" TargetMode="External"/><Relationship Id="rId1793" Type="http://schemas.openxmlformats.org/officeDocument/2006/relationships/hyperlink" Target="https://crm.infosis.tech/crm/deal/details/10596/" TargetMode="External"/><Relationship Id="rId2640" Type="http://schemas.openxmlformats.org/officeDocument/2006/relationships/hyperlink" Target="https://crm.infosis.tech/crm/deal/details/25624/" TargetMode="External"/><Relationship Id="rId1310" Type="http://schemas.openxmlformats.org/officeDocument/2006/relationships/hyperlink" Target="https://crm.infosis.tech/crm/deal/details/6106/?IFRAME_TYPE=SIDE_SLIDER" TargetMode="External"/><Relationship Id="rId1794" Type="http://schemas.openxmlformats.org/officeDocument/2006/relationships/hyperlink" Target="https://crm.infosis.tech/crm/deal/details/10688/" TargetMode="External"/><Relationship Id="rId2641" Type="http://schemas.openxmlformats.org/officeDocument/2006/relationships/hyperlink" Target="https://crm.infosis.tech/crm/deal/details/24406/" TargetMode="External"/><Relationship Id="rId1311" Type="http://schemas.openxmlformats.org/officeDocument/2006/relationships/hyperlink" Target="https://crm.infosis.tech/crm/deal/details/6098/" TargetMode="External"/><Relationship Id="rId1795" Type="http://schemas.openxmlformats.org/officeDocument/2006/relationships/hyperlink" Target="https://crm.infosis.tech/crm/deal/details/10684/" TargetMode="External"/><Relationship Id="rId2642" Type="http://schemas.openxmlformats.org/officeDocument/2006/relationships/hyperlink" Target="https://crm.infosis.tech/crm/deal/details/25706/" TargetMode="External"/><Relationship Id="rId51" Type="http://schemas.openxmlformats.org/officeDocument/2006/relationships/hyperlink" Target="https://crm.infosis.tech/crm/deal/details/2483/" TargetMode="External"/><Relationship Id="rId1301" Type="http://schemas.openxmlformats.org/officeDocument/2006/relationships/hyperlink" Target="https://crm.infosis.tech/crm/deal/details/6028/" TargetMode="External"/><Relationship Id="rId1785" Type="http://schemas.openxmlformats.org/officeDocument/2006/relationships/hyperlink" Target="https://crm.infosis.tech/crm/deal/details/10098/" TargetMode="External"/><Relationship Id="rId2632" Type="http://schemas.openxmlformats.org/officeDocument/2006/relationships/hyperlink" Target="https://crm.infosis.tech/crm/deal/details/25616/-" TargetMode="External"/><Relationship Id="rId50" Type="http://schemas.openxmlformats.org/officeDocument/2006/relationships/hyperlink" Target="http://clientes.infosis-arg.com:8090/pages/viewpage.action?pageId=24379401" TargetMode="External"/><Relationship Id="rId1302" Type="http://schemas.openxmlformats.org/officeDocument/2006/relationships/hyperlink" Target="https://crm.infosis.tech/crm/deal/details/6032/" TargetMode="External"/><Relationship Id="rId1786" Type="http://schemas.openxmlformats.org/officeDocument/2006/relationships/hyperlink" Target="https://crm.infosis.tech/crm/deal/details/10482/" TargetMode="External"/><Relationship Id="rId2633" Type="http://schemas.openxmlformats.org/officeDocument/2006/relationships/hyperlink" Target="https://crm.infosis.tech/crm/deal/details/25660/" TargetMode="External"/><Relationship Id="rId53" Type="http://schemas.openxmlformats.org/officeDocument/2006/relationships/hyperlink" Target="https://crm.infosis.tech/crm/deal/details/2531/" TargetMode="External"/><Relationship Id="rId1303" Type="http://schemas.openxmlformats.org/officeDocument/2006/relationships/hyperlink" Target="https://crm.infosis.tech/crm/deal/details/6044/" TargetMode="External"/><Relationship Id="rId1787" Type="http://schemas.openxmlformats.org/officeDocument/2006/relationships/hyperlink" Target="https://crm.infosis.tech/crm/deal/details/10584/" TargetMode="External"/><Relationship Id="rId2634" Type="http://schemas.openxmlformats.org/officeDocument/2006/relationships/hyperlink" Target="https://crm.infosis.tech/crm/deal/details/25062/" TargetMode="External"/><Relationship Id="rId52" Type="http://schemas.openxmlformats.org/officeDocument/2006/relationships/hyperlink" Target="http://clientes.infosis-arg.com:8090/pages/viewpage.action?pageId=24018959" TargetMode="External"/><Relationship Id="rId1304" Type="http://schemas.openxmlformats.org/officeDocument/2006/relationships/hyperlink" Target="https://crm.infosis.tech/crm/deal/details/6060/" TargetMode="External"/><Relationship Id="rId1788" Type="http://schemas.openxmlformats.org/officeDocument/2006/relationships/hyperlink" Target="https://crm.infosis.tech/crm/deal/details/10634/" TargetMode="External"/><Relationship Id="rId2635" Type="http://schemas.openxmlformats.org/officeDocument/2006/relationships/hyperlink" Target="https://crm.infosis.tech/crm/deal/details/23478/" TargetMode="External"/><Relationship Id="rId55" Type="http://schemas.openxmlformats.org/officeDocument/2006/relationships/hyperlink" Target="https://crm.infosis.tech/crm/deal/details/2585/" TargetMode="External"/><Relationship Id="rId1305" Type="http://schemas.openxmlformats.org/officeDocument/2006/relationships/hyperlink" Target="https://crm.infosis.tech/crm/deal/details/6072/" TargetMode="External"/><Relationship Id="rId1789" Type="http://schemas.openxmlformats.org/officeDocument/2006/relationships/hyperlink" Target="https://crm.infosis.tech/crm/deal/details/10636/" TargetMode="External"/><Relationship Id="rId2636" Type="http://schemas.openxmlformats.org/officeDocument/2006/relationships/hyperlink" Target="https://crm.infosis.tech/crm/deal/details/25550/" TargetMode="External"/><Relationship Id="rId54" Type="http://schemas.openxmlformats.org/officeDocument/2006/relationships/hyperlink" Target="http://clientes.infosis-arg.com:8090/pages/viewpage.action?pageId=24379405" TargetMode="External"/><Relationship Id="rId1306" Type="http://schemas.openxmlformats.org/officeDocument/2006/relationships/hyperlink" Target="https://crm.infosis.tech/crm/deal/details/6076/?IFRAME_TYPE=SIDE_SLIDER" TargetMode="External"/><Relationship Id="rId2637" Type="http://schemas.openxmlformats.org/officeDocument/2006/relationships/hyperlink" Target="https://crm.infosis.tech/crm/deal/details/25678/" TargetMode="External"/><Relationship Id="rId57" Type="http://schemas.openxmlformats.org/officeDocument/2006/relationships/hyperlink" Target="https://crm.infosis.tech/crm/deal/details/2437/" TargetMode="External"/><Relationship Id="rId1307" Type="http://schemas.openxmlformats.org/officeDocument/2006/relationships/hyperlink" Target="https://crm.infosis.tech/crm/deal/details/6082/" TargetMode="External"/><Relationship Id="rId2638" Type="http://schemas.openxmlformats.org/officeDocument/2006/relationships/hyperlink" Target="https://crm.infosis.tech/crm/deal/details/25636/" TargetMode="External"/><Relationship Id="rId56" Type="http://schemas.openxmlformats.org/officeDocument/2006/relationships/hyperlink" Target="http://clientes.infosis-arg.com:8090/pages/viewpage.action?pageId=24379409" TargetMode="External"/><Relationship Id="rId1308" Type="http://schemas.openxmlformats.org/officeDocument/2006/relationships/hyperlink" Target="https://crm.infosis.tech/crm/deal/details/6090/" TargetMode="External"/><Relationship Id="rId2639" Type="http://schemas.openxmlformats.org/officeDocument/2006/relationships/hyperlink" Target="https://crm.infosis.tech/crm/deal/details/25624/" TargetMode="External"/><Relationship Id="rId1309" Type="http://schemas.openxmlformats.org/officeDocument/2006/relationships/hyperlink" Target="https://crm.infosis.tech/crm/deal/details/6092/?IFRAME_TYPE=SIDE_SLIDER" TargetMode="External"/><Relationship Id="rId719" Type="http://schemas.openxmlformats.org/officeDocument/2006/relationships/hyperlink" Target="https://crm.infosis.tech/crm/deal/details/4485/" TargetMode="External"/><Relationship Id="rId718" Type="http://schemas.openxmlformats.org/officeDocument/2006/relationships/hyperlink" Target="http://clientes.infosis-arg.com:8090/display/IMP/VICENTE+CAMARGO+QUISPE" TargetMode="External"/><Relationship Id="rId717" Type="http://schemas.openxmlformats.org/officeDocument/2006/relationships/hyperlink" Target="https://crm.infosis.tech/crm/deal/details/4267/" TargetMode="External"/><Relationship Id="rId712" Type="http://schemas.openxmlformats.org/officeDocument/2006/relationships/hyperlink" Target="http://clientes.infosis-arg.com:8090/display/IMP/Seal+SRL_OC" TargetMode="External"/><Relationship Id="rId711" Type="http://schemas.openxmlformats.org/officeDocument/2006/relationships/hyperlink" Target="https://crm.infosis.tech/crm/deal/details/4479/" TargetMode="External"/><Relationship Id="rId710" Type="http://schemas.openxmlformats.org/officeDocument/2006/relationships/hyperlink" Target="http://clientes.infosis-arg.com:8090/pages/viewpage.action?pageId=28049524" TargetMode="External"/><Relationship Id="rId716" Type="http://schemas.openxmlformats.org/officeDocument/2006/relationships/hyperlink" Target="http://clientes.infosis-arg.com:8090/pages/viewpage.action?pageId=28049533" TargetMode="External"/><Relationship Id="rId715" Type="http://schemas.openxmlformats.org/officeDocument/2006/relationships/hyperlink" Target="https://crm.infosis.tech/crm/deal/details/4483/" TargetMode="External"/><Relationship Id="rId714" Type="http://schemas.openxmlformats.org/officeDocument/2006/relationships/hyperlink" Target="http://clientes.infosis-arg.com:8090/pages/viewpage.action?pageId=28049531" TargetMode="External"/><Relationship Id="rId713" Type="http://schemas.openxmlformats.org/officeDocument/2006/relationships/hyperlink" Target="https://crm.infosis.tech/crm/deal/details/4481/" TargetMode="External"/><Relationship Id="rId59" Type="http://schemas.openxmlformats.org/officeDocument/2006/relationships/hyperlink" Target="https://crm.infosis.tech/crm/deal/details/2300/" TargetMode="External"/><Relationship Id="rId58" Type="http://schemas.openxmlformats.org/officeDocument/2006/relationships/hyperlink" Target="http://clientes.infosis-arg.com:8090/pages/viewpage.action?pageId=21889027" TargetMode="External"/><Relationship Id="rId1780" Type="http://schemas.openxmlformats.org/officeDocument/2006/relationships/hyperlink" Target="https://crm.infosis.tech/crm/deal/details/10546/" TargetMode="External"/><Relationship Id="rId1781" Type="http://schemas.openxmlformats.org/officeDocument/2006/relationships/hyperlink" Target="https://crm.infosis.tech/crm/deal/details/10430/" TargetMode="External"/><Relationship Id="rId1782" Type="http://schemas.openxmlformats.org/officeDocument/2006/relationships/hyperlink" Target="https://crm.infosis.tech/crm/deal/details/10530/" TargetMode="External"/><Relationship Id="rId1783" Type="http://schemas.openxmlformats.org/officeDocument/2006/relationships/hyperlink" Target="https://crm.infosis.tech/crm/deal/details/10296/" TargetMode="External"/><Relationship Id="rId2630" Type="http://schemas.openxmlformats.org/officeDocument/2006/relationships/hyperlink" Target="https://crm.infosis.tech/crm/deal/details/25434/" TargetMode="External"/><Relationship Id="rId1300" Type="http://schemas.openxmlformats.org/officeDocument/2006/relationships/hyperlink" Target="https://crm.infosis.tech/crm/deal/details/6026/" TargetMode="External"/><Relationship Id="rId1784" Type="http://schemas.openxmlformats.org/officeDocument/2006/relationships/hyperlink" Target="https://crm.infosis.tech/crm/deal/details/10476/" TargetMode="External"/><Relationship Id="rId2631" Type="http://schemas.openxmlformats.org/officeDocument/2006/relationships/hyperlink" Target="https://crm.infosis.tech/crm/deal/details/25472/" TargetMode="External"/><Relationship Id="rId2269" Type="http://schemas.openxmlformats.org/officeDocument/2006/relationships/hyperlink" Target="https://crm.infosis.tech/crm/deal/details/18438/?any=details%2F18438%2F" TargetMode="External"/><Relationship Id="rId349" Type="http://schemas.openxmlformats.org/officeDocument/2006/relationships/hyperlink" Target="http://clientes.infosis-arg.com:8090/pages/viewpage.action?pageId=27427089" TargetMode="External"/><Relationship Id="rId348" Type="http://schemas.openxmlformats.org/officeDocument/2006/relationships/hyperlink" Target="https://crm.infosis.tech/crm/deal/details/1998/" TargetMode="External"/><Relationship Id="rId347" Type="http://schemas.openxmlformats.org/officeDocument/2006/relationships/hyperlink" Target="http://clientes.infosis-arg.com:8090/pages/viewpage.action?pageId=27427084" TargetMode="External"/><Relationship Id="rId346" Type="http://schemas.openxmlformats.org/officeDocument/2006/relationships/hyperlink" Target="https://crm.infosis.tech/crm/deal/details/4021/" TargetMode="External"/><Relationship Id="rId2260" Type="http://schemas.openxmlformats.org/officeDocument/2006/relationships/hyperlink" Target="https://crm.infosis.tech/crm/deal/details/18346/" TargetMode="External"/><Relationship Id="rId341" Type="http://schemas.openxmlformats.org/officeDocument/2006/relationships/hyperlink" Target="http://clientes.infosis-arg.com:8090/pages/viewpage.action?pageId=27427039" TargetMode="External"/><Relationship Id="rId2261" Type="http://schemas.openxmlformats.org/officeDocument/2006/relationships/hyperlink" Target="https://crm.infosis.tech/crm/deal/details/18122/?any=details%2F18122%2F" TargetMode="External"/><Relationship Id="rId340" Type="http://schemas.openxmlformats.org/officeDocument/2006/relationships/hyperlink" Target="https://crm.infosis.tech/crm/deal/details/4015/" TargetMode="External"/><Relationship Id="rId2262" Type="http://schemas.openxmlformats.org/officeDocument/2006/relationships/hyperlink" Target="https://crm.infosis.tech/crm/deal/details/18464/" TargetMode="External"/><Relationship Id="rId2263" Type="http://schemas.openxmlformats.org/officeDocument/2006/relationships/hyperlink" Target="https://crm.infosis.tech/crm/deal/details/18456/?any=details%2F18456%2F" TargetMode="External"/><Relationship Id="rId2264" Type="http://schemas.openxmlformats.org/officeDocument/2006/relationships/hyperlink" Target="https://crm.infosis.tech/crm/deal/details/18526/" TargetMode="External"/><Relationship Id="rId345" Type="http://schemas.openxmlformats.org/officeDocument/2006/relationships/hyperlink" Target="http://clientes.infosis-arg.com:8090/pages/viewpage.action?pageId=27427067" TargetMode="External"/><Relationship Id="rId2265" Type="http://schemas.openxmlformats.org/officeDocument/2006/relationships/hyperlink" Target="https://crm.infosis.tech/crm/deal/details/18220/?any=details%2F18220%2F" TargetMode="External"/><Relationship Id="rId344" Type="http://schemas.openxmlformats.org/officeDocument/2006/relationships/hyperlink" Target="https://crm.infosis.tech/crm/deal/details/4019/" TargetMode="External"/><Relationship Id="rId2266" Type="http://schemas.openxmlformats.org/officeDocument/2006/relationships/hyperlink" Target="https://crm.infosis.tech/crm/deal/details/18462/" TargetMode="External"/><Relationship Id="rId343" Type="http://schemas.openxmlformats.org/officeDocument/2006/relationships/hyperlink" Target="http://clientes.infosis-arg.com:8090/pages/viewpage.action?pageId=27427060" TargetMode="External"/><Relationship Id="rId2267" Type="http://schemas.openxmlformats.org/officeDocument/2006/relationships/hyperlink" Target="https://crm.infosis.tech/crm/deal/details/18550/" TargetMode="External"/><Relationship Id="rId342" Type="http://schemas.openxmlformats.org/officeDocument/2006/relationships/hyperlink" Target="https://crm.infosis.tech/crm/deal/details/4017/" TargetMode="External"/><Relationship Id="rId2268" Type="http://schemas.openxmlformats.org/officeDocument/2006/relationships/hyperlink" Target="https://crm.infosis.tech/crm/deal/details/18534/" TargetMode="External"/><Relationship Id="rId2258" Type="http://schemas.openxmlformats.org/officeDocument/2006/relationships/hyperlink" Target="https://crm.infosis.tech/crm/deal/details/18340/" TargetMode="External"/><Relationship Id="rId2259" Type="http://schemas.openxmlformats.org/officeDocument/2006/relationships/hyperlink" Target="https://crm.infosis.tech/crm/deal/details/18144/" TargetMode="External"/><Relationship Id="rId338" Type="http://schemas.openxmlformats.org/officeDocument/2006/relationships/hyperlink" Target="https://crm.infosis.tech/crm/deal/details/4013/" TargetMode="External"/><Relationship Id="rId337" Type="http://schemas.openxmlformats.org/officeDocument/2006/relationships/hyperlink" Target="http://clientes.infosis-arg.com:809/" TargetMode="External"/><Relationship Id="rId336" Type="http://schemas.openxmlformats.org/officeDocument/2006/relationships/hyperlink" Target="https://crm.infosis.tech/crm/deal/details/92/" TargetMode="External"/><Relationship Id="rId335" Type="http://schemas.openxmlformats.org/officeDocument/2006/relationships/hyperlink" Target="http://clientes.infosis-arg.com:8090/pages/viewpage.action?pageId=27427018" TargetMode="External"/><Relationship Id="rId339" Type="http://schemas.openxmlformats.org/officeDocument/2006/relationships/hyperlink" Target="http://clientes.infosis-arg.com:8090/display/IMP/Konecta.+AGUSTIN+ROST" TargetMode="External"/><Relationship Id="rId330" Type="http://schemas.openxmlformats.org/officeDocument/2006/relationships/hyperlink" Target="https://crm.infosis.tech/crm/deal/details/4005/" TargetMode="External"/><Relationship Id="rId2250" Type="http://schemas.openxmlformats.org/officeDocument/2006/relationships/hyperlink" Target="https://crm.infosis.tech/crm/deal/details/15208/?any=details%2F15208%2F" TargetMode="External"/><Relationship Id="rId2251" Type="http://schemas.openxmlformats.org/officeDocument/2006/relationships/hyperlink" Target="https://crm.infosis.tech/crm/deal/details/17846/?any=details%2F17846%2F" TargetMode="External"/><Relationship Id="rId2252" Type="http://schemas.openxmlformats.org/officeDocument/2006/relationships/hyperlink" Target="https://crm.infosis.tech/crm/deal/details/18066/?any=details%2F18066%2F" TargetMode="External"/><Relationship Id="rId2253" Type="http://schemas.openxmlformats.org/officeDocument/2006/relationships/hyperlink" Target="https://crm.infosis.tech/crm/deal/details/18238/" TargetMode="External"/><Relationship Id="rId334" Type="http://schemas.openxmlformats.org/officeDocument/2006/relationships/hyperlink" Target="https://crm.infosis.tech/crm/deal/details/2907/" TargetMode="External"/><Relationship Id="rId2254" Type="http://schemas.openxmlformats.org/officeDocument/2006/relationships/hyperlink" Target="https://crm.infosis.tech/crm/deal/details/17844/" TargetMode="External"/><Relationship Id="rId333" Type="http://schemas.openxmlformats.org/officeDocument/2006/relationships/hyperlink" Target="http://clientes.infosis-arg.com:8090/pages/viewpage.action?pageId=27427043" TargetMode="External"/><Relationship Id="rId2255" Type="http://schemas.openxmlformats.org/officeDocument/2006/relationships/hyperlink" Target="https://crm.infosis.tech/crm/deal/details/18142/?any=details%2F18142%2F" TargetMode="External"/><Relationship Id="rId332" Type="http://schemas.openxmlformats.org/officeDocument/2006/relationships/hyperlink" Target="https://crm.infosis.tech/crm/deal/details/4011/" TargetMode="External"/><Relationship Id="rId2256" Type="http://schemas.openxmlformats.org/officeDocument/2006/relationships/hyperlink" Target="https://crm.infosis.tech/crm/deal/details/18258/" TargetMode="External"/><Relationship Id="rId331" Type="http://schemas.openxmlformats.org/officeDocument/2006/relationships/hyperlink" Target="http://clientes.infosis-arg.com:8090/pages/viewpage.action?pageId=27427030" TargetMode="External"/><Relationship Id="rId2257" Type="http://schemas.openxmlformats.org/officeDocument/2006/relationships/hyperlink" Target="https://crm.infosis.tech/crm/deal/details/18266/" TargetMode="External"/><Relationship Id="rId370" Type="http://schemas.openxmlformats.org/officeDocument/2006/relationships/hyperlink" Target="https://crm.infosis.tech/crm/deal/details/4049/" TargetMode="External"/><Relationship Id="rId369" Type="http://schemas.openxmlformats.org/officeDocument/2006/relationships/hyperlink" Target="http://clientes.infosis-arg.com:8090/display/IMP/JORGE+LUCAS+JALIL_OC" TargetMode="External"/><Relationship Id="rId368" Type="http://schemas.openxmlformats.org/officeDocument/2006/relationships/hyperlink" Target="https://crm.infosis.tech/crm/deal/details/4009/" TargetMode="External"/><Relationship Id="rId2280" Type="http://schemas.openxmlformats.org/officeDocument/2006/relationships/hyperlink" Target="https://crm.infosis.tech/crm/deal/details/18946/" TargetMode="External"/><Relationship Id="rId2281" Type="http://schemas.openxmlformats.org/officeDocument/2006/relationships/hyperlink" Target="https://crm.infosis.tech/crm/deal/details/19082/" TargetMode="External"/><Relationship Id="rId2282" Type="http://schemas.openxmlformats.org/officeDocument/2006/relationships/hyperlink" Target="https://crm.infosis.tech/crm/deal/details/18636/" TargetMode="External"/><Relationship Id="rId363" Type="http://schemas.openxmlformats.org/officeDocument/2006/relationships/hyperlink" Target="http://clientes.infosis-arg.com:8090/pages/viewpage.action?pageId=27427127" TargetMode="External"/><Relationship Id="rId2283" Type="http://schemas.openxmlformats.org/officeDocument/2006/relationships/hyperlink" Target="https://crm.infosis.tech/crm/deal/details/18948/" TargetMode="External"/><Relationship Id="rId362" Type="http://schemas.openxmlformats.org/officeDocument/2006/relationships/hyperlink" Target="https://crm.infosis.tech/crm/deal/details/4039/" TargetMode="External"/><Relationship Id="rId2284" Type="http://schemas.openxmlformats.org/officeDocument/2006/relationships/hyperlink" Target="https://crm.infosis.tech/crm/deal/details/18700/?any=details%2F18700%2F" TargetMode="External"/><Relationship Id="rId361" Type="http://schemas.openxmlformats.org/officeDocument/2006/relationships/hyperlink" Target="http://clientes.infosis-arg.com:8090/pages/viewpage.action?pageId=27427123" TargetMode="External"/><Relationship Id="rId2285" Type="http://schemas.openxmlformats.org/officeDocument/2006/relationships/hyperlink" Target="https://crm.infosis.tech/crm/deal/details/18934/" TargetMode="External"/><Relationship Id="rId360" Type="http://schemas.openxmlformats.org/officeDocument/2006/relationships/hyperlink" Target="https://crm.infosis.tech/crm/deal/details/4038/" TargetMode="External"/><Relationship Id="rId2286" Type="http://schemas.openxmlformats.org/officeDocument/2006/relationships/hyperlink" Target="https://crm.infosis.tech/crm/deal/details/19210/" TargetMode="External"/><Relationship Id="rId367" Type="http://schemas.openxmlformats.org/officeDocument/2006/relationships/hyperlink" Target="http://clientes.infosis-arg.com:8090/pages/viewpage.action?pageId=27427135" TargetMode="External"/><Relationship Id="rId2287" Type="http://schemas.openxmlformats.org/officeDocument/2006/relationships/hyperlink" Target="https://crm.infosis.tech/crm/deal/details/19210/" TargetMode="External"/><Relationship Id="rId366" Type="http://schemas.openxmlformats.org/officeDocument/2006/relationships/hyperlink" Target="https://crm.infosis.tech/crm/deal/details/4045/" TargetMode="External"/><Relationship Id="rId2288" Type="http://schemas.openxmlformats.org/officeDocument/2006/relationships/hyperlink" Target="https://crm.infosis.tech/crm/deal/details/19260/" TargetMode="External"/><Relationship Id="rId365" Type="http://schemas.openxmlformats.org/officeDocument/2006/relationships/hyperlink" Target="http://clientes.infosis-arg.com:8090/pages/viewpage.action?pageId=27427115" TargetMode="External"/><Relationship Id="rId2289" Type="http://schemas.openxmlformats.org/officeDocument/2006/relationships/hyperlink" Target="https://crm.infosis.tech/crm/deal/details/18728/" TargetMode="External"/><Relationship Id="rId364" Type="http://schemas.openxmlformats.org/officeDocument/2006/relationships/hyperlink" Target="https://crm.infosis.tech/crm/deal/details/4031/" TargetMode="External"/><Relationship Id="rId95" Type="http://schemas.openxmlformats.org/officeDocument/2006/relationships/hyperlink" Target="http://clientes.infosis-arg.com:8090/display/IMP/BR+Servicios+Financieros+S.A.U._OC" TargetMode="External"/><Relationship Id="rId94" Type="http://schemas.openxmlformats.org/officeDocument/2006/relationships/hyperlink" Target="http://clientes.infosis-arg.com:8090/display/IMP/SCHMIDT+CESAR+JAVIER+%28Sonafranka%29+%23Neg2268" TargetMode="External"/><Relationship Id="rId97" Type="http://schemas.openxmlformats.org/officeDocument/2006/relationships/hyperlink" Target="http://clientes.infosis-arg.com:8090/pages/viewpage.action?pageId=26673196" TargetMode="External"/><Relationship Id="rId96" Type="http://schemas.openxmlformats.org/officeDocument/2006/relationships/hyperlink" Target="https://crm.infosis.tech/crm/deal/details/2781/" TargetMode="External"/><Relationship Id="rId99" Type="http://schemas.openxmlformats.org/officeDocument/2006/relationships/hyperlink" Target="http://clientes.infosis-arg.com:8090/display/IMP/Bite+-+Amplia+DB" TargetMode="External"/><Relationship Id="rId98" Type="http://schemas.openxmlformats.org/officeDocument/2006/relationships/hyperlink" Target="https://crm.infosis.tech/crm/deal/details/2781/" TargetMode="External"/><Relationship Id="rId91" Type="http://schemas.openxmlformats.org/officeDocument/2006/relationships/hyperlink" Target="https://crm.infosis.tech/crm/deal/details/2645/" TargetMode="External"/><Relationship Id="rId90" Type="http://schemas.openxmlformats.org/officeDocument/2006/relationships/hyperlink" Target="http://clientes.infosis-arg.com:8090/pages/viewpage.action?pageId=26050571" TargetMode="External"/><Relationship Id="rId93" Type="http://schemas.openxmlformats.org/officeDocument/2006/relationships/hyperlink" Target="https://crm.infosis.tech/crm/deal/details/2268/" TargetMode="External"/><Relationship Id="rId92" Type="http://schemas.openxmlformats.org/officeDocument/2006/relationships/hyperlink" Target="http://clientes.infosis-arg.com:8090/pages/viewpage.action?pageId=26443831" TargetMode="External"/><Relationship Id="rId359" Type="http://schemas.openxmlformats.org/officeDocument/2006/relationships/hyperlink" Target="http://clientes.infosis-arg.com:8090/pages/viewpage.action?pageId=27427119" TargetMode="External"/><Relationship Id="rId358" Type="http://schemas.openxmlformats.org/officeDocument/2006/relationships/hyperlink" Target="https://crm.infosis.tech/crm/deal/details/4033/" TargetMode="External"/><Relationship Id="rId357" Type="http://schemas.openxmlformats.org/officeDocument/2006/relationships/hyperlink" Target="http://clientes.infosis-arg.com:8090/pages/viewpage.action?pageId=27427113" TargetMode="External"/><Relationship Id="rId2270" Type="http://schemas.openxmlformats.org/officeDocument/2006/relationships/hyperlink" Target="https://crm.infosis.tech/crm/deal/details/18586/" TargetMode="External"/><Relationship Id="rId2271" Type="http://schemas.openxmlformats.org/officeDocument/2006/relationships/hyperlink" Target="https://crm.infosis.tech/crm/deal/details/16166/?any=details%2F16166%2F" TargetMode="External"/><Relationship Id="rId352" Type="http://schemas.openxmlformats.org/officeDocument/2006/relationships/hyperlink" Target="https://crm.infosis.tech/crm/deal/details/4023/" TargetMode="External"/><Relationship Id="rId2272" Type="http://schemas.openxmlformats.org/officeDocument/2006/relationships/hyperlink" Target="https://crm.infosis.tech/crm/deal/details/18124/" TargetMode="External"/><Relationship Id="rId351" Type="http://schemas.openxmlformats.org/officeDocument/2006/relationships/hyperlink" Target="http://clientes.infosis-arg.com:8090/pages/viewpage.action?pageId=27427080" TargetMode="External"/><Relationship Id="rId2273" Type="http://schemas.openxmlformats.org/officeDocument/2006/relationships/hyperlink" Target="https://crm.infosis.tech/crm/deal/details/18124/" TargetMode="External"/><Relationship Id="rId350" Type="http://schemas.openxmlformats.org/officeDocument/2006/relationships/hyperlink" Target="https://crm.infosis.tech/crm/deal/details/3685/" TargetMode="External"/><Relationship Id="rId2274" Type="http://schemas.openxmlformats.org/officeDocument/2006/relationships/hyperlink" Target="https://crm.infosis.tech/crm/deal/details/18612/?any=details%2F18612%2F" TargetMode="External"/><Relationship Id="rId2275" Type="http://schemas.openxmlformats.org/officeDocument/2006/relationships/hyperlink" Target="https://crm.infosis.tech/crm/deal/details/18638/" TargetMode="External"/><Relationship Id="rId356" Type="http://schemas.openxmlformats.org/officeDocument/2006/relationships/hyperlink" Target="https://crm.infosis.tech/crm/deal/details/4029/" TargetMode="External"/><Relationship Id="rId2276" Type="http://schemas.openxmlformats.org/officeDocument/2006/relationships/hyperlink" Target="https://crm.infosis.tech/crm/deal/details/18680/" TargetMode="External"/><Relationship Id="rId355" Type="http://schemas.openxmlformats.org/officeDocument/2006/relationships/hyperlink" Target="http://clientes.infosis-arg.com:8090/display/IMP/GALLO+RITA+DEL+VALLE_OC" TargetMode="External"/><Relationship Id="rId2277" Type="http://schemas.openxmlformats.org/officeDocument/2006/relationships/hyperlink" Target="https://crm.infosis.tech/crm/deal/details/18376/?any=details%2F18376%2F" TargetMode="External"/><Relationship Id="rId354" Type="http://schemas.openxmlformats.org/officeDocument/2006/relationships/hyperlink" Target="https://crm.infosis.tech/crm/deal/details/4025/" TargetMode="External"/><Relationship Id="rId2278" Type="http://schemas.openxmlformats.org/officeDocument/2006/relationships/hyperlink" Target="https://crm.infosis.tech/crm/deal/details/18522/" TargetMode="External"/><Relationship Id="rId353" Type="http://schemas.openxmlformats.org/officeDocument/2006/relationships/hyperlink" Target="http://clientes.infosis-arg.com:8090/pages/viewpage.action?pageId=27427101" TargetMode="External"/><Relationship Id="rId2279" Type="http://schemas.openxmlformats.org/officeDocument/2006/relationships/hyperlink" Target="https://crm.infosis.tech/crm/deal/details/18522/" TargetMode="External"/><Relationship Id="rId1378" Type="http://schemas.openxmlformats.org/officeDocument/2006/relationships/hyperlink" Target="https://crm.infosis.tech/crm/deal/details/6520/" TargetMode="External"/><Relationship Id="rId2225" Type="http://schemas.openxmlformats.org/officeDocument/2006/relationships/hyperlink" Target="https://crm.infosis.tech/crm/deal/details/17184/?any=details%2F17184%2F" TargetMode="External"/><Relationship Id="rId1379" Type="http://schemas.openxmlformats.org/officeDocument/2006/relationships/hyperlink" Target="https://crm.infosis.tech/crm/deal/details/6538/" TargetMode="External"/><Relationship Id="rId2226" Type="http://schemas.openxmlformats.org/officeDocument/2006/relationships/hyperlink" Target="https://crm.infosis.tech/crm/deal/details/17772/" TargetMode="External"/><Relationship Id="rId2227" Type="http://schemas.openxmlformats.org/officeDocument/2006/relationships/hyperlink" Target="https://crm.infosis.tech/crm/deal/details/17624/" TargetMode="External"/><Relationship Id="rId2228" Type="http://schemas.openxmlformats.org/officeDocument/2006/relationships/hyperlink" Target="https://crm.infosis.tech/crm/deal/details/17784/" TargetMode="External"/><Relationship Id="rId2229" Type="http://schemas.openxmlformats.org/officeDocument/2006/relationships/hyperlink" Target="https://crm.infosis.tech/crm/deal/details/17764/?any=details%2F17764%2F" TargetMode="External"/><Relationship Id="rId305" Type="http://schemas.openxmlformats.org/officeDocument/2006/relationships/hyperlink" Target="http://clientes.infosis-arg.com:8090/pages/viewpage.action?pageId=27426849" TargetMode="External"/><Relationship Id="rId789" Type="http://schemas.openxmlformats.org/officeDocument/2006/relationships/hyperlink" Target="https://crm.infosis.tech/crm/deal/details/4293/" TargetMode="External"/><Relationship Id="rId304" Type="http://schemas.openxmlformats.org/officeDocument/2006/relationships/hyperlink" Target="https://crm.infosis.tech/crm/deal/details/3921/" TargetMode="External"/><Relationship Id="rId788" Type="http://schemas.openxmlformats.org/officeDocument/2006/relationships/hyperlink" Target="http://clientes.infosis-arg.com:8090/pages/viewpage.action?pageId=28049670" TargetMode="External"/><Relationship Id="rId303" Type="http://schemas.openxmlformats.org/officeDocument/2006/relationships/hyperlink" Target="http://clientes.infosis-arg.com:8090/display/IMP/Elephant+Design+SAS" TargetMode="External"/><Relationship Id="rId787" Type="http://schemas.openxmlformats.org/officeDocument/2006/relationships/hyperlink" Target="https://crm.infosis.tech/crm/deal/details/4545/" TargetMode="External"/><Relationship Id="rId302" Type="http://schemas.openxmlformats.org/officeDocument/2006/relationships/hyperlink" Target="https://crm.infosis.tech/crm/deal/details/3767/" TargetMode="External"/><Relationship Id="rId786" Type="http://schemas.openxmlformats.org/officeDocument/2006/relationships/hyperlink" Target="http://clientes.infosis-arg.com:8090/pages/viewpage.action?pageId=28049644" TargetMode="External"/><Relationship Id="rId309" Type="http://schemas.openxmlformats.org/officeDocument/2006/relationships/hyperlink" Target="http://clientes.infosis-arg.com:8090/pages/viewpage.action?pageId=27426933" TargetMode="External"/><Relationship Id="rId308" Type="http://schemas.openxmlformats.org/officeDocument/2006/relationships/hyperlink" Target="https://crm.infosis.tech/crm/deal/details/3983/" TargetMode="External"/><Relationship Id="rId307" Type="http://schemas.openxmlformats.org/officeDocument/2006/relationships/hyperlink" Target="http://clientes.infosis-arg.com:8090/pages/viewpage.action?pageId=27426857" TargetMode="External"/><Relationship Id="rId306" Type="http://schemas.openxmlformats.org/officeDocument/2006/relationships/hyperlink" Target="https://crm.infosis.tech/crm/deal/details/3985/" TargetMode="External"/><Relationship Id="rId781" Type="http://schemas.openxmlformats.org/officeDocument/2006/relationships/hyperlink" Target="https://crm.infosis.tech/crm/lead/details/31441/" TargetMode="External"/><Relationship Id="rId1370" Type="http://schemas.openxmlformats.org/officeDocument/2006/relationships/hyperlink" Target="https://crm.infosis.tech/crm/deal/details/6488/" TargetMode="External"/><Relationship Id="rId780" Type="http://schemas.openxmlformats.org/officeDocument/2006/relationships/hyperlink" Target="http://clientes.infosis-arg.com:8090/pages/viewpage.action?pageId=28049652" TargetMode="External"/><Relationship Id="rId1371" Type="http://schemas.openxmlformats.org/officeDocument/2006/relationships/hyperlink" Target="https://crm.infosis.tech/crm/deal/details/6494/" TargetMode="External"/><Relationship Id="rId1372" Type="http://schemas.openxmlformats.org/officeDocument/2006/relationships/hyperlink" Target="https://crm.infosis.tech/crm/deal/details/6496/" TargetMode="External"/><Relationship Id="rId1373" Type="http://schemas.openxmlformats.org/officeDocument/2006/relationships/hyperlink" Target="https://crm.infosis.tech/crm/deal/details/6506/?IFRAME_TYPE=SIDE_SLIDER&amp;any=details%2F6506%2F" TargetMode="External"/><Relationship Id="rId2220" Type="http://schemas.openxmlformats.org/officeDocument/2006/relationships/hyperlink" Target="https://crm.infosis.tech/crm/deal/details/17616/" TargetMode="External"/><Relationship Id="rId301" Type="http://schemas.openxmlformats.org/officeDocument/2006/relationships/hyperlink" Target="http://clientes.infosis-arg.com:8090/pages/viewpage.action?pageId=27426912" TargetMode="External"/><Relationship Id="rId785" Type="http://schemas.openxmlformats.org/officeDocument/2006/relationships/hyperlink" Target="https://crm.infosis.tech/crm/deal/details/4543/" TargetMode="External"/><Relationship Id="rId1374" Type="http://schemas.openxmlformats.org/officeDocument/2006/relationships/hyperlink" Target="https://crm.infosis.tech/crm/deal/details/6512/" TargetMode="External"/><Relationship Id="rId2221" Type="http://schemas.openxmlformats.org/officeDocument/2006/relationships/hyperlink" Target="https://crm.infosis.tech/crm/deal/details/17546/" TargetMode="External"/><Relationship Id="rId300" Type="http://schemas.openxmlformats.org/officeDocument/2006/relationships/hyperlink" Target="https://crm.infosis.tech/crm/deal/details/3913/" TargetMode="External"/><Relationship Id="rId784" Type="http://schemas.openxmlformats.org/officeDocument/2006/relationships/hyperlink" Target="http://clientes.infosis-arg.com:8090/display/IMP/Megamix+-+Bazar+y+Cia+-+Ampl+-+4537" TargetMode="External"/><Relationship Id="rId1375" Type="http://schemas.openxmlformats.org/officeDocument/2006/relationships/hyperlink" Target="https://crm.infosis.tech/crm/deal/details/6456/" TargetMode="External"/><Relationship Id="rId2222" Type="http://schemas.openxmlformats.org/officeDocument/2006/relationships/hyperlink" Target="https://crm.infosis.tech/crm/deal/details/17732/" TargetMode="External"/><Relationship Id="rId783" Type="http://schemas.openxmlformats.org/officeDocument/2006/relationships/hyperlink" Target="https://crm.infosis.tech/crm/deal/details/4537/" TargetMode="External"/><Relationship Id="rId1376" Type="http://schemas.openxmlformats.org/officeDocument/2006/relationships/hyperlink" Target="https://crm.infosis.tech/crm/deal/details/6454/" TargetMode="External"/><Relationship Id="rId2223" Type="http://schemas.openxmlformats.org/officeDocument/2006/relationships/hyperlink" Target="https://crm.infosis.tech/crm/deal/details/17290/?any=details%2F17290%2F" TargetMode="External"/><Relationship Id="rId782" Type="http://schemas.openxmlformats.org/officeDocument/2006/relationships/hyperlink" Target="http://clientes.infosis-arg.com:8090/pages/viewpage.action?pageId=28049654" TargetMode="External"/><Relationship Id="rId1377" Type="http://schemas.openxmlformats.org/officeDocument/2006/relationships/hyperlink" Target="https://crm.infosis.tech/crm/deal/details/6522/" TargetMode="External"/><Relationship Id="rId2224" Type="http://schemas.openxmlformats.org/officeDocument/2006/relationships/hyperlink" Target="https://crm.infosis.tech/crm/deal/details/17724/" TargetMode="External"/><Relationship Id="rId1367" Type="http://schemas.openxmlformats.org/officeDocument/2006/relationships/hyperlink" Target="https://crm.infosis.tech/crm/deal/details/6466" TargetMode="External"/><Relationship Id="rId2214" Type="http://schemas.openxmlformats.org/officeDocument/2006/relationships/hyperlink" Target="https://crm.infosis.tech/crm/deal/details/17316/?any=details%2F17316%2F" TargetMode="External"/><Relationship Id="rId1368" Type="http://schemas.openxmlformats.org/officeDocument/2006/relationships/hyperlink" Target="https://crm.infosis.tech/crm/deal/details/6472/" TargetMode="External"/><Relationship Id="rId2215" Type="http://schemas.openxmlformats.org/officeDocument/2006/relationships/hyperlink" Target="https://crm.infosis.tech/crm/deal/details/17176/" TargetMode="External"/><Relationship Id="rId1369" Type="http://schemas.openxmlformats.org/officeDocument/2006/relationships/hyperlink" Target="https://crm.infosis.tech/crm/deal/details/6482" TargetMode="External"/><Relationship Id="rId2216" Type="http://schemas.openxmlformats.org/officeDocument/2006/relationships/hyperlink" Target="https://crm.infosis.tech/crm/deal/details/17572/" TargetMode="External"/><Relationship Id="rId2217" Type="http://schemas.openxmlformats.org/officeDocument/2006/relationships/hyperlink" Target="https://crm.infosis.tech/crm/deal/details/17562/?any=details%2F17562%2F" TargetMode="External"/><Relationship Id="rId2218" Type="http://schemas.openxmlformats.org/officeDocument/2006/relationships/hyperlink" Target="https://crm.infosis.tech/crm/deal/details/17598/?any=details%2F17598%2F" TargetMode="External"/><Relationship Id="rId2219" Type="http://schemas.openxmlformats.org/officeDocument/2006/relationships/hyperlink" Target="https://crm.infosis.tech/crm/deal/details/17594/" TargetMode="External"/><Relationship Id="rId778" Type="http://schemas.openxmlformats.org/officeDocument/2006/relationships/hyperlink" Target="http://clientes.infosis-arg.com:8090/pages/viewpage.action?pageId=28049628" TargetMode="External"/><Relationship Id="rId777" Type="http://schemas.openxmlformats.org/officeDocument/2006/relationships/hyperlink" Target="https://crm.infosis.tech/crm/deal/details/4535/" TargetMode="External"/><Relationship Id="rId776" Type="http://schemas.openxmlformats.org/officeDocument/2006/relationships/hyperlink" Target="http://clientes.infosis-arg.com:8090/display/IMP/Bazar+Mandarin+SRL+-+4533" TargetMode="External"/><Relationship Id="rId775" Type="http://schemas.openxmlformats.org/officeDocument/2006/relationships/hyperlink" Target="https://crm.infosis.tech/crm/deal/details/4533/" TargetMode="External"/><Relationship Id="rId779" Type="http://schemas.openxmlformats.org/officeDocument/2006/relationships/hyperlink" Target="https://crm.infosis.tech/crm/deal/details/4539/" TargetMode="External"/><Relationship Id="rId770" Type="http://schemas.openxmlformats.org/officeDocument/2006/relationships/hyperlink" Target="http://clientes.infosis-arg.com:8090/pages/viewpage.action?pageId=28049608" TargetMode="External"/><Relationship Id="rId1360" Type="http://schemas.openxmlformats.org/officeDocument/2006/relationships/hyperlink" Target="https://crm.infosis.tech/crm/deal/details/6422/" TargetMode="External"/><Relationship Id="rId1361" Type="http://schemas.openxmlformats.org/officeDocument/2006/relationships/hyperlink" Target="https://crm.infosis.tech/crm/deal/details/6430/" TargetMode="External"/><Relationship Id="rId1362" Type="http://schemas.openxmlformats.org/officeDocument/2006/relationships/hyperlink" Target="https://crm.infosis.tech/crm/deal/details/6436/" TargetMode="External"/><Relationship Id="rId774" Type="http://schemas.openxmlformats.org/officeDocument/2006/relationships/hyperlink" Target="http://clientes.infosis-arg.com:8090/pages/viewpage.action?pageId=28049633" TargetMode="External"/><Relationship Id="rId1363" Type="http://schemas.openxmlformats.org/officeDocument/2006/relationships/hyperlink" Target="https://crm.infosis.tech/crm/deal/details/6442/" TargetMode="External"/><Relationship Id="rId2210" Type="http://schemas.openxmlformats.org/officeDocument/2006/relationships/hyperlink" Target="https://crm.infosis.tech/crm/deal/details/17110/" TargetMode="External"/><Relationship Id="rId773" Type="http://schemas.openxmlformats.org/officeDocument/2006/relationships/hyperlink" Target="https://crm.infosis.tech/crm/deal/details/4531/" TargetMode="External"/><Relationship Id="rId1364" Type="http://schemas.openxmlformats.org/officeDocument/2006/relationships/hyperlink" Target="https://crm.infosis.tech/crm/deal/details/6446/" TargetMode="External"/><Relationship Id="rId2211" Type="http://schemas.openxmlformats.org/officeDocument/2006/relationships/hyperlink" Target="https://crm.infosis.tech/crm/deal/details/17480/" TargetMode="External"/><Relationship Id="rId772" Type="http://schemas.openxmlformats.org/officeDocument/2006/relationships/hyperlink" Target="http://clientes.infosis-arg.com:8090/pages/viewpage.action?pageId=28049623" TargetMode="External"/><Relationship Id="rId1365" Type="http://schemas.openxmlformats.org/officeDocument/2006/relationships/hyperlink" Target="https://crm.infosis.tech/crm/deal/details/6458" TargetMode="External"/><Relationship Id="rId2212" Type="http://schemas.openxmlformats.org/officeDocument/2006/relationships/hyperlink" Target="https://crm.infosis.tech/crm/deal/details/17474/" TargetMode="External"/><Relationship Id="rId771" Type="http://schemas.openxmlformats.org/officeDocument/2006/relationships/hyperlink" Target="https://crm.infosis.tech/crm/deal/details/4529/" TargetMode="External"/><Relationship Id="rId1366" Type="http://schemas.openxmlformats.org/officeDocument/2006/relationships/hyperlink" Target="https://crm.infosis.tech/crm/deal/details/6460" TargetMode="External"/><Relationship Id="rId2213" Type="http://schemas.openxmlformats.org/officeDocument/2006/relationships/hyperlink" Target="https://crm.infosis.tech/crm/deal/details/17192/?any=details%2F17192%2F" TargetMode="External"/><Relationship Id="rId2247" Type="http://schemas.openxmlformats.org/officeDocument/2006/relationships/hyperlink" Target="https://crm.infosis.tech/crm/deal/details/17828/?any=details%2F17828%2F" TargetMode="External"/><Relationship Id="rId2248" Type="http://schemas.openxmlformats.org/officeDocument/2006/relationships/hyperlink" Target="https://crm.infosis.tech/crm/deal/details/18116/" TargetMode="External"/><Relationship Id="rId2249" Type="http://schemas.openxmlformats.org/officeDocument/2006/relationships/hyperlink" Target="https://crm.infosis.tech/crm/deal/details/18158/" TargetMode="External"/><Relationship Id="rId327" Type="http://schemas.openxmlformats.org/officeDocument/2006/relationships/hyperlink" Target="http://clientes.infosis-arg.com:8090/display/IMP/REYNOSO+MARCELA+ESTER_OC" TargetMode="External"/><Relationship Id="rId326" Type="http://schemas.openxmlformats.org/officeDocument/2006/relationships/hyperlink" Target="https://crm.infosis.tech/crm/deal/details/3995/" TargetMode="External"/><Relationship Id="rId325" Type="http://schemas.openxmlformats.org/officeDocument/2006/relationships/hyperlink" Target="http://clientes.infosis-arg.com:8090/pages/viewpage.action?pageId=27426998" TargetMode="External"/><Relationship Id="rId324" Type="http://schemas.openxmlformats.org/officeDocument/2006/relationships/hyperlink" Target="https://crm.infosis.tech/crm/deal/details/4001/" TargetMode="External"/><Relationship Id="rId329" Type="http://schemas.openxmlformats.org/officeDocument/2006/relationships/hyperlink" Target="http://clientes.infosis-arg.com:8090/pages/viewpage.action?pageId=27426978" TargetMode="External"/><Relationship Id="rId1390" Type="http://schemas.openxmlformats.org/officeDocument/2006/relationships/hyperlink" Target="https://crm.infosis.tech/crm/deal/details/6604/" TargetMode="External"/><Relationship Id="rId328" Type="http://schemas.openxmlformats.org/officeDocument/2006/relationships/hyperlink" Target="https://crm.infosis.tech/crm/deal/details/4003/" TargetMode="External"/><Relationship Id="rId1391" Type="http://schemas.openxmlformats.org/officeDocument/2006/relationships/hyperlink" Target="https://crm.infosis.tech/crm/deal/details/6610/" TargetMode="External"/><Relationship Id="rId1392" Type="http://schemas.openxmlformats.org/officeDocument/2006/relationships/hyperlink" Target="https://crm.infosis.tech/crm/deal/details/6616/" TargetMode="External"/><Relationship Id="rId1393" Type="http://schemas.openxmlformats.org/officeDocument/2006/relationships/hyperlink" Target="https://crm.infosis.tech/crm/deal/details/6620/" TargetMode="External"/><Relationship Id="rId2240" Type="http://schemas.openxmlformats.org/officeDocument/2006/relationships/hyperlink" Target="https://crm.infosis.tech/crm/deal/details/17998/" TargetMode="External"/><Relationship Id="rId1394" Type="http://schemas.openxmlformats.org/officeDocument/2006/relationships/hyperlink" Target="https://crm.infosis.tech/crm/deal/details/6628/" TargetMode="External"/><Relationship Id="rId2241" Type="http://schemas.openxmlformats.org/officeDocument/2006/relationships/hyperlink" Target="https://crm.infosis.tech/crm/deal/details/18034/" TargetMode="External"/><Relationship Id="rId1395" Type="http://schemas.openxmlformats.org/officeDocument/2006/relationships/hyperlink" Target="https://crm.infosis.tech/crm/deal/details/6634" TargetMode="External"/><Relationship Id="rId2242" Type="http://schemas.openxmlformats.org/officeDocument/2006/relationships/hyperlink" Target="https://crm.infosis.tech/crm/deal/details/17958/" TargetMode="External"/><Relationship Id="rId323" Type="http://schemas.openxmlformats.org/officeDocument/2006/relationships/hyperlink" Target="http://clientes.infosis-arg.com:8090/pages/viewpage.action?pageId=27426988" TargetMode="External"/><Relationship Id="rId1396" Type="http://schemas.openxmlformats.org/officeDocument/2006/relationships/hyperlink" Target="https://crm.infosis.tech/crm/deal/details/6638" TargetMode="External"/><Relationship Id="rId2243" Type="http://schemas.openxmlformats.org/officeDocument/2006/relationships/hyperlink" Target="https://crm.infosis.tech/crm/deal/details/17574/" TargetMode="External"/><Relationship Id="rId322" Type="http://schemas.openxmlformats.org/officeDocument/2006/relationships/hyperlink" Target="https://crm.infosis.tech/crm/deal/details/3999/" TargetMode="External"/><Relationship Id="rId1397" Type="http://schemas.openxmlformats.org/officeDocument/2006/relationships/hyperlink" Target="https://crm.infosis.tech/crm/deal/details/6642/" TargetMode="External"/><Relationship Id="rId2244" Type="http://schemas.openxmlformats.org/officeDocument/2006/relationships/hyperlink" Target="https://crm.infosis.tech/crm/deal/details/18076/" TargetMode="External"/><Relationship Id="rId321" Type="http://schemas.openxmlformats.org/officeDocument/2006/relationships/hyperlink" Target="http://clientes.infosis-arg.com:8090/pages/viewpage.action?pageId=27427000" TargetMode="External"/><Relationship Id="rId1398" Type="http://schemas.openxmlformats.org/officeDocument/2006/relationships/hyperlink" Target="https://crm.infosis.tech/crm/deal/details/6646/" TargetMode="External"/><Relationship Id="rId2245" Type="http://schemas.openxmlformats.org/officeDocument/2006/relationships/hyperlink" Target="https://crm.infosis.tech/crm/deal/details/17024/?any=details%2F17024%2F" TargetMode="External"/><Relationship Id="rId320" Type="http://schemas.openxmlformats.org/officeDocument/2006/relationships/hyperlink" Target="https://crm.infosis.tech/crm/deal/details/3963/" TargetMode="External"/><Relationship Id="rId1399" Type="http://schemas.openxmlformats.org/officeDocument/2006/relationships/hyperlink" Target="https://crm.infosis.tech/crm/deal/details/6658/" TargetMode="External"/><Relationship Id="rId2246" Type="http://schemas.openxmlformats.org/officeDocument/2006/relationships/hyperlink" Target="https://crm.infosis.tech/crm/deal/details/17980/" TargetMode="External"/><Relationship Id="rId1389" Type="http://schemas.openxmlformats.org/officeDocument/2006/relationships/hyperlink" Target="https://crm.infosis.tech/crm/deal/details/6592/" TargetMode="External"/><Relationship Id="rId2236" Type="http://schemas.openxmlformats.org/officeDocument/2006/relationships/hyperlink" Target="https://crm.infosis.tech/crm/deal/details/17664/" TargetMode="External"/><Relationship Id="rId2237" Type="http://schemas.openxmlformats.org/officeDocument/2006/relationships/hyperlink" Target="https://crm.infosis.tech/crm/deal/details/17768/?any=details%2F17768%2F" TargetMode="External"/><Relationship Id="rId2238" Type="http://schemas.openxmlformats.org/officeDocument/2006/relationships/hyperlink" Target="https://crm.infosis.tech/crm/deal/details/17832/?any=details%2F17832%2F" TargetMode="External"/><Relationship Id="rId2239" Type="http://schemas.openxmlformats.org/officeDocument/2006/relationships/hyperlink" Target="https://crm.infosis.tech/crm/deal/details/18000/" TargetMode="External"/><Relationship Id="rId316" Type="http://schemas.openxmlformats.org/officeDocument/2006/relationships/hyperlink" Target="https://crm.infosis.tech/crm/deal/details/3987/" TargetMode="External"/><Relationship Id="rId315" Type="http://schemas.openxmlformats.org/officeDocument/2006/relationships/hyperlink" Target="http://clientes.infosis-arg.com:8090/pages/viewpage.action?pageId=27426962" TargetMode="External"/><Relationship Id="rId799" Type="http://schemas.openxmlformats.org/officeDocument/2006/relationships/hyperlink" Target="https://crm.infosis.tech/crm/deal/details/4559/" TargetMode="External"/><Relationship Id="rId314" Type="http://schemas.openxmlformats.org/officeDocument/2006/relationships/hyperlink" Target="https://crm.infosis.tech/crm/deal/details/3989/" TargetMode="External"/><Relationship Id="rId798" Type="http://schemas.openxmlformats.org/officeDocument/2006/relationships/hyperlink" Target="http://clientes.infosis-arg.com:8090/display/IMP/Marcelo+N.+Martinez+Arias_OC" TargetMode="External"/><Relationship Id="rId313" Type="http://schemas.openxmlformats.org/officeDocument/2006/relationships/hyperlink" Target="http://clientes.infosis-arg.com:8090/pages/viewpage.action?pageId=27426941" TargetMode="External"/><Relationship Id="rId797" Type="http://schemas.openxmlformats.org/officeDocument/2006/relationships/hyperlink" Target="https://crm.infosis.tech/crm/deal/details/4553/" TargetMode="External"/><Relationship Id="rId319" Type="http://schemas.openxmlformats.org/officeDocument/2006/relationships/hyperlink" Target="http://clientes.infosis-arg.com:8090/display/IMP/VELAZQUEZ+CHRISTIAN+HORACIO_OC" TargetMode="External"/><Relationship Id="rId318" Type="http://schemas.openxmlformats.org/officeDocument/2006/relationships/hyperlink" Target="https://crm.infosis.tech/crm/deal/details/3943/" TargetMode="External"/><Relationship Id="rId317" Type="http://schemas.openxmlformats.org/officeDocument/2006/relationships/hyperlink" Target="http://clientes.infosis-arg.com:8090/pages/viewpage.action?pageId=27426966" TargetMode="External"/><Relationship Id="rId1380" Type="http://schemas.openxmlformats.org/officeDocument/2006/relationships/hyperlink" Target="https://crm.infosis.tech/crm/deal/details/6544/" TargetMode="External"/><Relationship Id="rId792" Type="http://schemas.openxmlformats.org/officeDocument/2006/relationships/hyperlink" Target="http://clientes.infosis-arg.com:8090/pages/viewpage.action?pageId=27427115" TargetMode="External"/><Relationship Id="rId1381" Type="http://schemas.openxmlformats.org/officeDocument/2006/relationships/hyperlink" Target="https://crm.infosis.tech/crm/lead/details/10129/" TargetMode="External"/><Relationship Id="rId791" Type="http://schemas.openxmlformats.org/officeDocument/2006/relationships/hyperlink" Target="https://crm.infosis.tech/crm/deal/details/4147/" TargetMode="External"/><Relationship Id="rId1382" Type="http://schemas.openxmlformats.org/officeDocument/2006/relationships/hyperlink" Target="https://crm.infosis.tech/crm/deal/details/6556/" TargetMode="External"/><Relationship Id="rId790" Type="http://schemas.openxmlformats.org/officeDocument/2006/relationships/hyperlink" Target="http://clientes.infosis-arg.com:8090/display/IMP/RENAULT+FM++SRL+-+4261" TargetMode="External"/><Relationship Id="rId1383" Type="http://schemas.openxmlformats.org/officeDocument/2006/relationships/hyperlink" Target="https://crm.infosis.tech/crm/lead/details/38720/" TargetMode="External"/><Relationship Id="rId2230" Type="http://schemas.openxmlformats.org/officeDocument/2006/relationships/hyperlink" Target="https://crm.infosis.tech/crm/deal/details/17780/" TargetMode="External"/><Relationship Id="rId1384" Type="http://schemas.openxmlformats.org/officeDocument/2006/relationships/hyperlink" Target="https://crm.infosis.tech/crm/deal/details/6560/" TargetMode="External"/><Relationship Id="rId2231" Type="http://schemas.openxmlformats.org/officeDocument/2006/relationships/hyperlink" Target="https://crm.infosis.tech/crm/deal/details/17796/" TargetMode="External"/><Relationship Id="rId312" Type="http://schemas.openxmlformats.org/officeDocument/2006/relationships/hyperlink" Target="https://crm.infosis.tech/crm/deal/details/3423/" TargetMode="External"/><Relationship Id="rId796" Type="http://schemas.openxmlformats.org/officeDocument/2006/relationships/hyperlink" Target="http://clientes.infosis-arg.com:8090/pages/viewpage.action?pageId=28049688" TargetMode="External"/><Relationship Id="rId1385" Type="http://schemas.openxmlformats.org/officeDocument/2006/relationships/hyperlink" Target="https://crm.infosis.tech/crm/deal/details/6566/" TargetMode="External"/><Relationship Id="rId2232" Type="http://schemas.openxmlformats.org/officeDocument/2006/relationships/hyperlink" Target="https://crm.infosis.tech/crm/deal/details/17580/?any=details%2F17580%2F" TargetMode="External"/><Relationship Id="rId311" Type="http://schemas.openxmlformats.org/officeDocument/2006/relationships/hyperlink" Target="http://clientes.infosis-arg.com:8090/pages/viewpage.action?pageId=27426936" TargetMode="External"/><Relationship Id="rId795" Type="http://schemas.openxmlformats.org/officeDocument/2006/relationships/hyperlink" Target="https://crm.infosis.tech/crm/deal/details/4551/" TargetMode="External"/><Relationship Id="rId1386" Type="http://schemas.openxmlformats.org/officeDocument/2006/relationships/hyperlink" Target="https://crm.infosis.tech/crm/deal/details/6570/" TargetMode="External"/><Relationship Id="rId2233" Type="http://schemas.openxmlformats.org/officeDocument/2006/relationships/hyperlink" Target="https://crm.infosis.tech/crm/deal/details/17812/" TargetMode="External"/><Relationship Id="rId310" Type="http://schemas.openxmlformats.org/officeDocument/2006/relationships/hyperlink" Target="https://crm.infosis.tech/crm/deal/details/3981/" TargetMode="External"/><Relationship Id="rId794" Type="http://schemas.openxmlformats.org/officeDocument/2006/relationships/hyperlink" Target="http://clientes.infosis-arg.com:8090/pages/viewpage.action?pageId=28049684&amp;moved=true" TargetMode="External"/><Relationship Id="rId1387" Type="http://schemas.openxmlformats.org/officeDocument/2006/relationships/hyperlink" Target="https://crm.infosis.tech/crm/deal/details/6586/" TargetMode="External"/><Relationship Id="rId2234" Type="http://schemas.openxmlformats.org/officeDocument/2006/relationships/hyperlink" Target="https://crm.infosis.tech/crm/deal/details/17568/?any=details%2F17568%2F" TargetMode="External"/><Relationship Id="rId793" Type="http://schemas.openxmlformats.org/officeDocument/2006/relationships/hyperlink" Target="https://crm.infosis.tech/crm/deal/details/4549/" TargetMode="External"/><Relationship Id="rId1388" Type="http://schemas.openxmlformats.org/officeDocument/2006/relationships/hyperlink" Target="https://crm.infosis.tech/crm/deal/details/6590/" TargetMode="External"/><Relationship Id="rId2235" Type="http://schemas.openxmlformats.org/officeDocument/2006/relationships/hyperlink" Target="https://crm.infosis.tech/crm/deal/details/17654/?any=details%2F17654%2F" TargetMode="External"/><Relationship Id="rId297" Type="http://schemas.openxmlformats.org/officeDocument/2006/relationships/hyperlink" Target="http://clientes.infosis-arg.com:8090/pages/viewpage.action?pageId=27426877" TargetMode="External"/><Relationship Id="rId296" Type="http://schemas.openxmlformats.org/officeDocument/2006/relationships/hyperlink" Target="https://crm.infosis.tech/crm/deal/details/3971/" TargetMode="External"/><Relationship Id="rId295" Type="http://schemas.openxmlformats.org/officeDocument/2006/relationships/hyperlink" Target="http://clientes.infosis-arg.com:8090/pages/viewpage.action?pageId=27165024" TargetMode="External"/><Relationship Id="rId294" Type="http://schemas.openxmlformats.org/officeDocument/2006/relationships/hyperlink" Target="https://crm.infosis.tech/crm/deal/details/3821/" TargetMode="External"/><Relationship Id="rId299" Type="http://schemas.openxmlformats.org/officeDocument/2006/relationships/hyperlink" Target="http://clientes.infosis-arg.com:8090/pages/viewpage.action?pageId=27426884" TargetMode="External"/><Relationship Id="rId298" Type="http://schemas.openxmlformats.org/officeDocument/2006/relationships/hyperlink" Target="https://crm.infosis.tech/crm/deal/details/3907/" TargetMode="External"/><Relationship Id="rId271" Type="http://schemas.openxmlformats.org/officeDocument/2006/relationships/hyperlink" Target="http://clientes.infosis-arg.com:8090/pages/viewpage.action?pageId=27165037" TargetMode="External"/><Relationship Id="rId270" Type="http://schemas.openxmlformats.org/officeDocument/2006/relationships/hyperlink" Target="https://crm.infosis.tech/crm/deal/details/3997/" TargetMode="External"/><Relationship Id="rId269" Type="http://schemas.openxmlformats.org/officeDocument/2006/relationships/hyperlink" Target="http://clientes.infosis-arg.com:8090/pages/viewpage.action?pageId=27164998" TargetMode="External"/><Relationship Id="rId264" Type="http://schemas.openxmlformats.org/officeDocument/2006/relationships/hyperlink" Target="https://crm.infosis.tech/crm/deal/details/3729/" TargetMode="External"/><Relationship Id="rId263" Type="http://schemas.openxmlformats.org/officeDocument/2006/relationships/hyperlink" Target="http://clientes.infosis-arg.com:8090/pages/viewpage.action?pageId=27164981" TargetMode="External"/><Relationship Id="rId262" Type="http://schemas.openxmlformats.org/officeDocument/2006/relationships/hyperlink" Target="https://crm.infosis.tech/crm/deal/details/3789/" TargetMode="External"/><Relationship Id="rId261" Type="http://schemas.openxmlformats.org/officeDocument/2006/relationships/hyperlink" Target="http://clientes.infosis-arg.com:8090/pages/viewpage.action?pageId=27164994" TargetMode="External"/><Relationship Id="rId268" Type="http://schemas.openxmlformats.org/officeDocument/2006/relationships/hyperlink" Target="https://crm.infosis.tech/crm/deal/details/3859/" TargetMode="External"/><Relationship Id="rId267" Type="http://schemas.openxmlformats.org/officeDocument/2006/relationships/hyperlink" Target="http://clientes.infosis-arg.com:8090/pages/viewpage.action?pageId=27165002" TargetMode="External"/><Relationship Id="rId266" Type="http://schemas.openxmlformats.org/officeDocument/2006/relationships/hyperlink" Target="https://crm.infosis.tech/crm/deal/details/3835/" TargetMode="External"/><Relationship Id="rId265" Type="http://schemas.openxmlformats.org/officeDocument/2006/relationships/hyperlink" Target="http://clientes.infosis-arg.com:8090/pages/viewpage.action?pageId=27165031" TargetMode="External"/><Relationship Id="rId260" Type="http://schemas.openxmlformats.org/officeDocument/2006/relationships/hyperlink" Target="https://crm.infosis.tech/crm/deal/details/1104/" TargetMode="External"/><Relationship Id="rId259" Type="http://schemas.openxmlformats.org/officeDocument/2006/relationships/hyperlink" Target="http://clientes.infosis-arg.com:8090/pages/viewpage.action?pageId=27164756" TargetMode="External"/><Relationship Id="rId258" Type="http://schemas.openxmlformats.org/officeDocument/2006/relationships/hyperlink" Target="https://crm.infosis.tech/crm/deal/details/3165/" TargetMode="External"/><Relationship Id="rId2290" Type="http://schemas.openxmlformats.org/officeDocument/2006/relationships/hyperlink" Target="https://crm.infosis.tech/crm/deal/details/19236/" TargetMode="External"/><Relationship Id="rId2291" Type="http://schemas.openxmlformats.org/officeDocument/2006/relationships/hyperlink" Target="https://crm.infosis.tech/crm/deal/details/19222/" TargetMode="External"/><Relationship Id="rId2292" Type="http://schemas.openxmlformats.org/officeDocument/2006/relationships/hyperlink" Target="https://crm.infosis.tech/crm/deal/details/18232/?any=details%2F18232%2F" TargetMode="External"/><Relationship Id="rId2293" Type="http://schemas.openxmlformats.org/officeDocument/2006/relationships/hyperlink" Target="https://crm.infosis.tech/crm/deal/details/19254/" TargetMode="External"/><Relationship Id="rId253" Type="http://schemas.openxmlformats.org/officeDocument/2006/relationships/hyperlink" Target="http://clientes.infosis-arg.com:8090/pages/viewpage.action?pageId=27164943" TargetMode="External"/><Relationship Id="rId2294" Type="http://schemas.openxmlformats.org/officeDocument/2006/relationships/hyperlink" Target="https://crm.infosis.tech/crm/deal/details/18816/" TargetMode="External"/><Relationship Id="rId252" Type="http://schemas.openxmlformats.org/officeDocument/2006/relationships/hyperlink" Target="https://crm.infosis.tech/crm/deal/details/3751/" TargetMode="External"/><Relationship Id="rId2295" Type="http://schemas.openxmlformats.org/officeDocument/2006/relationships/hyperlink" Target="https://crm.infosis.tech/crm/deal/details/19258/?any=details%2F19258%2F" TargetMode="External"/><Relationship Id="rId251" Type="http://schemas.openxmlformats.org/officeDocument/2006/relationships/hyperlink" Target="http://clientes.infosis-arg.com:8090/display/IMP/ARANDA+JORGE+IVAN_OC" TargetMode="External"/><Relationship Id="rId2296" Type="http://schemas.openxmlformats.org/officeDocument/2006/relationships/hyperlink" Target="https://crm.infosis.tech/crm/deal/details/19358/" TargetMode="External"/><Relationship Id="rId250" Type="http://schemas.openxmlformats.org/officeDocument/2006/relationships/hyperlink" Target="https://crm.infosis.tech/crm/deal/details/3715/" TargetMode="External"/><Relationship Id="rId2297" Type="http://schemas.openxmlformats.org/officeDocument/2006/relationships/hyperlink" Target="https://crm.infosis.tech/crm/deal/details/19320/" TargetMode="External"/><Relationship Id="rId257" Type="http://schemas.openxmlformats.org/officeDocument/2006/relationships/hyperlink" Target="http://clientes.infosis-arg.com:8090/display/IMP/Sarako+SRL_OC" TargetMode="External"/><Relationship Id="rId2298" Type="http://schemas.openxmlformats.org/officeDocument/2006/relationships/hyperlink" Target="https://crm.infosis.tech/crm/deal/details/15732/?any=details%2F15732%2F" TargetMode="External"/><Relationship Id="rId256" Type="http://schemas.openxmlformats.org/officeDocument/2006/relationships/hyperlink" Target="https://crm.infosis.tech/crm/deal/details/3833/" TargetMode="External"/><Relationship Id="rId2299" Type="http://schemas.openxmlformats.org/officeDocument/2006/relationships/hyperlink" Target="https://crm.infosis.tech/crm/deal/details/19398/" TargetMode="External"/><Relationship Id="rId255" Type="http://schemas.openxmlformats.org/officeDocument/2006/relationships/hyperlink" Target="http://clientes.infosis-arg.com:8090/pages/viewpage.action?pageId=27164957" TargetMode="External"/><Relationship Id="rId254" Type="http://schemas.openxmlformats.org/officeDocument/2006/relationships/hyperlink" Target="https://crm.infosis.tech/crm/deal/details/3787/" TargetMode="External"/><Relationship Id="rId293" Type="http://schemas.openxmlformats.org/officeDocument/2006/relationships/hyperlink" Target="http://clientes.infosis-arg.com:8090/display/IMP/The+king+of+technology+SAS+-+The+king+of+technology+-+3973" TargetMode="External"/><Relationship Id="rId292" Type="http://schemas.openxmlformats.org/officeDocument/2006/relationships/hyperlink" Target="https://crm.infosis.tech/crm/deal/details/3973/" TargetMode="External"/><Relationship Id="rId291" Type="http://schemas.openxmlformats.org/officeDocument/2006/relationships/hyperlink" Target="http://clientes.infosis-arg.com:8090/pages/viewpage.action?pageId=27426875" TargetMode="External"/><Relationship Id="rId290" Type="http://schemas.openxmlformats.org/officeDocument/2006/relationships/hyperlink" Target="https://crm.infosis.tech/crm/deal/details/3969/" TargetMode="External"/><Relationship Id="rId286" Type="http://schemas.openxmlformats.org/officeDocument/2006/relationships/hyperlink" Target="https://crm.infosis.tech/crm/deal/details/3957/" TargetMode="External"/><Relationship Id="rId285" Type="http://schemas.openxmlformats.org/officeDocument/2006/relationships/hyperlink" Target="http://clientes.infosis-arg.com:8090/display/IMP/Promocolor+-+GUALTIERI+IGNACIO+JAVIER+-+3927" TargetMode="External"/><Relationship Id="rId284" Type="http://schemas.openxmlformats.org/officeDocument/2006/relationships/hyperlink" Target="https://crm.infosis.tech/crm/deal/details/3927/" TargetMode="External"/><Relationship Id="rId283" Type="http://schemas.openxmlformats.org/officeDocument/2006/relationships/hyperlink" Target="http://clientes.infosis-arg.com:8090/display/IMP/Lomasgom+SA_OC" TargetMode="External"/><Relationship Id="rId289" Type="http://schemas.openxmlformats.org/officeDocument/2006/relationships/hyperlink" Target="http://clientes.infosis-arg.com:8090/pages/viewpage.action?pageId=27426851" TargetMode="External"/><Relationship Id="rId288" Type="http://schemas.openxmlformats.org/officeDocument/2006/relationships/hyperlink" Target="https://crm.infosis.tech/crm/deal/details/3967/" TargetMode="External"/><Relationship Id="rId287" Type="http://schemas.openxmlformats.org/officeDocument/2006/relationships/hyperlink" Target="http://clientes.infosis-arg.com:8090/pages/viewpage.action?pageId=27426838" TargetMode="External"/><Relationship Id="rId282" Type="http://schemas.openxmlformats.org/officeDocument/2006/relationships/hyperlink" Target="https://crm.infosis.tech/crm/deal/details/3719/" TargetMode="External"/><Relationship Id="rId281" Type="http://schemas.openxmlformats.org/officeDocument/2006/relationships/hyperlink" Target="http://clientes.infosis-arg.com:8090/pages/viewpage.action?pageId=27165064" TargetMode="External"/><Relationship Id="rId280" Type="http://schemas.openxmlformats.org/officeDocument/2006/relationships/hyperlink" Target="https://crm.infosis.tech/crm/deal/details/3873/" TargetMode="External"/><Relationship Id="rId275" Type="http://schemas.openxmlformats.org/officeDocument/2006/relationships/hyperlink" Target="http://clientes.infosis-arg.com:8090/pages/viewpage.action?pageId=27165041" TargetMode="External"/><Relationship Id="rId274" Type="http://schemas.openxmlformats.org/officeDocument/2006/relationships/hyperlink" Target="https://crm.infosis.tech/crm/deal/details/3889/" TargetMode="External"/><Relationship Id="rId273" Type="http://schemas.openxmlformats.org/officeDocument/2006/relationships/hyperlink" Target="http://clientes.infosis-arg.com:8090/pages/viewpage.action?pageId=27165052" TargetMode="External"/><Relationship Id="rId272" Type="http://schemas.openxmlformats.org/officeDocument/2006/relationships/hyperlink" Target="https://crm.infosis.tech/crm/deal/details/3893/" TargetMode="External"/><Relationship Id="rId279" Type="http://schemas.openxmlformats.org/officeDocument/2006/relationships/hyperlink" Target="http://clientes.infosis-arg.com:8090/pages/viewpage.action?pageId=27165046" TargetMode="External"/><Relationship Id="rId278" Type="http://schemas.openxmlformats.org/officeDocument/2006/relationships/hyperlink" Target="https://crm.infosis.tech/crm/deal/details/3877/" TargetMode="External"/><Relationship Id="rId277" Type="http://schemas.openxmlformats.org/officeDocument/2006/relationships/hyperlink" Target="http://clientes.infosis-arg.com:8090/pages/viewpage.action?pageId=13434884" TargetMode="External"/><Relationship Id="rId276" Type="http://schemas.openxmlformats.org/officeDocument/2006/relationships/hyperlink" Target="https://crm.infosis.tech/crm/deal/details/1998/" TargetMode="External"/><Relationship Id="rId1851" Type="http://schemas.openxmlformats.org/officeDocument/2006/relationships/hyperlink" Target="https://crm.infosis.tech/crm/deal/details/11444/" TargetMode="External"/><Relationship Id="rId1852" Type="http://schemas.openxmlformats.org/officeDocument/2006/relationships/hyperlink" Target="https://crm.infosis.tech/crm/deal/details/11452/" TargetMode="External"/><Relationship Id="rId1853" Type="http://schemas.openxmlformats.org/officeDocument/2006/relationships/hyperlink" Target="https://crm.infosis.tech/crm/deal/details/11334/" TargetMode="External"/><Relationship Id="rId1854" Type="http://schemas.openxmlformats.org/officeDocument/2006/relationships/hyperlink" Target="https://crm.infosis.tech/crm/deal/details/11324/" TargetMode="External"/><Relationship Id="rId1855" Type="http://schemas.openxmlformats.org/officeDocument/2006/relationships/hyperlink" Target="https://crm.infosis.tech/crm/deal/details/11322/" TargetMode="External"/><Relationship Id="rId1856" Type="http://schemas.openxmlformats.org/officeDocument/2006/relationships/hyperlink" Target="https://crm.infosis.tech/crm/deal/details/11370/" TargetMode="External"/><Relationship Id="rId1857" Type="http://schemas.openxmlformats.org/officeDocument/2006/relationships/hyperlink" Target="https://crm.infosis.tech/crm/deal/details/9810/" TargetMode="External"/><Relationship Id="rId1858" Type="http://schemas.openxmlformats.org/officeDocument/2006/relationships/hyperlink" Target="https://crm.infosis.tech/crm/deal/details/11480/" TargetMode="External"/><Relationship Id="rId1859" Type="http://schemas.openxmlformats.org/officeDocument/2006/relationships/hyperlink" Target="https://crm.infosis.tech/crm/deal/details/10480/" TargetMode="External"/><Relationship Id="rId1850" Type="http://schemas.openxmlformats.org/officeDocument/2006/relationships/hyperlink" Target="https://crm.infosis.tech/crm/deal/details/11306/" TargetMode="External"/><Relationship Id="rId1840" Type="http://schemas.openxmlformats.org/officeDocument/2006/relationships/hyperlink" Target="https://crm.infosis.tech/crm/deal/details/11288/" TargetMode="External"/><Relationship Id="rId1841" Type="http://schemas.openxmlformats.org/officeDocument/2006/relationships/hyperlink" Target="https://crm.infosis.tech/crm/deal/details/11078/" TargetMode="External"/><Relationship Id="rId1842" Type="http://schemas.openxmlformats.org/officeDocument/2006/relationships/hyperlink" Target="https://crm.infosis.tech/crm/deal/details/11384/" TargetMode="External"/><Relationship Id="rId1843" Type="http://schemas.openxmlformats.org/officeDocument/2006/relationships/hyperlink" Target="https://crm.infosis.tech/crm/deal/details/9290/" TargetMode="External"/><Relationship Id="rId1844" Type="http://schemas.openxmlformats.org/officeDocument/2006/relationships/hyperlink" Target="https://crm.infosis.tech/crm/deal/details/11386/" TargetMode="External"/><Relationship Id="rId1845" Type="http://schemas.openxmlformats.org/officeDocument/2006/relationships/hyperlink" Target="https://crm.infosis.tech/crm/deal/details/10814/" TargetMode="External"/><Relationship Id="rId1846" Type="http://schemas.openxmlformats.org/officeDocument/2006/relationships/hyperlink" Target="https://crm.infosis.tech/crm/deal/details/10816/" TargetMode="External"/><Relationship Id="rId1847" Type="http://schemas.openxmlformats.org/officeDocument/2006/relationships/hyperlink" Target="https://crm.infosis.tech/crm/deal/details/11396/" TargetMode="External"/><Relationship Id="rId1848" Type="http://schemas.openxmlformats.org/officeDocument/2006/relationships/hyperlink" Target="https://crm.infosis.tech/crm/deal/details/11296/" TargetMode="External"/><Relationship Id="rId1849" Type="http://schemas.openxmlformats.org/officeDocument/2006/relationships/hyperlink" Target="https://crm.infosis.tech/crm/deal/details/11230/" TargetMode="External"/><Relationship Id="rId1873" Type="http://schemas.openxmlformats.org/officeDocument/2006/relationships/hyperlink" Target="https://crm.infosis.tech/crm/deal/details/11836/" TargetMode="External"/><Relationship Id="rId1874" Type="http://schemas.openxmlformats.org/officeDocument/2006/relationships/hyperlink" Target="https://crm.infosis.tech/crm/deal/details/11794/" TargetMode="External"/><Relationship Id="rId1875" Type="http://schemas.openxmlformats.org/officeDocument/2006/relationships/hyperlink" Target="https://crm.infosis.tech/crm/deal/details/11446/" TargetMode="External"/><Relationship Id="rId1876" Type="http://schemas.openxmlformats.org/officeDocument/2006/relationships/hyperlink" Target="https://crm.infosis.tech/crm/deal/details/11634/" TargetMode="External"/><Relationship Id="rId1877" Type="http://schemas.openxmlformats.org/officeDocument/2006/relationships/hyperlink" Target="https://crm.infosis.tech/crm/deal/details/11862/" TargetMode="External"/><Relationship Id="rId1878" Type="http://schemas.openxmlformats.org/officeDocument/2006/relationships/hyperlink" Target="https://crm.infosis.tech/crm/deal/details/10572/" TargetMode="External"/><Relationship Id="rId1879" Type="http://schemas.openxmlformats.org/officeDocument/2006/relationships/hyperlink" Target="https://crm.infosis.tech/crm/deal/details/11896/" TargetMode="External"/><Relationship Id="rId1870" Type="http://schemas.openxmlformats.org/officeDocument/2006/relationships/hyperlink" Target="https://crm.infosis.tech/crm/deal/details/11824/" TargetMode="External"/><Relationship Id="rId1871" Type="http://schemas.openxmlformats.org/officeDocument/2006/relationships/hyperlink" Target="https://crm.infosis.tech/crm/deal/details/11748/" TargetMode="External"/><Relationship Id="rId1872" Type="http://schemas.openxmlformats.org/officeDocument/2006/relationships/hyperlink" Target="https://crm.infosis.tech/crm/deal/details/11822/" TargetMode="External"/><Relationship Id="rId1862" Type="http://schemas.openxmlformats.org/officeDocument/2006/relationships/hyperlink" Target="https://crm.infosis.tech/crm/deal/details/9804/" TargetMode="External"/><Relationship Id="rId1863" Type="http://schemas.openxmlformats.org/officeDocument/2006/relationships/hyperlink" Target="https://crm.infosis.tech/crm/deal/details/11664/" TargetMode="External"/><Relationship Id="rId1864" Type="http://schemas.openxmlformats.org/officeDocument/2006/relationships/hyperlink" Target="https://crm.infosis.tech/crm/deal/details/11224/" TargetMode="External"/><Relationship Id="rId1865" Type="http://schemas.openxmlformats.org/officeDocument/2006/relationships/hyperlink" Target="https://crm.infosis.tech/crm/deal/details/11332/" TargetMode="External"/><Relationship Id="rId1866" Type="http://schemas.openxmlformats.org/officeDocument/2006/relationships/hyperlink" Target="https://crm.infosis.tech/crm/deal/details/11404/" TargetMode="External"/><Relationship Id="rId1867" Type="http://schemas.openxmlformats.org/officeDocument/2006/relationships/hyperlink" Target="https://crm.infosis.tech/crm/deal/details/11744/" TargetMode="External"/><Relationship Id="rId1868" Type="http://schemas.openxmlformats.org/officeDocument/2006/relationships/hyperlink" Target="https://crm.infosis.tech/crm/deal/details/11752/" TargetMode="External"/><Relationship Id="rId1869" Type="http://schemas.openxmlformats.org/officeDocument/2006/relationships/hyperlink" Target="https://crm.infosis.tech/crm/deal/details/11824/" TargetMode="External"/><Relationship Id="rId1860" Type="http://schemas.openxmlformats.org/officeDocument/2006/relationships/hyperlink" Target="https://crm.infosis.tech/crm/deal/details/11172/" TargetMode="External"/><Relationship Id="rId1861" Type="http://schemas.openxmlformats.org/officeDocument/2006/relationships/hyperlink" Target="https://crm.infosis.tech/crm/deal/details/9804/" TargetMode="External"/><Relationship Id="rId1810" Type="http://schemas.openxmlformats.org/officeDocument/2006/relationships/hyperlink" Target="https://crm.infosis.tech/crm/deal/details/8138/" TargetMode="External"/><Relationship Id="rId1811" Type="http://schemas.openxmlformats.org/officeDocument/2006/relationships/hyperlink" Target="https://crm.infosis.tech/crm/deal/details/10512/" TargetMode="External"/><Relationship Id="rId1812" Type="http://schemas.openxmlformats.org/officeDocument/2006/relationships/hyperlink" Target="https://crm.infosis.tech/crm/deal/details/10952/" TargetMode="External"/><Relationship Id="rId1813" Type="http://schemas.openxmlformats.org/officeDocument/2006/relationships/hyperlink" Target="https://crm.infosis.tech/crm/deal/details/10422/" TargetMode="External"/><Relationship Id="rId1814" Type="http://schemas.openxmlformats.org/officeDocument/2006/relationships/hyperlink" Target="https://crm.infosis.tech/crm/deal/details/10958/" TargetMode="External"/><Relationship Id="rId1815" Type="http://schemas.openxmlformats.org/officeDocument/2006/relationships/hyperlink" Target="https://crm.infosis.tech/crm/deal/details/10974/" TargetMode="External"/><Relationship Id="rId1816" Type="http://schemas.openxmlformats.org/officeDocument/2006/relationships/hyperlink" Target="https://crm.infosis.tech/crm/deal/details/10972/" TargetMode="External"/><Relationship Id="rId1817" Type="http://schemas.openxmlformats.org/officeDocument/2006/relationships/hyperlink" Target="https://crm.infosis.tech/crm/deal/details/10922/" TargetMode="External"/><Relationship Id="rId1818" Type="http://schemas.openxmlformats.org/officeDocument/2006/relationships/hyperlink" Target="https://crm.infosis.tech/crm/deal/details/10978/" TargetMode="External"/><Relationship Id="rId1819" Type="http://schemas.openxmlformats.org/officeDocument/2006/relationships/hyperlink" Target="https://crm.infosis.tech/crm/deal/details/11002/" TargetMode="External"/><Relationship Id="rId1800" Type="http://schemas.openxmlformats.org/officeDocument/2006/relationships/hyperlink" Target="https://crm.infosis.tech/crm/deal/details/10666/" TargetMode="External"/><Relationship Id="rId1801" Type="http://schemas.openxmlformats.org/officeDocument/2006/relationships/hyperlink" Target="https://crm.infosis.tech/crm/deal/details/10708/" TargetMode="External"/><Relationship Id="rId1802" Type="http://schemas.openxmlformats.org/officeDocument/2006/relationships/hyperlink" Target="https://crm.infosis.tech/crm/deal/details/10736/" TargetMode="External"/><Relationship Id="rId1803" Type="http://schemas.openxmlformats.org/officeDocument/2006/relationships/hyperlink" Target="https://crm.infosis.tech/crm/deal/details/10866" TargetMode="External"/><Relationship Id="rId1804" Type="http://schemas.openxmlformats.org/officeDocument/2006/relationships/hyperlink" Target="https://crm.infosis.tech/crm/deal/details/10272/" TargetMode="External"/><Relationship Id="rId1805" Type="http://schemas.openxmlformats.org/officeDocument/2006/relationships/hyperlink" Target="https://crm.infosis.tech/crm/deal/details/10880/" TargetMode="External"/><Relationship Id="rId1806" Type="http://schemas.openxmlformats.org/officeDocument/2006/relationships/hyperlink" Target="https://crm.infosis.tech/crm/deal/details/10902/" TargetMode="External"/><Relationship Id="rId1807" Type="http://schemas.openxmlformats.org/officeDocument/2006/relationships/hyperlink" Target="https://crm.infosis.tech/crm/deal/details/10640/" TargetMode="External"/><Relationship Id="rId1808" Type="http://schemas.openxmlformats.org/officeDocument/2006/relationships/hyperlink" Target="https://crm.infosis.tech/crm/deal/details/10738/" TargetMode="External"/><Relationship Id="rId1809" Type="http://schemas.openxmlformats.org/officeDocument/2006/relationships/hyperlink" Target="https://crm.infosis.tech/crm/deal/details/10938/" TargetMode="External"/><Relationship Id="rId1830" Type="http://schemas.openxmlformats.org/officeDocument/2006/relationships/hyperlink" Target="https://crm.infosis.tech/crm/deal/details/11068/" TargetMode="External"/><Relationship Id="rId1831" Type="http://schemas.openxmlformats.org/officeDocument/2006/relationships/hyperlink" Target="https://crm.infosis.tech/crm/deal/details/11190/" TargetMode="External"/><Relationship Id="rId1832" Type="http://schemas.openxmlformats.org/officeDocument/2006/relationships/hyperlink" Target="https://crm.infosis.tech/crm/deal/details/10174/" TargetMode="External"/><Relationship Id="rId1833" Type="http://schemas.openxmlformats.org/officeDocument/2006/relationships/hyperlink" Target="https://crm.infosis.tech/crm/deal/details/10518/" TargetMode="External"/><Relationship Id="rId1834" Type="http://schemas.openxmlformats.org/officeDocument/2006/relationships/hyperlink" Target="https://crm.infosis.tech/crm/deal/details/11080/" TargetMode="External"/><Relationship Id="rId1835" Type="http://schemas.openxmlformats.org/officeDocument/2006/relationships/hyperlink" Target="https://crm.infosis.tech/crm/deal/details/10638/" TargetMode="External"/><Relationship Id="rId1836" Type="http://schemas.openxmlformats.org/officeDocument/2006/relationships/hyperlink" Target="https://crm.infosis.tech/crm/deal/details/11210/" TargetMode="External"/><Relationship Id="rId1837" Type="http://schemas.openxmlformats.org/officeDocument/2006/relationships/hyperlink" Target="https://crm.infosis.tech/crm/deal/details/11278/" TargetMode="External"/><Relationship Id="rId1838" Type="http://schemas.openxmlformats.org/officeDocument/2006/relationships/hyperlink" Target="https://crm.infosis.tech/crm/deal/details/11006/" TargetMode="External"/><Relationship Id="rId1839" Type="http://schemas.openxmlformats.org/officeDocument/2006/relationships/hyperlink" Target="https://crm.infosis.tech/crm/deal/details/11328/" TargetMode="External"/><Relationship Id="rId1820" Type="http://schemas.openxmlformats.org/officeDocument/2006/relationships/hyperlink" Target="https://crm.infosis.tech/crm/deal/details/11036/" TargetMode="External"/><Relationship Id="rId1821" Type="http://schemas.openxmlformats.org/officeDocument/2006/relationships/hyperlink" Target="https://crm.infosis.tech/crm/deal/details/8672/" TargetMode="External"/><Relationship Id="rId1822" Type="http://schemas.openxmlformats.org/officeDocument/2006/relationships/hyperlink" Target="https://crm.infosis.tech/crm/deal/details/11014/" TargetMode="External"/><Relationship Id="rId1823" Type="http://schemas.openxmlformats.org/officeDocument/2006/relationships/hyperlink" Target="https://crm.infosis.tech/crm/deal/details/9578/" TargetMode="External"/><Relationship Id="rId1824" Type="http://schemas.openxmlformats.org/officeDocument/2006/relationships/hyperlink" Target="https://crm.infosis.tech/crm/deal/details/11120/" TargetMode="External"/><Relationship Id="rId1825" Type="http://schemas.openxmlformats.org/officeDocument/2006/relationships/hyperlink" Target="https://crm.infosis.tech/crm/deal/details/11074/" TargetMode="External"/><Relationship Id="rId1826" Type="http://schemas.openxmlformats.org/officeDocument/2006/relationships/hyperlink" Target="https://crm.infosis.tech/crm/deal/details/11076/" TargetMode="External"/><Relationship Id="rId1827" Type="http://schemas.openxmlformats.org/officeDocument/2006/relationships/hyperlink" Target="https://crm.infosis.tech/crm/deal/details/11142/" TargetMode="External"/><Relationship Id="rId1828" Type="http://schemas.openxmlformats.org/officeDocument/2006/relationships/hyperlink" Target="https://crm.infosis.tech/crm/deal/details/11144/" TargetMode="External"/><Relationship Id="rId1829" Type="http://schemas.openxmlformats.org/officeDocument/2006/relationships/hyperlink" Target="https://crm.infosis.tech/crm/deal/details/10818/" TargetMode="External"/><Relationship Id="rId1455" Type="http://schemas.openxmlformats.org/officeDocument/2006/relationships/hyperlink" Target="https://crm.infosis.tech/crm/deal/details/6998/" TargetMode="External"/><Relationship Id="rId2302" Type="http://schemas.openxmlformats.org/officeDocument/2006/relationships/hyperlink" Target="https://crm.infosis.tech/crm/deal/details/19330/" TargetMode="External"/><Relationship Id="rId1456" Type="http://schemas.openxmlformats.org/officeDocument/2006/relationships/hyperlink" Target="https://crm.infosis.tech/crm/deal/details/7004/" TargetMode="External"/><Relationship Id="rId2303" Type="http://schemas.openxmlformats.org/officeDocument/2006/relationships/hyperlink" Target="https://crm.infosis.tech/crm/deal/details/19338/" TargetMode="External"/><Relationship Id="rId1457" Type="http://schemas.openxmlformats.org/officeDocument/2006/relationships/hyperlink" Target="https://crm.infosis.tech/crm/deal/details/7014/" TargetMode="External"/><Relationship Id="rId2304" Type="http://schemas.openxmlformats.org/officeDocument/2006/relationships/hyperlink" Target="https://crm.infosis.tech/crm/deal/details/19402/?any=details%2F19402%2F" TargetMode="External"/><Relationship Id="rId1458" Type="http://schemas.openxmlformats.org/officeDocument/2006/relationships/hyperlink" Target="https://crm.infosis.tech/crm/deal/details/7020/" TargetMode="External"/><Relationship Id="rId2305" Type="http://schemas.openxmlformats.org/officeDocument/2006/relationships/hyperlink" Target="https://crm.infosis.tech/crm/deal/details/19440/?any=details%2F19440%2F" TargetMode="External"/><Relationship Id="rId1459" Type="http://schemas.openxmlformats.org/officeDocument/2006/relationships/hyperlink" Target="https://crm.infosis.tech/crm/deal/details/7026/" TargetMode="External"/><Relationship Id="rId2306" Type="http://schemas.openxmlformats.org/officeDocument/2006/relationships/hyperlink" Target="https://crm.infosis.tech/crm/deal/details/19452/" TargetMode="External"/><Relationship Id="rId2307" Type="http://schemas.openxmlformats.org/officeDocument/2006/relationships/hyperlink" Target="https://crm.infosis.tech/crm/deal/details/19262/" TargetMode="External"/><Relationship Id="rId2308" Type="http://schemas.openxmlformats.org/officeDocument/2006/relationships/hyperlink" Target="https://crm.infosis.tech/crm/deal/details/19522/" TargetMode="External"/><Relationship Id="rId2309" Type="http://schemas.openxmlformats.org/officeDocument/2006/relationships/hyperlink" Target="https://crm.infosis.tech/crm/deal/details/19504/?any=details%2F19504%2F" TargetMode="External"/><Relationship Id="rId629" Type="http://schemas.openxmlformats.org/officeDocument/2006/relationships/hyperlink" Target="https://crm.infosis.tech/crm/deal/details/4149/" TargetMode="External"/><Relationship Id="rId624" Type="http://schemas.openxmlformats.org/officeDocument/2006/relationships/hyperlink" Target="http://clientes.infosis-arg.com:8090/pages/viewpage.action?pageId=27852817" TargetMode="External"/><Relationship Id="rId623" Type="http://schemas.openxmlformats.org/officeDocument/2006/relationships/hyperlink" Target="https://crm.infosis.tech/crm/deal/details/4393/" TargetMode="External"/><Relationship Id="rId622" Type="http://schemas.openxmlformats.org/officeDocument/2006/relationships/hyperlink" Target="http://clientes.infosis-arg.com:8090/display/IMP/FRANFELIRENU+S.R.L.+%234209" TargetMode="External"/><Relationship Id="rId621" Type="http://schemas.openxmlformats.org/officeDocument/2006/relationships/hyperlink" Target="https://crm.infosis.tech/crm/deal/details/4209/" TargetMode="External"/><Relationship Id="rId628" Type="http://schemas.openxmlformats.org/officeDocument/2006/relationships/hyperlink" Target="http://clientes.infosis-arg.com:8090/display/IMP/Konecta+-+AGUSTIN+ROST" TargetMode="External"/><Relationship Id="rId627" Type="http://schemas.openxmlformats.org/officeDocument/2006/relationships/hyperlink" Target="https://crm.infosis.tech/crm/deal/details/4013/" TargetMode="External"/><Relationship Id="rId626" Type="http://schemas.openxmlformats.org/officeDocument/2006/relationships/hyperlink" Target="http://clientes.infosis-arg.com:8090/pages/editpage.action?pageId=27623540" TargetMode="External"/><Relationship Id="rId625" Type="http://schemas.openxmlformats.org/officeDocument/2006/relationships/hyperlink" Target="https://crm.infosis.tech/crm/deal/details/4181/" TargetMode="External"/><Relationship Id="rId1450" Type="http://schemas.openxmlformats.org/officeDocument/2006/relationships/hyperlink" Target="https://crm.infosis.tech/crm/deal/details/6972/" TargetMode="External"/><Relationship Id="rId620" Type="http://schemas.openxmlformats.org/officeDocument/2006/relationships/hyperlink" Target="http://clientes.infosis-arg.com:8090/pages/viewpage.action?pageId=27852811" TargetMode="External"/><Relationship Id="rId1451" Type="http://schemas.openxmlformats.org/officeDocument/2006/relationships/hyperlink" Target="https://crm.infosis.tech/crm/deal/details/6978/" TargetMode="External"/><Relationship Id="rId1452" Type="http://schemas.openxmlformats.org/officeDocument/2006/relationships/hyperlink" Target="https://crm.infosis.tech/crm/deal/details/6982/" TargetMode="External"/><Relationship Id="rId1453" Type="http://schemas.openxmlformats.org/officeDocument/2006/relationships/hyperlink" Target="https://crm.infosis.tech/crm/deal/details/6990/" TargetMode="External"/><Relationship Id="rId2300" Type="http://schemas.openxmlformats.org/officeDocument/2006/relationships/hyperlink" Target="https://crm.infosis.tech/crm/deal/details/19404/" TargetMode="External"/><Relationship Id="rId1454" Type="http://schemas.openxmlformats.org/officeDocument/2006/relationships/hyperlink" Target="https://crm.infosis.tech/crm/deal/details/6996/" TargetMode="External"/><Relationship Id="rId2301" Type="http://schemas.openxmlformats.org/officeDocument/2006/relationships/hyperlink" Target="https://crm.infosis.tech/crm/deal/details/18518/" TargetMode="External"/><Relationship Id="rId1444" Type="http://schemas.openxmlformats.org/officeDocument/2006/relationships/hyperlink" Target="https://crm.infosis.tech/crm/deal/details/6918/" TargetMode="External"/><Relationship Id="rId1445" Type="http://schemas.openxmlformats.org/officeDocument/2006/relationships/hyperlink" Target="https://crm.infosis.tech/crm/deal/details/6940/" TargetMode="External"/><Relationship Id="rId1446" Type="http://schemas.openxmlformats.org/officeDocument/2006/relationships/hyperlink" Target="https://crm.infosis.tech/crm/deal/details/6950/" TargetMode="External"/><Relationship Id="rId1447" Type="http://schemas.openxmlformats.org/officeDocument/2006/relationships/hyperlink" Target="https://crm.infosis.tech/crm/deal/details/6952/" TargetMode="External"/><Relationship Id="rId1448" Type="http://schemas.openxmlformats.org/officeDocument/2006/relationships/hyperlink" Target="https://crm.infosis.tech/crm/deal/details/6948/" TargetMode="External"/><Relationship Id="rId1449" Type="http://schemas.openxmlformats.org/officeDocument/2006/relationships/hyperlink" Target="https://crm.infosis.tech/crm/deal/details/6966/" TargetMode="External"/><Relationship Id="rId619" Type="http://schemas.openxmlformats.org/officeDocument/2006/relationships/hyperlink" Target="https://crm.infosis.tech/crm/deal/details/4389/" TargetMode="External"/><Relationship Id="rId618" Type="http://schemas.openxmlformats.org/officeDocument/2006/relationships/hyperlink" Target="http://clientes.infosis-arg.com:8090/display/IMP/GAMBOA+DORA+FELICIANA_OC" TargetMode="External"/><Relationship Id="rId613" Type="http://schemas.openxmlformats.org/officeDocument/2006/relationships/hyperlink" Target="https://crm.infosis.tech/crm/deal/details/4387/" TargetMode="External"/><Relationship Id="rId612" Type="http://schemas.openxmlformats.org/officeDocument/2006/relationships/hyperlink" Target="http://clientes.infosis-arg.com:8090/display/IMP/Campelo+Mario+Alberto_OC" TargetMode="External"/><Relationship Id="rId611" Type="http://schemas.openxmlformats.org/officeDocument/2006/relationships/hyperlink" Target="https://crm.infosis.tech/crm/lead/details/28437/" TargetMode="External"/><Relationship Id="rId610" Type="http://schemas.openxmlformats.org/officeDocument/2006/relationships/hyperlink" Target="http://clientes.infosis-arg.com:8090/display/IMP/JOLTRENDS+SAS.+-+KCE" TargetMode="External"/><Relationship Id="rId617" Type="http://schemas.openxmlformats.org/officeDocument/2006/relationships/hyperlink" Target="https://crm.infosis.tech/crm/deal/details/4391/" TargetMode="External"/><Relationship Id="rId616" Type="http://schemas.openxmlformats.org/officeDocument/2006/relationships/hyperlink" Target="http://clientes.infosis-arg.com:8090/pages/viewpage.action?pageId=27852808" TargetMode="External"/><Relationship Id="rId615" Type="http://schemas.openxmlformats.org/officeDocument/2006/relationships/hyperlink" Target="https://crm.infosis.tech/crm/deal/details/4385/" TargetMode="External"/><Relationship Id="rId614" Type="http://schemas.openxmlformats.org/officeDocument/2006/relationships/hyperlink" Target="http://clientes.infosis-arg.com:8090/display/IMP/Zaiper+SRL_OC" TargetMode="External"/><Relationship Id="rId1440" Type="http://schemas.openxmlformats.org/officeDocument/2006/relationships/hyperlink" Target="https://crm.infosis.tech/crm/deal/details/6898/" TargetMode="External"/><Relationship Id="rId1441" Type="http://schemas.openxmlformats.org/officeDocument/2006/relationships/hyperlink" Target="https://crm.infosis.tech/crm/deal/details/6906/" TargetMode="External"/><Relationship Id="rId1442" Type="http://schemas.openxmlformats.org/officeDocument/2006/relationships/hyperlink" Target="https://crm.infosis.tech/crm/deal/details/6912/" TargetMode="External"/><Relationship Id="rId1443" Type="http://schemas.openxmlformats.org/officeDocument/2006/relationships/hyperlink" Target="https://crm.infosis.tech/crm/deal/details/6936/" TargetMode="External"/><Relationship Id="rId1477" Type="http://schemas.openxmlformats.org/officeDocument/2006/relationships/hyperlink" Target="https://crm.infosis.tech/crm/deal/details/7156/" TargetMode="External"/><Relationship Id="rId2324" Type="http://schemas.openxmlformats.org/officeDocument/2006/relationships/hyperlink" Target="https://crm.infosis.tech/crm/deal/details/19644/" TargetMode="External"/><Relationship Id="rId1478" Type="http://schemas.openxmlformats.org/officeDocument/2006/relationships/hyperlink" Target="https://crm.infosis.tech/crm/deal/details/7162/" TargetMode="External"/><Relationship Id="rId2325" Type="http://schemas.openxmlformats.org/officeDocument/2006/relationships/hyperlink" Target="https://crm.infosis.tech/crm/deal/details/19664/" TargetMode="External"/><Relationship Id="rId1479" Type="http://schemas.openxmlformats.org/officeDocument/2006/relationships/hyperlink" Target="https://crm.infosis.tech/crm/deal/details/7166/" TargetMode="External"/><Relationship Id="rId2326" Type="http://schemas.openxmlformats.org/officeDocument/2006/relationships/hyperlink" Target="https://crm.infosis.tech/crm/deal/details/19754/" TargetMode="External"/><Relationship Id="rId2327" Type="http://schemas.openxmlformats.org/officeDocument/2006/relationships/hyperlink" Target="https://crm.infosis.tech/crm/deal/details/19764/?any=details%2F19764%2F" TargetMode="External"/><Relationship Id="rId2328" Type="http://schemas.openxmlformats.org/officeDocument/2006/relationships/hyperlink" Target="https://crm.infosis.tech/crm/deal/details/19764/?any=details%2F19764%2F" TargetMode="External"/><Relationship Id="rId2329" Type="http://schemas.openxmlformats.org/officeDocument/2006/relationships/hyperlink" Target="https://crm.infosis.tech/crm/deal/details/19724/" TargetMode="External"/><Relationship Id="rId646" Type="http://schemas.openxmlformats.org/officeDocument/2006/relationships/hyperlink" Target="http://clientes.infosis-arg.com:8090/display/IMP/PINTURERIA+JORDA+SA_OC" TargetMode="External"/><Relationship Id="rId645" Type="http://schemas.openxmlformats.org/officeDocument/2006/relationships/hyperlink" Target="https://crm.infosis.tech/crm/lead/details/28771/" TargetMode="External"/><Relationship Id="rId644" Type="http://schemas.openxmlformats.org/officeDocument/2006/relationships/hyperlink" Target="http://clientes.infosis-arg.com:8090/display/IMP/Oribe+Camilo+Ignacio_OC" TargetMode="External"/><Relationship Id="rId643" Type="http://schemas.openxmlformats.org/officeDocument/2006/relationships/hyperlink" Target="https://crm.infosis.tech/crm/deal/details/4411/" TargetMode="External"/><Relationship Id="rId649" Type="http://schemas.openxmlformats.org/officeDocument/2006/relationships/hyperlink" Target="https://crm.infosis.tech/crm/deal/details/4417/" TargetMode="External"/><Relationship Id="rId648" Type="http://schemas.openxmlformats.org/officeDocument/2006/relationships/hyperlink" Target="http://clientes.infosis-arg.com:8090/display/IMP/Scott+Concept+Store+Gorriti+%234129" TargetMode="External"/><Relationship Id="rId647" Type="http://schemas.openxmlformats.org/officeDocument/2006/relationships/hyperlink" Target="https://crm.infosis.tech/crm/deal/details/4129/" TargetMode="External"/><Relationship Id="rId1470" Type="http://schemas.openxmlformats.org/officeDocument/2006/relationships/hyperlink" Target="https://crm.infosis.tech/crm/deal/details/7108/" TargetMode="External"/><Relationship Id="rId1471" Type="http://schemas.openxmlformats.org/officeDocument/2006/relationships/hyperlink" Target="https://crm.infosis.tech/crm/deal/details/7114/" TargetMode="External"/><Relationship Id="rId1472" Type="http://schemas.openxmlformats.org/officeDocument/2006/relationships/hyperlink" Target="https://crm.infosis.tech/crm/deal/details/7120/" TargetMode="External"/><Relationship Id="rId642" Type="http://schemas.openxmlformats.org/officeDocument/2006/relationships/hyperlink" Target="http://clientes.infosis-arg.com:8090/pages/viewpage.action?pageId=27623715" TargetMode="External"/><Relationship Id="rId1473" Type="http://schemas.openxmlformats.org/officeDocument/2006/relationships/hyperlink" Target="https://crm.infosis.tech/crm/deal/details/7122/" TargetMode="External"/><Relationship Id="rId2320" Type="http://schemas.openxmlformats.org/officeDocument/2006/relationships/hyperlink" Target="https://crm.infosis.tech/crm/deal/details/19742/" TargetMode="External"/><Relationship Id="rId641" Type="http://schemas.openxmlformats.org/officeDocument/2006/relationships/hyperlink" Target="https://crm.infosis.tech/crm/deal/details/4233/" TargetMode="External"/><Relationship Id="rId1474" Type="http://schemas.openxmlformats.org/officeDocument/2006/relationships/hyperlink" Target="https://crm.infosis.tech/crm/deal/details/7128/" TargetMode="External"/><Relationship Id="rId2321" Type="http://schemas.openxmlformats.org/officeDocument/2006/relationships/hyperlink" Target="https://crm.infosis.tech/crm/deal/details/19606/" TargetMode="External"/><Relationship Id="rId640" Type="http://schemas.openxmlformats.org/officeDocument/2006/relationships/hyperlink" Target="http://clientes.infosis-arg.com:8090/pages/viewpage.action?pageId=27852835" TargetMode="External"/><Relationship Id="rId1475" Type="http://schemas.openxmlformats.org/officeDocument/2006/relationships/hyperlink" Target="https://crm.infosis.tech/crm/deal/details/7136/" TargetMode="External"/><Relationship Id="rId2322" Type="http://schemas.openxmlformats.org/officeDocument/2006/relationships/hyperlink" Target="https://crm.infosis.tech/crm/deal/details/17166/" TargetMode="External"/><Relationship Id="rId1476" Type="http://schemas.openxmlformats.org/officeDocument/2006/relationships/hyperlink" Target="https://crm.infosis.tech/crm/deal/details/7144/" TargetMode="External"/><Relationship Id="rId2323" Type="http://schemas.openxmlformats.org/officeDocument/2006/relationships/hyperlink" Target="https://crm.infosis.tech/crm/deal/details/19746/" TargetMode="External"/><Relationship Id="rId1466" Type="http://schemas.openxmlformats.org/officeDocument/2006/relationships/hyperlink" Target="https://crm.infosis.tech/crm/deal/details/7070/" TargetMode="External"/><Relationship Id="rId2313" Type="http://schemas.openxmlformats.org/officeDocument/2006/relationships/hyperlink" Target="https://crm.infosis.tech/crm/deal/details/19332/" TargetMode="External"/><Relationship Id="rId1467" Type="http://schemas.openxmlformats.org/officeDocument/2006/relationships/hyperlink" Target="https://crm.infosis.tech/crm/deal/details/7084/" TargetMode="External"/><Relationship Id="rId2314" Type="http://schemas.openxmlformats.org/officeDocument/2006/relationships/hyperlink" Target="https://crm.infosis.tech/crm/deal/details/19220/?any=details%2F19220%2F" TargetMode="External"/><Relationship Id="rId1468" Type="http://schemas.openxmlformats.org/officeDocument/2006/relationships/hyperlink" Target="https://crm.infosis.tech/crm/deal/details/7096/" TargetMode="External"/><Relationship Id="rId2315" Type="http://schemas.openxmlformats.org/officeDocument/2006/relationships/hyperlink" Target="https://crm.infosis.tech/crm/deal/details/19396/?any=details%2F19396%2F" TargetMode="External"/><Relationship Id="rId1469" Type="http://schemas.openxmlformats.org/officeDocument/2006/relationships/hyperlink" Target="https://crm.infosis.tech/crm/deal/details/7100/" TargetMode="External"/><Relationship Id="rId2316" Type="http://schemas.openxmlformats.org/officeDocument/2006/relationships/hyperlink" Target="https://crm.infosis.tech/crm/deal/details/19574/" TargetMode="External"/><Relationship Id="rId2317" Type="http://schemas.openxmlformats.org/officeDocument/2006/relationships/hyperlink" Target="https://crm.infosis.tech/crm/deal/details/19614/" TargetMode="External"/><Relationship Id="rId2318" Type="http://schemas.openxmlformats.org/officeDocument/2006/relationships/hyperlink" Target="https://crm.infosis.tech/crm/deal/details/19674/" TargetMode="External"/><Relationship Id="rId2319" Type="http://schemas.openxmlformats.org/officeDocument/2006/relationships/hyperlink" Target="https://crm.infosis.tech/crm/deal/details/19456/" TargetMode="External"/><Relationship Id="rId635" Type="http://schemas.openxmlformats.org/officeDocument/2006/relationships/hyperlink" Target="https://crm.infosis.tech/crm/deal/details/4399/" TargetMode="External"/><Relationship Id="rId634" Type="http://schemas.openxmlformats.org/officeDocument/2006/relationships/hyperlink" Target="http://clientes.infosis-arg.com:8090/pages/viewpage.action?pageId=27623650" TargetMode="External"/><Relationship Id="rId633" Type="http://schemas.openxmlformats.org/officeDocument/2006/relationships/hyperlink" Target="https://crm.infosis.tech/crm/deal/details/4185/" TargetMode="External"/><Relationship Id="rId632" Type="http://schemas.openxmlformats.org/officeDocument/2006/relationships/hyperlink" Target="http://clientes.infosis-arg.com:8090/display/IMP/LEAEL+S.R.L.+-+%23+4199" TargetMode="External"/><Relationship Id="rId639" Type="http://schemas.openxmlformats.org/officeDocument/2006/relationships/hyperlink" Target="https://crm.infosis.tech/crm/deal/details/4403/" TargetMode="External"/><Relationship Id="rId638" Type="http://schemas.openxmlformats.org/officeDocument/2006/relationships/hyperlink" Target="http://clientes.infosis-arg.com:8090/display/IMP/DVIGI+-+KEC+-+4401" TargetMode="External"/><Relationship Id="rId637" Type="http://schemas.openxmlformats.org/officeDocument/2006/relationships/hyperlink" Target="https://crm.infosis.tech/crm/deal/details/4401/" TargetMode="External"/><Relationship Id="rId636" Type="http://schemas.openxmlformats.org/officeDocument/2006/relationships/hyperlink" Target="http://clientes.infosis-arg.com:8090/display/IMP/PASCUA+MAURO+DANIEL_OC" TargetMode="External"/><Relationship Id="rId1460" Type="http://schemas.openxmlformats.org/officeDocument/2006/relationships/hyperlink" Target="https://crm.infosis.tech/crm/deal/details/7034/" TargetMode="External"/><Relationship Id="rId1461" Type="http://schemas.openxmlformats.org/officeDocument/2006/relationships/hyperlink" Target="https://crm.infosis.tech/crm/deal/details/7044/" TargetMode="External"/><Relationship Id="rId631" Type="http://schemas.openxmlformats.org/officeDocument/2006/relationships/hyperlink" Target="https://crm.infosis.tech/crm/deal/details/4201/" TargetMode="External"/><Relationship Id="rId1462" Type="http://schemas.openxmlformats.org/officeDocument/2006/relationships/hyperlink" Target="https://crm.infosis.tech/crm/deal/details/7048/" TargetMode="External"/><Relationship Id="rId630" Type="http://schemas.openxmlformats.org/officeDocument/2006/relationships/hyperlink" Target="http://clientes.infosis-arg.com:8090/pages/viewpage.action?pageId=27623626" TargetMode="External"/><Relationship Id="rId1463" Type="http://schemas.openxmlformats.org/officeDocument/2006/relationships/hyperlink" Target="https://crm.infosis.tech/crm/deal/details/7052/" TargetMode="External"/><Relationship Id="rId2310" Type="http://schemas.openxmlformats.org/officeDocument/2006/relationships/hyperlink" Target="https://crm.infosis.tech/crm/deal/details/19570/" TargetMode="External"/><Relationship Id="rId1464" Type="http://schemas.openxmlformats.org/officeDocument/2006/relationships/hyperlink" Target="https://crm.infosis.tech/crm/deal/details/7056/" TargetMode="External"/><Relationship Id="rId2311" Type="http://schemas.openxmlformats.org/officeDocument/2006/relationships/hyperlink" Target="https://crm.infosis.tech/crm/deal/details/19588/" TargetMode="External"/><Relationship Id="rId1465" Type="http://schemas.openxmlformats.org/officeDocument/2006/relationships/hyperlink" Target="https://crm.infosis.tech/crm/deal/details/7060/" TargetMode="External"/><Relationship Id="rId2312" Type="http://schemas.openxmlformats.org/officeDocument/2006/relationships/hyperlink" Target="https://crm.infosis.tech/crm/deal/details/19568/" TargetMode="External"/><Relationship Id="rId1411" Type="http://schemas.openxmlformats.org/officeDocument/2006/relationships/hyperlink" Target="https://crm.infosis.tech/crm/deal/details/6732/" TargetMode="External"/><Relationship Id="rId1895" Type="http://schemas.openxmlformats.org/officeDocument/2006/relationships/hyperlink" Target="https://crm.infosis.tech/crm/deal/details/11642/" TargetMode="External"/><Relationship Id="rId1412" Type="http://schemas.openxmlformats.org/officeDocument/2006/relationships/hyperlink" Target="https://crm.infosis.tech/crm/deal/details/6740/" TargetMode="External"/><Relationship Id="rId1896" Type="http://schemas.openxmlformats.org/officeDocument/2006/relationships/hyperlink" Target="https://crm.infosis.tech/crm/deal/details/12078/" TargetMode="External"/><Relationship Id="rId1413" Type="http://schemas.openxmlformats.org/officeDocument/2006/relationships/hyperlink" Target="https://crm.infosis.tech/crm/deal/details/6746/" TargetMode="External"/><Relationship Id="rId1897" Type="http://schemas.openxmlformats.org/officeDocument/2006/relationships/hyperlink" Target="https://crm.infosis.tech/crm/deal/details/12144/" TargetMode="External"/><Relationship Id="rId1414" Type="http://schemas.openxmlformats.org/officeDocument/2006/relationships/hyperlink" Target="https://crm.infosis.tech/crm/deal/details/6752/" TargetMode="External"/><Relationship Id="rId1898" Type="http://schemas.openxmlformats.org/officeDocument/2006/relationships/hyperlink" Target="https://crm.infosis.tech/crm/deal/details/12138/" TargetMode="External"/><Relationship Id="rId1415" Type="http://schemas.openxmlformats.org/officeDocument/2006/relationships/hyperlink" Target="https://crm.infosis.tech/crm/deal/details/6758" TargetMode="External"/><Relationship Id="rId1899" Type="http://schemas.openxmlformats.org/officeDocument/2006/relationships/hyperlink" Target="https://crm.infosis.tech/crm/deal/details/11170/" TargetMode="External"/><Relationship Id="rId1416" Type="http://schemas.openxmlformats.org/officeDocument/2006/relationships/hyperlink" Target="https://crm.infosis.tech/crm/deal/details/6760/" TargetMode="External"/><Relationship Id="rId1417" Type="http://schemas.openxmlformats.org/officeDocument/2006/relationships/hyperlink" Target="https://crm.infosis.tech/crm/deal/details/6770" TargetMode="External"/><Relationship Id="rId1418" Type="http://schemas.openxmlformats.org/officeDocument/2006/relationships/hyperlink" Target="https://crm.infosis.tech/crm/deal/details/6782/" TargetMode="External"/><Relationship Id="rId1419" Type="http://schemas.openxmlformats.org/officeDocument/2006/relationships/hyperlink" Target="https://crm.infosis.tech/crm/deal/details/6784/" TargetMode="External"/><Relationship Id="rId1890" Type="http://schemas.openxmlformats.org/officeDocument/2006/relationships/hyperlink" Target="https://crm.infosis.tech/crm/deal/details/12140/" TargetMode="External"/><Relationship Id="rId1891" Type="http://schemas.openxmlformats.org/officeDocument/2006/relationships/hyperlink" Target="https://crm.infosis.tech/crm/deal/details/12130/" TargetMode="External"/><Relationship Id="rId1892" Type="http://schemas.openxmlformats.org/officeDocument/2006/relationships/hyperlink" Target="https://crm.infosis.tech/crm/deal/details/11944/" TargetMode="External"/><Relationship Id="rId1893" Type="http://schemas.openxmlformats.org/officeDocument/2006/relationships/hyperlink" Target="https://crm.infosis.tech/crm/deal/details/12162/" TargetMode="External"/><Relationship Id="rId1410" Type="http://schemas.openxmlformats.org/officeDocument/2006/relationships/hyperlink" Target="https://crm.infosis.tech/crm/deal/details/6728/?IFRAME_TYPE=SIDE_SLIDER&amp;any=details%2F6728%2F" TargetMode="External"/><Relationship Id="rId1894" Type="http://schemas.openxmlformats.org/officeDocument/2006/relationships/hyperlink" Target="https://crm.infosis.tech/crm/deal/details/12088/" TargetMode="External"/><Relationship Id="rId1400" Type="http://schemas.openxmlformats.org/officeDocument/2006/relationships/hyperlink" Target="https://crm.infosis.tech/crm/deal/details/6660/" TargetMode="External"/><Relationship Id="rId1884" Type="http://schemas.openxmlformats.org/officeDocument/2006/relationships/hyperlink" Target="https://crm.infosis.tech/crm/deal/details/11942/" TargetMode="External"/><Relationship Id="rId1401" Type="http://schemas.openxmlformats.org/officeDocument/2006/relationships/hyperlink" Target="https://crm.infosis.tech/crm/deal/details/6668/" TargetMode="External"/><Relationship Id="rId1885" Type="http://schemas.openxmlformats.org/officeDocument/2006/relationships/hyperlink" Target="https://crm.infosis.tech/crm/deal/details/11724/" TargetMode="External"/><Relationship Id="rId1402" Type="http://schemas.openxmlformats.org/officeDocument/2006/relationships/hyperlink" Target="https://crm.infosis.tech/crm/deal/details/6680/" TargetMode="External"/><Relationship Id="rId1886" Type="http://schemas.openxmlformats.org/officeDocument/2006/relationships/hyperlink" Target="https://crm.infosis.tech/crm/deal/details/11868/" TargetMode="External"/><Relationship Id="rId1403" Type="http://schemas.openxmlformats.org/officeDocument/2006/relationships/hyperlink" Target="https://crm.infosis.tech/crm/deal/details/6684" TargetMode="External"/><Relationship Id="rId1887" Type="http://schemas.openxmlformats.org/officeDocument/2006/relationships/hyperlink" Target="https://crm.infosis.tech/crm/deal/details/12020/" TargetMode="External"/><Relationship Id="rId1404" Type="http://schemas.openxmlformats.org/officeDocument/2006/relationships/hyperlink" Target="https://crm.infosis.tech/crm/deal/details/6692" TargetMode="External"/><Relationship Id="rId1888" Type="http://schemas.openxmlformats.org/officeDocument/2006/relationships/hyperlink" Target="https://crm.infosis.tech/crm/deal/details/11916/" TargetMode="External"/><Relationship Id="rId1405" Type="http://schemas.openxmlformats.org/officeDocument/2006/relationships/hyperlink" Target="https://crm.infosis.tech/crm/deal/details/6698/" TargetMode="External"/><Relationship Id="rId1889" Type="http://schemas.openxmlformats.org/officeDocument/2006/relationships/hyperlink" Target="https://crm.infosis.tech/crm/deal/details/12018/" TargetMode="External"/><Relationship Id="rId1406" Type="http://schemas.openxmlformats.org/officeDocument/2006/relationships/hyperlink" Target="https://crm.infosis.tech/crm/deal/details/6700/" TargetMode="External"/><Relationship Id="rId1407" Type="http://schemas.openxmlformats.org/officeDocument/2006/relationships/hyperlink" Target="https://crm.infosis.tech/crm/deal/details/6710/" TargetMode="External"/><Relationship Id="rId1408" Type="http://schemas.openxmlformats.org/officeDocument/2006/relationships/hyperlink" Target="https://crm.infosis.tech/crm/deal/details/6716/?IFRAME_TYPE=SIDE_SLIDER&amp;any=details%2F6716%2F" TargetMode="External"/><Relationship Id="rId1409" Type="http://schemas.openxmlformats.org/officeDocument/2006/relationships/hyperlink" Target="https://crm.infosis.tech/crm/deal/details/6722/" TargetMode="External"/><Relationship Id="rId1880" Type="http://schemas.openxmlformats.org/officeDocument/2006/relationships/hyperlink" Target="https://crm.infosis.tech/crm/deal/details/7660/" TargetMode="External"/><Relationship Id="rId1881" Type="http://schemas.openxmlformats.org/officeDocument/2006/relationships/hyperlink" Target="https://crm.infosis.tech/crm/deal/details/11938/" TargetMode="External"/><Relationship Id="rId1882" Type="http://schemas.openxmlformats.org/officeDocument/2006/relationships/hyperlink" Target="https://crm.infosis.tech/crm/deal/details/11278/" TargetMode="External"/><Relationship Id="rId1883" Type="http://schemas.openxmlformats.org/officeDocument/2006/relationships/hyperlink" Target="https://crm.infosis.tech/crm/deal/details/11998/" TargetMode="External"/><Relationship Id="rId1433" Type="http://schemas.openxmlformats.org/officeDocument/2006/relationships/hyperlink" Target="https://crm.infosis.tech/crm/deal/details/6858/" TargetMode="External"/><Relationship Id="rId1434" Type="http://schemas.openxmlformats.org/officeDocument/2006/relationships/hyperlink" Target="https://crm.infosis.tech/crm/deal/details/6862/" TargetMode="External"/><Relationship Id="rId1435" Type="http://schemas.openxmlformats.org/officeDocument/2006/relationships/hyperlink" Target="https://crm.infosis.tech/crm/deal/details/6868/" TargetMode="External"/><Relationship Id="rId1436" Type="http://schemas.openxmlformats.org/officeDocument/2006/relationships/hyperlink" Target="https://crm.infosis.tech/crm/deal/details/6872/" TargetMode="External"/><Relationship Id="rId1437" Type="http://schemas.openxmlformats.org/officeDocument/2006/relationships/hyperlink" Target="https://crm.infosis.tech/crm/deal/details/6876/" TargetMode="External"/><Relationship Id="rId1438" Type="http://schemas.openxmlformats.org/officeDocument/2006/relationships/hyperlink" Target="https://crm.infosis.tech/crm/deal/details/6880/" TargetMode="External"/><Relationship Id="rId1439" Type="http://schemas.openxmlformats.org/officeDocument/2006/relationships/hyperlink" Target="https://crm.infosis.tech/crm/deal/details/6894/" TargetMode="External"/><Relationship Id="rId609" Type="http://schemas.openxmlformats.org/officeDocument/2006/relationships/hyperlink" Target="https://crm.infosis.tech/crm/deal/details/4383/" TargetMode="External"/><Relationship Id="rId608" Type="http://schemas.openxmlformats.org/officeDocument/2006/relationships/hyperlink" Target="http://clientes.infosis-arg.com:8090/display/IMP/PATERNO+EDGARDO+GABRIEL_OC" TargetMode="External"/><Relationship Id="rId607" Type="http://schemas.openxmlformats.org/officeDocument/2006/relationships/hyperlink" Target="https://crm.infosis.tech/crm/deal/details/4381/" TargetMode="External"/><Relationship Id="rId602" Type="http://schemas.openxmlformats.org/officeDocument/2006/relationships/hyperlink" Target="http://clientes.infosis-arg.com:8090/display/IMP/TIRIBELLI+AGUSTIN+F+ALTA+RAZON+SOCIAL+-+BAJA+BRK+Y+BONANNI+MARIA+DEL+CARMEN" TargetMode="External"/><Relationship Id="rId601" Type="http://schemas.openxmlformats.org/officeDocument/2006/relationships/hyperlink" Target="https://crm.infosis.tech/crm/deal/details/4373/" TargetMode="External"/><Relationship Id="rId600" Type="http://schemas.openxmlformats.org/officeDocument/2006/relationships/hyperlink" Target="http://clientes.infosis-arg.com:8090/display/IMP/Mayol+Ruben+Dario_OC" TargetMode="External"/><Relationship Id="rId606" Type="http://schemas.openxmlformats.org/officeDocument/2006/relationships/hyperlink" Target="http://clientes.infosis-arg.com:8090/display/IMP/TOP+CLASS+PASTRY+SRL+-+4377" TargetMode="External"/><Relationship Id="rId605" Type="http://schemas.openxmlformats.org/officeDocument/2006/relationships/hyperlink" Target="https://crm.infosis.tech/crm/deal/details/4377/" TargetMode="External"/><Relationship Id="rId604" Type="http://schemas.openxmlformats.org/officeDocument/2006/relationships/hyperlink" Target="http://clientes.infosis-arg.com:8090/pages/viewpage.action?pageId=27623930" TargetMode="External"/><Relationship Id="rId603" Type="http://schemas.openxmlformats.org/officeDocument/2006/relationships/hyperlink" Target="https://crm.infosis.tech/crm/deal/details/4371/" TargetMode="External"/><Relationship Id="rId1430" Type="http://schemas.openxmlformats.org/officeDocument/2006/relationships/hyperlink" Target="https://crm.infosis.tech/crm/deal/details/6928/" TargetMode="External"/><Relationship Id="rId1431" Type="http://schemas.openxmlformats.org/officeDocument/2006/relationships/hyperlink" Target="https://crm.infosis.tech/crm/deal/details/6924/" TargetMode="External"/><Relationship Id="rId1432" Type="http://schemas.openxmlformats.org/officeDocument/2006/relationships/hyperlink" Target="https://crm.infosis.tech/crm/deal/details/6852/" TargetMode="External"/><Relationship Id="rId1422" Type="http://schemas.openxmlformats.org/officeDocument/2006/relationships/hyperlink" Target="https://crm.infosis.tech/crm/deal/details/6810/" TargetMode="External"/><Relationship Id="rId1423" Type="http://schemas.openxmlformats.org/officeDocument/2006/relationships/hyperlink" Target="https://crm.infosis.tech/crm/deal/details/6816/" TargetMode="External"/><Relationship Id="rId1424" Type="http://schemas.openxmlformats.org/officeDocument/2006/relationships/hyperlink" Target="https://crm.infosis.tech/crm/deal/details/6822/" TargetMode="External"/><Relationship Id="rId1425" Type="http://schemas.openxmlformats.org/officeDocument/2006/relationships/hyperlink" Target="https://crm.infosis.tech/crm/deal/details/6828/" TargetMode="External"/><Relationship Id="rId1426" Type="http://schemas.openxmlformats.org/officeDocument/2006/relationships/hyperlink" Target="https://crm.infosis.tech/crm/deal/details/6834/" TargetMode="External"/><Relationship Id="rId1427" Type="http://schemas.openxmlformats.org/officeDocument/2006/relationships/hyperlink" Target="https://crm.infosis.tech/crm/deal/details/6840/" TargetMode="External"/><Relationship Id="rId1428" Type="http://schemas.openxmlformats.org/officeDocument/2006/relationships/hyperlink" Target="https://crm.infosis.tech/crm/deal/details/6846/" TargetMode="External"/><Relationship Id="rId1429" Type="http://schemas.openxmlformats.org/officeDocument/2006/relationships/hyperlink" Target="https://crm.infosis.tech/crm/deal/details/6928/" TargetMode="External"/><Relationship Id="rId1420" Type="http://schemas.openxmlformats.org/officeDocument/2006/relationships/hyperlink" Target="https://crm.infosis.tech/crm/deal/details/6794/" TargetMode="External"/><Relationship Id="rId1421" Type="http://schemas.openxmlformats.org/officeDocument/2006/relationships/hyperlink" Target="https://crm.infosis.tech/crm/deal/details/6800/" TargetMode="External"/><Relationship Id="rId1059" Type="http://schemas.openxmlformats.org/officeDocument/2006/relationships/hyperlink" Target="https://crm.infosis.tech/crm/deal/details/4825/" TargetMode="External"/><Relationship Id="rId228" Type="http://schemas.openxmlformats.org/officeDocument/2006/relationships/hyperlink" Target="https://crm.infosis.tech/crm/deal/details/3616/" TargetMode="External"/><Relationship Id="rId227" Type="http://schemas.openxmlformats.org/officeDocument/2006/relationships/hyperlink" Target="http://clientes.infosis-arg.com:8090/pages/viewpage.action?pageId=27164852" TargetMode="External"/><Relationship Id="rId226" Type="http://schemas.openxmlformats.org/officeDocument/2006/relationships/hyperlink" Target="https://crm.infosis.tech/crm/deal/details/596/" TargetMode="External"/><Relationship Id="rId225" Type="http://schemas.openxmlformats.org/officeDocument/2006/relationships/hyperlink" Target="http://clientes.infosis-arg.com:8090/pages/viewpage.action?pageId=27164827" TargetMode="External"/><Relationship Id="rId2380" Type="http://schemas.openxmlformats.org/officeDocument/2006/relationships/hyperlink" Target="https://crm.infosis.tech/crm/deal/details/20472/" TargetMode="External"/><Relationship Id="rId229" Type="http://schemas.openxmlformats.org/officeDocument/2006/relationships/hyperlink" Target="http://clientes.infosis-arg.com:8090/pages/viewpage.action?pageId=27164862" TargetMode="External"/><Relationship Id="rId1050" Type="http://schemas.openxmlformats.org/officeDocument/2006/relationships/hyperlink" Target="http://clientes.infosis-arg.com:8090/pages/viewpage.action?pageId=28049612" TargetMode="External"/><Relationship Id="rId2381" Type="http://schemas.openxmlformats.org/officeDocument/2006/relationships/hyperlink" Target="https://crm.infosis.tech/crm/deal/details/20254/" TargetMode="External"/><Relationship Id="rId220" Type="http://schemas.openxmlformats.org/officeDocument/2006/relationships/hyperlink" Target="https://crm.infosis.tech/crm/deal/details/3657/" TargetMode="External"/><Relationship Id="rId1051" Type="http://schemas.openxmlformats.org/officeDocument/2006/relationships/hyperlink" Target="https://crm.infosis.tech/crm/deal/details/4815/" TargetMode="External"/><Relationship Id="rId2382" Type="http://schemas.openxmlformats.org/officeDocument/2006/relationships/hyperlink" Target="https://crm.infosis.tech/crm/deal/details/20370/" TargetMode="External"/><Relationship Id="rId1052" Type="http://schemas.openxmlformats.org/officeDocument/2006/relationships/hyperlink" Target="http://clientes.infosis-arg.com:8090/pages/viewpage.action?pageId=28050141" TargetMode="External"/><Relationship Id="rId2383" Type="http://schemas.openxmlformats.org/officeDocument/2006/relationships/hyperlink" Target="https://crm.infosis.tech/crm/deal/details/20672/" TargetMode="External"/><Relationship Id="rId1053" Type="http://schemas.openxmlformats.org/officeDocument/2006/relationships/hyperlink" Target="https://crm.infosis.tech/crm/deal/details/4819/" TargetMode="External"/><Relationship Id="rId2384" Type="http://schemas.openxmlformats.org/officeDocument/2006/relationships/hyperlink" Target="https://crm.infosis.tech/crm/deal/details/20654/" TargetMode="External"/><Relationship Id="rId1054" Type="http://schemas.openxmlformats.org/officeDocument/2006/relationships/hyperlink" Target="http://clientes.infosis-arg.com:8090/pages/viewpage.action?pageId=28050145" TargetMode="External"/><Relationship Id="rId2385" Type="http://schemas.openxmlformats.org/officeDocument/2006/relationships/hyperlink" Target="https://crm.infosis.tech/crm/deal/details/20736/" TargetMode="External"/><Relationship Id="rId224" Type="http://schemas.openxmlformats.org/officeDocument/2006/relationships/hyperlink" Target="https://crm.infosis.tech/crm/deal/details/3577/" TargetMode="External"/><Relationship Id="rId1055" Type="http://schemas.openxmlformats.org/officeDocument/2006/relationships/hyperlink" Target="https://crm.infosis.tech/crm/deal/details/4821/" TargetMode="External"/><Relationship Id="rId2386" Type="http://schemas.openxmlformats.org/officeDocument/2006/relationships/hyperlink" Target="https://crm.infosis.tech/crm/deal/details/20738/" TargetMode="External"/><Relationship Id="rId223" Type="http://schemas.openxmlformats.org/officeDocument/2006/relationships/hyperlink" Target="http://clientes.infosis-arg.com:8090/pages/viewpage.action?pageId=27164841" TargetMode="External"/><Relationship Id="rId1056" Type="http://schemas.openxmlformats.org/officeDocument/2006/relationships/hyperlink" Target="http://clientes.infosis-arg.com:8090/pages/viewpage.action?pageId=28050151" TargetMode="External"/><Relationship Id="rId2387" Type="http://schemas.openxmlformats.org/officeDocument/2006/relationships/hyperlink" Target="https://crm.infosis.tech/crm/deal/details/20784/" TargetMode="External"/><Relationship Id="rId222" Type="http://schemas.openxmlformats.org/officeDocument/2006/relationships/hyperlink" Target="https://crm.infosis.tech/crm/deal/details/3665/" TargetMode="External"/><Relationship Id="rId1057" Type="http://schemas.openxmlformats.org/officeDocument/2006/relationships/hyperlink" Target="https://crm.infosis.tech/crm/deal/details/4823/" TargetMode="External"/><Relationship Id="rId2388" Type="http://schemas.openxmlformats.org/officeDocument/2006/relationships/hyperlink" Target="https://crm.infosis.tech/crm/deal/details/20768/" TargetMode="External"/><Relationship Id="rId221" Type="http://schemas.openxmlformats.org/officeDocument/2006/relationships/hyperlink" Target="http://clientes.infosis-arg.com:8090/pages/viewpage.action?pageId=27164834" TargetMode="External"/><Relationship Id="rId1058" Type="http://schemas.openxmlformats.org/officeDocument/2006/relationships/hyperlink" Target="http://clientes.infosis-arg.com:8090/display/IMP/Amplia+GO+UNIVERSITARIO+ALEM" TargetMode="External"/><Relationship Id="rId2389" Type="http://schemas.openxmlformats.org/officeDocument/2006/relationships/hyperlink" Target="https://crm.infosis.tech/crm/deal/details/20812/" TargetMode="External"/><Relationship Id="rId1048" Type="http://schemas.openxmlformats.org/officeDocument/2006/relationships/hyperlink" Target="http://clientes.infosis-arg.com:8090/pages/viewpage.action?pageId=28050138" TargetMode="External"/><Relationship Id="rId2379" Type="http://schemas.openxmlformats.org/officeDocument/2006/relationships/hyperlink" Target="https://crm.infosis.tech/crm/deal/details/20642/" TargetMode="External"/><Relationship Id="rId1049" Type="http://schemas.openxmlformats.org/officeDocument/2006/relationships/hyperlink" Target="https://crm.infosis.tech/crm/deal/details/4527/" TargetMode="External"/><Relationship Id="rId217" Type="http://schemas.openxmlformats.org/officeDocument/2006/relationships/hyperlink" Target="http://clientes.infosis-arg.com:8090/pages/viewpage.action?pageId=27164818" TargetMode="External"/><Relationship Id="rId216" Type="http://schemas.openxmlformats.org/officeDocument/2006/relationships/hyperlink" Target="https://crm.infosis.tech/crm/deal/details/2647/" TargetMode="External"/><Relationship Id="rId215" Type="http://schemas.openxmlformats.org/officeDocument/2006/relationships/hyperlink" Target="http://clientes.infosis-arg.com:8090/pages/viewpage.action?pageId=27164789" TargetMode="External"/><Relationship Id="rId699" Type="http://schemas.openxmlformats.org/officeDocument/2006/relationships/hyperlink" Target="https://crm.infosis.tech/crm/deal/details/4459/" TargetMode="External"/><Relationship Id="rId214" Type="http://schemas.openxmlformats.org/officeDocument/2006/relationships/hyperlink" Target="https://crm.infosis.tech/crm/deal/details/3489/" TargetMode="External"/><Relationship Id="rId698" Type="http://schemas.openxmlformats.org/officeDocument/2006/relationships/hyperlink" Target="http://clientes.infosis-arg.com:8090/pages/viewpage.action?pageId=28049504" TargetMode="External"/><Relationship Id="rId219" Type="http://schemas.openxmlformats.org/officeDocument/2006/relationships/hyperlink" Target="http://clientes.infosis-arg.com:8090/pages/viewpage.action?pageId=27164806" TargetMode="External"/><Relationship Id="rId218" Type="http://schemas.openxmlformats.org/officeDocument/2006/relationships/hyperlink" Target="https://crm.infosis.tech/crm/deal/details/3539/" TargetMode="External"/><Relationship Id="rId2370" Type="http://schemas.openxmlformats.org/officeDocument/2006/relationships/hyperlink" Target="https://crm.infosis.tech/crm/deal/details/20504/" TargetMode="External"/><Relationship Id="rId693" Type="http://schemas.openxmlformats.org/officeDocument/2006/relationships/hyperlink" Target="https://crm.infosis.tech/crm/deal/details/4283/" TargetMode="External"/><Relationship Id="rId1040" Type="http://schemas.openxmlformats.org/officeDocument/2006/relationships/hyperlink" Target="http://clientes.infosis-arg.com:8090/pages/viewpage.action?pageId=28050118" TargetMode="External"/><Relationship Id="rId2371" Type="http://schemas.openxmlformats.org/officeDocument/2006/relationships/hyperlink" Target="https://crm.infosis.tech/crm/deal/details/20412/" TargetMode="External"/><Relationship Id="rId692" Type="http://schemas.openxmlformats.org/officeDocument/2006/relationships/hyperlink" Target="http://clientes.infosis-arg.com:8090/pages/viewpage.action?pageId=28049495" TargetMode="External"/><Relationship Id="rId1041" Type="http://schemas.openxmlformats.org/officeDocument/2006/relationships/hyperlink" Target="https://crm.infosis.tech/crm/deal/details/4807/" TargetMode="External"/><Relationship Id="rId2372" Type="http://schemas.openxmlformats.org/officeDocument/2006/relationships/hyperlink" Target="https://crm.infosis.tech/crm/deal/details/20550/?any=details%2F20550%2F" TargetMode="External"/><Relationship Id="rId691" Type="http://schemas.openxmlformats.org/officeDocument/2006/relationships/hyperlink" Target="https://crm.infosis.tech/crm/deal/details/4457/" TargetMode="External"/><Relationship Id="rId1042" Type="http://schemas.openxmlformats.org/officeDocument/2006/relationships/hyperlink" Target="http://clientes.infosis-arg.com:8090/display/IMP/GRUPPA+3+S.R.L.++COLORSHOP+-+4807" TargetMode="External"/><Relationship Id="rId2373" Type="http://schemas.openxmlformats.org/officeDocument/2006/relationships/hyperlink" Target="https://crm.infosis.tech/crm/deal/details/20550/?any=details%2F20550%2F" TargetMode="External"/><Relationship Id="rId690" Type="http://schemas.openxmlformats.org/officeDocument/2006/relationships/hyperlink" Target="http://clientes.infosis-arg.com:8090/pages/viewpage.action?pageId=28049486" TargetMode="External"/><Relationship Id="rId1043" Type="http://schemas.openxmlformats.org/officeDocument/2006/relationships/hyperlink" Target="https://crm.infosis.tech/crm/deal/details/4809/" TargetMode="External"/><Relationship Id="rId2374" Type="http://schemas.openxmlformats.org/officeDocument/2006/relationships/hyperlink" Target="https://crm.infosis.tech/crm/deal/details/20520/" TargetMode="External"/><Relationship Id="rId213" Type="http://schemas.openxmlformats.org/officeDocument/2006/relationships/hyperlink" Target="http://clientes.infosis-arg.com:8090/pages/viewpage.action?pageId=27164777" TargetMode="External"/><Relationship Id="rId697" Type="http://schemas.openxmlformats.org/officeDocument/2006/relationships/hyperlink" Target="https://crm.infosis.tech/crm/deal/details/4463/" TargetMode="External"/><Relationship Id="rId1044" Type="http://schemas.openxmlformats.org/officeDocument/2006/relationships/hyperlink" Target="http://clientes.infosis-arg.com:8090/display/IMP/INDUSTRIAS+METALURGICAS+LARROQUE+SA+AMPLIACION" TargetMode="External"/><Relationship Id="rId2375" Type="http://schemas.openxmlformats.org/officeDocument/2006/relationships/hyperlink" Target="https://crm.infosis.tech/crm/deal/details/20604/" TargetMode="External"/><Relationship Id="rId212" Type="http://schemas.openxmlformats.org/officeDocument/2006/relationships/hyperlink" Target="https://crm.infosis.tech/crm/deal/details/2254/" TargetMode="External"/><Relationship Id="rId696" Type="http://schemas.openxmlformats.org/officeDocument/2006/relationships/hyperlink" Target="http://clientes.infosis-arg.com:8090/display/IMP/Gorosito+Edith+Elida" TargetMode="External"/><Relationship Id="rId1045" Type="http://schemas.openxmlformats.org/officeDocument/2006/relationships/hyperlink" Target="https://crm.infosis.tech/crm/deal/details/4811/" TargetMode="External"/><Relationship Id="rId2376" Type="http://schemas.openxmlformats.org/officeDocument/2006/relationships/hyperlink" Target="https://crm.infosis.tech/crm/deal/details/20552/" TargetMode="External"/><Relationship Id="rId211" Type="http://schemas.openxmlformats.org/officeDocument/2006/relationships/hyperlink" Target="http://clientes.infosis-arg.com:8090/pages/viewpage.action?pageId=27164771" TargetMode="External"/><Relationship Id="rId695" Type="http://schemas.openxmlformats.org/officeDocument/2006/relationships/hyperlink" Target="https://crm.infosis.tech/crm/deal/details/4461/" TargetMode="External"/><Relationship Id="rId1046" Type="http://schemas.openxmlformats.org/officeDocument/2006/relationships/hyperlink" Target="http://clientes.infosis-arg.com:8090/pages/viewpage.action?pageId=28050131" TargetMode="External"/><Relationship Id="rId2377" Type="http://schemas.openxmlformats.org/officeDocument/2006/relationships/hyperlink" Target="https://crm.infosis.tech/crm/deal/details/20584/" TargetMode="External"/><Relationship Id="rId210" Type="http://schemas.openxmlformats.org/officeDocument/2006/relationships/hyperlink" Target="https://crm.infosis.tech/crm/deal/details/3254/" TargetMode="External"/><Relationship Id="rId694" Type="http://schemas.openxmlformats.org/officeDocument/2006/relationships/hyperlink" Target="http://clientes.infosis-arg.com:8090/display/IMP/Cabrera+Cristian+Dario+-+7CAVAS+-+4281" TargetMode="External"/><Relationship Id="rId1047" Type="http://schemas.openxmlformats.org/officeDocument/2006/relationships/hyperlink" Target="https://crm.infosis.tech/crm/deal/details/4813/" TargetMode="External"/><Relationship Id="rId2378" Type="http://schemas.openxmlformats.org/officeDocument/2006/relationships/hyperlink" Target="https://crm.infosis.tech/crm/deal/details/20380/" TargetMode="External"/><Relationship Id="rId249" Type="http://schemas.openxmlformats.org/officeDocument/2006/relationships/hyperlink" Target="http://clientes.infosis-arg.com:8090/pages/viewpage.action?pageId=27164917" TargetMode="External"/><Relationship Id="rId248" Type="http://schemas.openxmlformats.org/officeDocument/2006/relationships/hyperlink" Target="https://crm.infosis.tech/crm/deal/details/3748/" TargetMode="External"/><Relationship Id="rId247" Type="http://schemas.openxmlformats.org/officeDocument/2006/relationships/hyperlink" Target="http://clientes.infosis-arg.com:8090/display/IMP/ITURBE+SILVIA+ADRIANA_OC" TargetMode="External"/><Relationship Id="rId1070" Type="http://schemas.openxmlformats.org/officeDocument/2006/relationships/hyperlink" Target="http://clientes.infosis-arg.com:8090/pages/viewpage.action?pageId=28049644" TargetMode="External"/><Relationship Id="rId1071" Type="http://schemas.openxmlformats.org/officeDocument/2006/relationships/hyperlink" Target="https://crm.infosis.tech/crm/deal/details/4835/" TargetMode="External"/><Relationship Id="rId1072" Type="http://schemas.openxmlformats.org/officeDocument/2006/relationships/hyperlink" Target="http://clientes.infosis-arg.com:8090/pages/viewpage.action?pageId=28050174" TargetMode="External"/><Relationship Id="rId242" Type="http://schemas.openxmlformats.org/officeDocument/2006/relationships/hyperlink" Target="https://crm.infosis.tech/crm/deal/details/2723/" TargetMode="External"/><Relationship Id="rId1073" Type="http://schemas.openxmlformats.org/officeDocument/2006/relationships/hyperlink" Target="https://crm.infosis.tech/crm/deal/details/4597/" TargetMode="External"/><Relationship Id="rId241" Type="http://schemas.openxmlformats.org/officeDocument/2006/relationships/hyperlink" Target="http://clientes.infosis-arg.com:8090/display/IMP/JOSE+IGNACIO+CASTELLINI_OC" TargetMode="External"/><Relationship Id="rId1074" Type="http://schemas.openxmlformats.org/officeDocument/2006/relationships/hyperlink" Target="http://clientes.infosis-arg.com:8090/pages/viewpage.action?pageId=28049608" TargetMode="External"/><Relationship Id="rId240" Type="http://schemas.openxmlformats.org/officeDocument/2006/relationships/hyperlink" Target="https://crm.infosis.tech/crm/deal/details/3393/" TargetMode="External"/><Relationship Id="rId1075" Type="http://schemas.openxmlformats.org/officeDocument/2006/relationships/hyperlink" Target="https://crm.infosis.tech/crm/lead/details/33143/" TargetMode="External"/><Relationship Id="rId1076" Type="http://schemas.openxmlformats.org/officeDocument/2006/relationships/hyperlink" Target="http://clientes.infosis-arg.com:8090/display/IMP/BSMO+SA" TargetMode="External"/><Relationship Id="rId246" Type="http://schemas.openxmlformats.org/officeDocument/2006/relationships/hyperlink" Target="https://crm.infosis.tech/crm/deal/details/3747/" TargetMode="External"/><Relationship Id="rId1077" Type="http://schemas.openxmlformats.org/officeDocument/2006/relationships/hyperlink" Target="https://crm.infosis.tech/crm/deal/details/4839/" TargetMode="External"/><Relationship Id="rId245" Type="http://schemas.openxmlformats.org/officeDocument/2006/relationships/hyperlink" Target="http://clientes.infosis-arg.com:8090/pages/viewpage.action?pageId=26968089" TargetMode="External"/><Relationship Id="rId1078" Type="http://schemas.openxmlformats.org/officeDocument/2006/relationships/hyperlink" Target="http://clientes.infosis-arg.com:8090/pages/viewpage.action?pageId=28050177" TargetMode="External"/><Relationship Id="rId244" Type="http://schemas.openxmlformats.org/officeDocument/2006/relationships/hyperlink" Target="https://crm.infosis.tech/crm/deal/details/3335/" TargetMode="External"/><Relationship Id="rId1079" Type="http://schemas.openxmlformats.org/officeDocument/2006/relationships/hyperlink" Target="https://crm.infosis.tech/crm/deal/details/4557/" TargetMode="External"/><Relationship Id="rId243" Type="http://schemas.openxmlformats.org/officeDocument/2006/relationships/hyperlink" Target="http://clientes.infosis-arg.com:8090/pages/viewpage.action?pageId=26443807" TargetMode="External"/><Relationship Id="rId239" Type="http://schemas.openxmlformats.org/officeDocument/2006/relationships/hyperlink" Target="http://clientes.infosis-arg.com:8090/pages/viewpage.action?pageId=27164899" TargetMode="External"/><Relationship Id="rId238" Type="http://schemas.openxmlformats.org/officeDocument/2006/relationships/hyperlink" Target="https://crm.infosis.tech/crm/deal/details/3589/" TargetMode="External"/><Relationship Id="rId237" Type="http://schemas.openxmlformats.org/officeDocument/2006/relationships/hyperlink" Target="http://clientes.infosis-arg.com:8090/display/IMP/GUILLERMO+CORIA_OC" TargetMode="External"/><Relationship Id="rId236" Type="http://schemas.openxmlformats.org/officeDocument/2006/relationships/hyperlink" Target="https://crm.infosis.tech/crm/deal/details/3415/" TargetMode="External"/><Relationship Id="rId2390" Type="http://schemas.openxmlformats.org/officeDocument/2006/relationships/hyperlink" Target="https://crm.infosis.tech/crm/deal/details/20746/" TargetMode="External"/><Relationship Id="rId1060" Type="http://schemas.openxmlformats.org/officeDocument/2006/relationships/hyperlink" Target="http://clientes.infosis-arg.com:8090/pages/viewpage.action?pageId=28050156" TargetMode="External"/><Relationship Id="rId2391" Type="http://schemas.openxmlformats.org/officeDocument/2006/relationships/hyperlink" Target="https://crm.infosis.tech/crm/deal/details/20706/?any=details%2F20706%2F" TargetMode="External"/><Relationship Id="rId1061" Type="http://schemas.openxmlformats.org/officeDocument/2006/relationships/hyperlink" Target="https://crm.infosis.tech/crm/deal/details/4827/" TargetMode="External"/><Relationship Id="rId2392" Type="http://schemas.openxmlformats.org/officeDocument/2006/relationships/hyperlink" Target="https://crm.infosis.tech/crm/deal/details/20838/" TargetMode="External"/><Relationship Id="rId231" Type="http://schemas.openxmlformats.org/officeDocument/2006/relationships/hyperlink" Target="http://clientes.infosis-arg.com:8090/pages/viewpage.action?pageId=27164874" TargetMode="External"/><Relationship Id="rId1062" Type="http://schemas.openxmlformats.org/officeDocument/2006/relationships/hyperlink" Target="http://clientes.infosis-arg.com:8090/pages/viewpage.action?pageId=28050158" TargetMode="External"/><Relationship Id="rId2393" Type="http://schemas.openxmlformats.org/officeDocument/2006/relationships/hyperlink" Target="https://crm.infosis.tech/crm/deal/details/20846/" TargetMode="External"/><Relationship Id="rId230" Type="http://schemas.openxmlformats.org/officeDocument/2006/relationships/hyperlink" Target="https://crm.infosis.tech/crm/deal/details/3701/" TargetMode="External"/><Relationship Id="rId1063" Type="http://schemas.openxmlformats.org/officeDocument/2006/relationships/hyperlink" Target="https://crm.infosis.tech/crm/deal/details/4829/" TargetMode="External"/><Relationship Id="rId2394" Type="http://schemas.openxmlformats.org/officeDocument/2006/relationships/hyperlink" Target="https://crm.infosis.tech/crm/deal/details/20856/" TargetMode="External"/><Relationship Id="rId1064" Type="http://schemas.openxmlformats.org/officeDocument/2006/relationships/hyperlink" Target="http://clientes.infosis-arg.com:8090/pages/viewpage.action?pageId=2951133" TargetMode="External"/><Relationship Id="rId2395" Type="http://schemas.openxmlformats.org/officeDocument/2006/relationships/hyperlink" Target="https://crm.infosis.tech/crm/deal/details/20916/" TargetMode="External"/><Relationship Id="rId1065" Type="http://schemas.openxmlformats.org/officeDocument/2006/relationships/hyperlink" Target="https://crm.infosis.tech/crm/deal/details/4831/?IFRAME_TYPE=SIDE_SLIDER" TargetMode="External"/><Relationship Id="rId2396" Type="http://schemas.openxmlformats.org/officeDocument/2006/relationships/hyperlink" Target="https://crm.infosis.tech/crm/deal/details/20938/?any=details%2F20938%2F" TargetMode="External"/><Relationship Id="rId235" Type="http://schemas.openxmlformats.org/officeDocument/2006/relationships/hyperlink" Target="http://clientes.infosis-arg.com:8090/pages/viewpage.action?pageId=27164865" TargetMode="External"/><Relationship Id="rId1066" Type="http://schemas.openxmlformats.org/officeDocument/2006/relationships/hyperlink" Target="http://clientes.infosis-arg.com:8090/pages/viewpage.action?pageId=28050164" TargetMode="External"/><Relationship Id="rId2397" Type="http://schemas.openxmlformats.org/officeDocument/2006/relationships/hyperlink" Target="https://crm.infosis.tech/crm/deal/details/20850/?any=details%2F20850%2F" TargetMode="External"/><Relationship Id="rId234" Type="http://schemas.openxmlformats.org/officeDocument/2006/relationships/hyperlink" Target="https://crm.infosis.tech/crm/deal/details/3693/" TargetMode="External"/><Relationship Id="rId1067" Type="http://schemas.openxmlformats.org/officeDocument/2006/relationships/hyperlink" Target="https://crm.infosis.tech/crm/deal/details/4833/" TargetMode="External"/><Relationship Id="rId2398" Type="http://schemas.openxmlformats.org/officeDocument/2006/relationships/hyperlink" Target="https://crm.infosis.tech/crm/deal/details/20894/" TargetMode="External"/><Relationship Id="rId233" Type="http://schemas.openxmlformats.org/officeDocument/2006/relationships/hyperlink" Target="http://clientes.infosis-arg.com:8090/pages/viewpage.action?pageId=27164876" TargetMode="External"/><Relationship Id="rId1068" Type="http://schemas.openxmlformats.org/officeDocument/2006/relationships/hyperlink" Target="http://clientes.infosis-arg.com:8090/pages/viewpage.action?pageId=28050166" TargetMode="External"/><Relationship Id="rId2399" Type="http://schemas.openxmlformats.org/officeDocument/2006/relationships/hyperlink" Target="https://crm.infosis.tech/crm/deal/details/20908/" TargetMode="External"/><Relationship Id="rId232" Type="http://schemas.openxmlformats.org/officeDocument/2006/relationships/hyperlink" Target="https://crm.infosis.tech/crm/deal/details/3703/" TargetMode="External"/><Relationship Id="rId1069" Type="http://schemas.openxmlformats.org/officeDocument/2006/relationships/hyperlink" Target="https://crm.infosis.tech/crm/deal/details/4595/" TargetMode="External"/><Relationship Id="rId1015" Type="http://schemas.openxmlformats.org/officeDocument/2006/relationships/hyperlink" Target="https://crm.infosis.tech/crm/deal/details/4783/" TargetMode="External"/><Relationship Id="rId1499" Type="http://schemas.openxmlformats.org/officeDocument/2006/relationships/hyperlink" Target="https://crm.infosis.tech/crm/deal/details/7288/" TargetMode="External"/><Relationship Id="rId2346" Type="http://schemas.openxmlformats.org/officeDocument/2006/relationships/hyperlink" Target="https://crm.infosis.tech/crm/deal/details/19986/" TargetMode="External"/><Relationship Id="rId1016" Type="http://schemas.openxmlformats.org/officeDocument/2006/relationships/hyperlink" Target="http://clientes.infosis-arg.com:8090/pages/viewpage.action?pageId=28050073" TargetMode="External"/><Relationship Id="rId2347" Type="http://schemas.openxmlformats.org/officeDocument/2006/relationships/hyperlink" Target="https://crm.infosis.tech/crm/deal/details/20010/" TargetMode="External"/><Relationship Id="rId1017" Type="http://schemas.openxmlformats.org/officeDocument/2006/relationships/hyperlink" Target="https://crm.infosis.tech/crm/deal/details/4785/" TargetMode="External"/><Relationship Id="rId2348" Type="http://schemas.openxmlformats.org/officeDocument/2006/relationships/hyperlink" Target="https://crm.infosis.tech/crm/deal/details/19906/" TargetMode="External"/><Relationship Id="rId1018" Type="http://schemas.openxmlformats.org/officeDocument/2006/relationships/hyperlink" Target="http://clientes.infosis-arg.com:8090/pages/viewpage.action?pageId=28050075" TargetMode="External"/><Relationship Id="rId2349" Type="http://schemas.openxmlformats.org/officeDocument/2006/relationships/hyperlink" Target="https://crm.infosis.tech/crm/deal/details/20186/?any=details%2F20186%2F" TargetMode="External"/><Relationship Id="rId1019" Type="http://schemas.openxmlformats.org/officeDocument/2006/relationships/hyperlink" Target="https://crm.infosis.tech/crm/deal/details/4787/" TargetMode="External"/><Relationship Id="rId668" Type="http://schemas.openxmlformats.org/officeDocument/2006/relationships/hyperlink" Target="http://clientes.infosis-arg.com:8090/display/IMP/Alfan+SA_OC" TargetMode="External"/><Relationship Id="rId667" Type="http://schemas.openxmlformats.org/officeDocument/2006/relationships/hyperlink" Target="https://crm.infosis.tech/crm/deal/details/4441/" TargetMode="External"/><Relationship Id="rId666" Type="http://schemas.openxmlformats.org/officeDocument/2006/relationships/hyperlink" Target="http://clientes.infosis-arg.com:8090/pages/viewpage.action?pageId=27426978" TargetMode="External"/><Relationship Id="rId665" Type="http://schemas.openxmlformats.org/officeDocument/2006/relationships/hyperlink" Target="https://crm.infosis.tech/crm/deal/details/4159/" TargetMode="External"/><Relationship Id="rId669" Type="http://schemas.openxmlformats.org/officeDocument/2006/relationships/hyperlink" Target="https://crm.infosis.tech/crm/deal/details/4439/" TargetMode="External"/><Relationship Id="rId1490" Type="http://schemas.openxmlformats.org/officeDocument/2006/relationships/hyperlink" Target="https://crm.infosis.tech/crm/deal/details/7238/" TargetMode="External"/><Relationship Id="rId660" Type="http://schemas.openxmlformats.org/officeDocument/2006/relationships/hyperlink" Target="http://clientes.infosis-arg.com:8090/display/IMP/Ultracolor+SRL+-+4413" TargetMode="External"/><Relationship Id="rId1491" Type="http://schemas.openxmlformats.org/officeDocument/2006/relationships/hyperlink" Target="https://crm.infosis.tech/crm/deal/details/7246/" TargetMode="External"/><Relationship Id="rId1492" Type="http://schemas.openxmlformats.org/officeDocument/2006/relationships/hyperlink" Target="https://crm.infosis.tech/crm/deal/details/7248/" TargetMode="External"/><Relationship Id="rId1493" Type="http://schemas.openxmlformats.org/officeDocument/2006/relationships/hyperlink" Target="https://crm.infosis.tech/crm/deal/details/7258/" TargetMode="External"/><Relationship Id="rId2340" Type="http://schemas.openxmlformats.org/officeDocument/2006/relationships/hyperlink" Target="https://crm.infosis.tech/crm/deal/details/19900/" TargetMode="External"/><Relationship Id="rId1010" Type="http://schemas.openxmlformats.org/officeDocument/2006/relationships/hyperlink" Target="http://clientes.infosis-arg.com:8090/pages/viewpage.action?pageId=28050064" TargetMode="External"/><Relationship Id="rId1494" Type="http://schemas.openxmlformats.org/officeDocument/2006/relationships/hyperlink" Target="https://crm.infosis.tech/crm/deal/details/7262/" TargetMode="External"/><Relationship Id="rId2341" Type="http://schemas.openxmlformats.org/officeDocument/2006/relationships/hyperlink" Target="https://crm.infosis.tech/crm/deal/details/20086/" TargetMode="External"/><Relationship Id="rId664" Type="http://schemas.openxmlformats.org/officeDocument/2006/relationships/hyperlink" Target="http://clientes.infosis-arg.com:8090/pages/viewpage.action?pageId=28049452" TargetMode="External"/><Relationship Id="rId1011" Type="http://schemas.openxmlformats.org/officeDocument/2006/relationships/hyperlink" Target="https://crm.infosis.tech/crm/deal/details/4509/" TargetMode="External"/><Relationship Id="rId1495" Type="http://schemas.openxmlformats.org/officeDocument/2006/relationships/hyperlink" Target="https://crm.infosis.tech/crm/deal/details/7264/" TargetMode="External"/><Relationship Id="rId2342" Type="http://schemas.openxmlformats.org/officeDocument/2006/relationships/hyperlink" Target="https://crm.infosis.tech/crm/deal/details/20052/" TargetMode="External"/><Relationship Id="rId663" Type="http://schemas.openxmlformats.org/officeDocument/2006/relationships/hyperlink" Target="https://crm.infosis.tech/crm/deal/details/4427/" TargetMode="External"/><Relationship Id="rId1012" Type="http://schemas.openxmlformats.org/officeDocument/2006/relationships/hyperlink" Target="http://clientes.infosis-arg.com:8090/pages/viewpage.action?pageId=28049583" TargetMode="External"/><Relationship Id="rId1496" Type="http://schemas.openxmlformats.org/officeDocument/2006/relationships/hyperlink" Target="https://crm.infosis.tech/crm/deal/details/7275/" TargetMode="External"/><Relationship Id="rId2343" Type="http://schemas.openxmlformats.org/officeDocument/2006/relationships/hyperlink" Target="https://crm.infosis.tech/crm/deal/details/20128/" TargetMode="External"/><Relationship Id="rId662" Type="http://schemas.openxmlformats.org/officeDocument/2006/relationships/hyperlink" Target="http://clientes.infosis-arg.com:8090/pages/viewpage.action?pageId=28049439" TargetMode="External"/><Relationship Id="rId1013" Type="http://schemas.openxmlformats.org/officeDocument/2006/relationships/hyperlink" Target="https://crm.infosis.tech/crm/deal/details/4781/" TargetMode="External"/><Relationship Id="rId1497" Type="http://schemas.openxmlformats.org/officeDocument/2006/relationships/hyperlink" Target="https://crm.infosis.tech/crm/deal/details/7278/" TargetMode="External"/><Relationship Id="rId2344" Type="http://schemas.openxmlformats.org/officeDocument/2006/relationships/hyperlink" Target="https://crm.infosis.tech/crm/deal/details/20084/" TargetMode="External"/><Relationship Id="rId661" Type="http://schemas.openxmlformats.org/officeDocument/2006/relationships/hyperlink" Target="https://crm.infosis.tech/crm/deal/details/4425/" TargetMode="External"/><Relationship Id="rId1014" Type="http://schemas.openxmlformats.org/officeDocument/2006/relationships/hyperlink" Target="http://clientes.infosis-arg.com:8090/pages/viewpage.action?pageId=28050069" TargetMode="External"/><Relationship Id="rId1498" Type="http://schemas.openxmlformats.org/officeDocument/2006/relationships/hyperlink" Target="https://crm.infosis.tech/crm/deal/details/7284/" TargetMode="External"/><Relationship Id="rId2345" Type="http://schemas.openxmlformats.org/officeDocument/2006/relationships/hyperlink" Target="https://crm.infosis.tech/crm/deal/details/19984/" TargetMode="External"/><Relationship Id="rId1004" Type="http://schemas.openxmlformats.org/officeDocument/2006/relationships/hyperlink" Target="http://clientes.infosis-arg.com:8090/pages/viewpage.action?pageId=28050053" TargetMode="External"/><Relationship Id="rId1488" Type="http://schemas.openxmlformats.org/officeDocument/2006/relationships/hyperlink" Target="https://crm.infosis.tech/crm/deal/details/7222/" TargetMode="External"/><Relationship Id="rId2335" Type="http://schemas.openxmlformats.org/officeDocument/2006/relationships/hyperlink" Target="https://crm.infosis.tech/crm/deal/details/19956/" TargetMode="External"/><Relationship Id="rId1005" Type="http://schemas.openxmlformats.org/officeDocument/2006/relationships/hyperlink" Target="https://crm.infosis.tech/crm/deal/details/4773/" TargetMode="External"/><Relationship Id="rId1489" Type="http://schemas.openxmlformats.org/officeDocument/2006/relationships/hyperlink" Target="https://crm.infosis.tech/crm/deal/details/7234/" TargetMode="External"/><Relationship Id="rId2336" Type="http://schemas.openxmlformats.org/officeDocument/2006/relationships/hyperlink" Target="https://crm.infosis.tech/crm/deal/details/20006/" TargetMode="External"/><Relationship Id="rId1006" Type="http://schemas.openxmlformats.org/officeDocument/2006/relationships/hyperlink" Target="http://clientes.infosis-arg.com:8090/display/IMP/Amplia+y+regulariza+GODOY+ALFREDO+MARIO" TargetMode="External"/><Relationship Id="rId2337" Type="http://schemas.openxmlformats.org/officeDocument/2006/relationships/hyperlink" Target="https://crm.infosis.tech/crm/deal/details/20016/" TargetMode="External"/><Relationship Id="rId1007" Type="http://schemas.openxmlformats.org/officeDocument/2006/relationships/hyperlink" Target="https://crm.infosis.tech/crm/deal/details/4775/" TargetMode="External"/><Relationship Id="rId2338" Type="http://schemas.openxmlformats.org/officeDocument/2006/relationships/hyperlink" Target="https://crm.infosis.tech/crm/deal/details/19820/" TargetMode="External"/><Relationship Id="rId1008" Type="http://schemas.openxmlformats.org/officeDocument/2006/relationships/hyperlink" Target="http://clientes.infosis-arg.com:8090/pages/viewpage.action?pageId=28050058" TargetMode="External"/><Relationship Id="rId2339" Type="http://schemas.openxmlformats.org/officeDocument/2006/relationships/hyperlink" Target="https://crm.infosis.tech/crm/deal/details/19946/" TargetMode="External"/><Relationship Id="rId1009" Type="http://schemas.openxmlformats.org/officeDocument/2006/relationships/hyperlink" Target="https://crm.infosis.tech/crm/lead/details/33309/" TargetMode="External"/><Relationship Id="rId657" Type="http://schemas.openxmlformats.org/officeDocument/2006/relationships/hyperlink" Target="https://crm.infosis.tech/crm/deal/details/4421/?IFRAME_TYPE=SIDE_SLIDER" TargetMode="External"/><Relationship Id="rId656" Type="http://schemas.openxmlformats.org/officeDocument/2006/relationships/hyperlink" Target="http://clientes.infosis-arg.com:8090/display/IMP/Bertoia+Claudio+-+Lactiques+-+%234237" TargetMode="External"/><Relationship Id="rId655" Type="http://schemas.openxmlformats.org/officeDocument/2006/relationships/hyperlink" Target="https://crm.infosis.tech/crm/deal/details/4239/" TargetMode="External"/><Relationship Id="rId654" Type="http://schemas.openxmlformats.org/officeDocument/2006/relationships/hyperlink" Target="http://clientes.infosis-arg.com:8090/pages/viewpage.action?pageId=28049426" TargetMode="External"/><Relationship Id="rId659" Type="http://schemas.openxmlformats.org/officeDocument/2006/relationships/hyperlink" Target="https://crm.infosis.tech/crm/lead/details/20835/" TargetMode="External"/><Relationship Id="rId658" Type="http://schemas.openxmlformats.org/officeDocument/2006/relationships/hyperlink" Target="http://clientes.infosis-arg.com:8090/pages/viewpage.action?pageId=28049429" TargetMode="External"/><Relationship Id="rId1480" Type="http://schemas.openxmlformats.org/officeDocument/2006/relationships/hyperlink" Target="https://crm.infosis.tech/crm/deal/details/7174/" TargetMode="External"/><Relationship Id="rId1481" Type="http://schemas.openxmlformats.org/officeDocument/2006/relationships/hyperlink" Target="https://crm.infosis.tech/crm/deal/details/7178/" TargetMode="External"/><Relationship Id="rId1482" Type="http://schemas.openxmlformats.org/officeDocument/2006/relationships/hyperlink" Target="https://crm.infosis.tech/crm/deal/details/7180/" TargetMode="External"/><Relationship Id="rId1483" Type="http://schemas.openxmlformats.org/officeDocument/2006/relationships/hyperlink" Target="https://crm.infosis.tech/crm/deal/details/7182/" TargetMode="External"/><Relationship Id="rId2330" Type="http://schemas.openxmlformats.org/officeDocument/2006/relationships/hyperlink" Target="https://crm.infosis.tech/crm/deal/details/19846/" TargetMode="External"/><Relationship Id="rId653" Type="http://schemas.openxmlformats.org/officeDocument/2006/relationships/hyperlink" Target="https://crm.infosis.tech/crm/deal/details/4419/" TargetMode="External"/><Relationship Id="rId1000" Type="http://schemas.openxmlformats.org/officeDocument/2006/relationships/hyperlink" Target="http://clientes.infosis-arg.com:8090/pages/viewpage.action?pageId=28050047" TargetMode="External"/><Relationship Id="rId1484" Type="http://schemas.openxmlformats.org/officeDocument/2006/relationships/hyperlink" Target="https://crm.infosis.tech/crm/deal/details/7184/" TargetMode="External"/><Relationship Id="rId2331" Type="http://schemas.openxmlformats.org/officeDocument/2006/relationships/hyperlink" Target="https://crm.infosis.tech/crm/deal/details/19814/" TargetMode="External"/><Relationship Id="rId652" Type="http://schemas.openxmlformats.org/officeDocument/2006/relationships/hyperlink" Target="http://clientes.infosis-arg.com:8090/display/IMP/KARUWA+S.A.S._OC" TargetMode="External"/><Relationship Id="rId1001" Type="http://schemas.openxmlformats.org/officeDocument/2006/relationships/hyperlink" Target="https://crm.infosis.tech/crm/deal/details/4467/" TargetMode="External"/><Relationship Id="rId1485" Type="http://schemas.openxmlformats.org/officeDocument/2006/relationships/hyperlink" Target="https://crm.infosis.tech/crm/deal/details/7186/" TargetMode="External"/><Relationship Id="rId2332" Type="http://schemas.openxmlformats.org/officeDocument/2006/relationships/hyperlink" Target="https://crm.infosis.tech/crm/deal/details/19878/?any=details%2F19878%2F" TargetMode="External"/><Relationship Id="rId651" Type="http://schemas.openxmlformats.org/officeDocument/2006/relationships/hyperlink" Target="https://crm.infosis.tech/crm/deal/details/4137/" TargetMode="External"/><Relationship Id="rId1002" Type="http://schemas.openxmlformats.org/officeDocument/2006/relationships/hyperlink" Target="http://clientes.infosis-arg.com:8090/display/IMP/ORTIZ+JUAN+CRUZ" TargetMode="External"/><Relationship Id="rId1486" Type="http://schemas.openxmlformats.org/officeDocument/2006/relationships/hyperlink" Target="https://crm.infosis.tech/crm/deal/details/7210/" TargetMode="External"/><Relationship Id="rId2333" Type="http://schemas.openxmlformats.org/officeDocument/2006/relationships/hyperlink" Target="https://crm.infosis.tech/crm/deal/details/19844/?any=details%2F19844%2F" TargetMode="External"/><Relationship Id="rId650" Type="http://schemas.openxmlformats.org/officeDocument/2006/relationships/hyperlink" Target="http://clientes.infosis-arg.com:8090/display/IMP/Argentina+Constru+Met_OC" TargetMode="External"/><Relationship Id="rId1003" Type="http://schemas.openxmlformats.org/officeDocument/2006/relationships/hyperlink" Target="https://crm.infosis.tech/crm/deal/details/4771/" TargetMode="External"/><Relationship Id="rId1487" Type="http://schemas.openxmlformats.org/officeDocument/2006/relationships/hyperlink" Target="https://crm.infosis.tech/crm/deal/details/7216/" TargetMode="External"/><Relationship Id="rId2334" Type="http://schemas.openxmlformats.org/officeDocument/2006/relationships/hyperlink" Target="https://crm.infosis.tech/crm/deal/details/19884/" TargetMode="External"/><Relationship Id="rId1037" Type="http://schemas.openxmlformats.org/officeDocument/2006/relationships/hyperlink" Target="https://crm.infosis.tech/crm/deal/details/4803/" TargetMode="External"/><Relationship Id="rId2368" Type="http://schemas.openxmlformats.org/officeDocument/2006/relationships/hyperlink" Target="https://crm.infosis.tech/crm/deal/details/20218/?any=details%2F20218%2F" TargetMode="External"/><Relationship Id="rId1038" Type="http://schemas.openxmlformats.org/officeDocument/2006/relationships/hyperlink" Target="http://clientes.infosis-arg.com:8090/pages/viewpage.action?pageId=28050113" TargetMode="External"/><Relationship Id="rId2369" Type="http://schemas.openxmlformats.org/officeDocument/2006/relationships/hyperlink" Target="https://crm.infosis.tech/crm/deal/details/20404/" TargetMode="External"/><Relationship Id="rId1039" Type="http://schemas.openxmlformats.org/officeDocument/2006/relationships/hyperlink" Target="https://crm.infosis.tech/crm/deal/details/4805/" TargetMode="External"/><Relationship Id="rId206" Type="http://schemas.openxmlformats.org/officeDocument/2006/relationships/hyperlink" Target="https://crm.infosis.tech/crm/deal/details/3525/" TargetMode="External"/><Relationship Id="rId205" Type="http://schemas.openxmlformats.org/officeDocument/2006/relationships/hyperlink" Target="http://clientes.infosis-arg.com:8090/pages/viewpage.action?pageId=24379405" TargetMode="External"/><Relationship Id="rId689" Type="http://schemas.openxmlformats.org/officeDocument/2006/relationships/hyperlink" Target="https://crm.infosis.tech/crm/deal/details/4443/" TargetMode="External"/><Relationship Id="rId204" Type="http://schemas.openxmlformats.org/officeDocument/2006/relationships/hyperlink" Target="https://crm.infosis.tech/crm/deal/details/2531/" TargetMode="External"/><Relationship Id="rId688" Type="http://schemas.openxmlformats.org/officeDocument/2006/relationships/hyperlink" Target="http://clientes.infosis-arg.com:8090/pages/viewpage.action?pageId=28049485" TargetMode="External"/><Relationship Id="rId203" Type="http://schemas.openxmlformats.org/officeDocument/2006/relationships/hyperlink" Target="http://clientes.infosis-arg.com:8090/display/IMP/Acero+Jeklo+SAS" TargetMode="External"/><Relationship Id="rId687" Type="http://schemas.openxmlformats.org/officeDocument/2006/relationships/hyperlink" Target="https://crm.infosis.tech/crm/deal/details/4455/" TargetMode="External"/><Relationship Id="rId209" Type="http://schemas.openxmlformats.org/officeDocument/2006/relationships/hyperlink" Target="http://clientes.infosis-arg.com:8090/pages/viewpage.action?pageId=27164992" TargetMode="External"/><Relationship Id="rId208" Type="http://schemas.openxmlformats.org/officeDocument/2006/relationships/hyperlink" Target="https://crm.infosis.tech/crm/deal/details/3165/" TargetMode="External"/><Relationship Id="rId207" Type="http://schemas.openxmlformats.org/officeDocument/2006/relationships/hyperlink" Target="http://clientes.infosis-arg.com:8090/pages/viewpage.action?pageId=27164751" TargetMode="External"/><Relationship Id="rId682" Type="http://schemas.openxmlformats.org/officeDocument/2006/relationships/hyperlink" Target="http://clientes.infosis-arg.com:8090/display/IMP/MAGLIANO+CLAUDIA+MARIA+DE+LAS+MERCEDES_OC" TargetMode="External"/><Relationship Id="rId2360" Type="http://schemas.openxmlformats.org/officeDocument/2006/relationships/hyperlink" Target="https://crm.infosis.tech/crm/deal/details/20204/" TargetMode="External"/><Relationship Id="rId681" Type="http://schemas.openxmlformats.org/officeDocument/2006/relationships/hyperlink" Target="https://crm.infosis.tech/crm/lead/details/29583/" TargetMode="External"/><Relationship Id="rId1030" Type="http://schemas.openxmlformats.org/officeDocument/2006/relationships/hyperlink" Target="http://clientes.infosis-arg.com:8090/pages/viewpage.action?pageId=28050093" TargetMode="External"/><Relationship Id="rId2361" Type="http://schemas.openxmlformats.org/officeDocument/2006/relationships/hyperlink" Target="https://crm.infosis.tech/crm/deal/details/20406/" TargetMode="External"/><Relationship Id="rId680" Type="http://schemas.openxmlformats.org/officeDocument/2006/relationships/hyperlink" Target="http://clientes.infosis-arg.com:8090/pages/viewpage.action?pageId=28049480" TargetMode="External"/><Relationship Id="rId1031" Type="http://schemas.openxmlformats.org/officeDocument/2006/relationships/hyperlink" Target="https://crm.infosis.tech/crm/lead/details/33165/" TargetMode="External"/><Relationship Id="rId2362" Type="http://schemas.openxmlformats.org/officeDocument/2006/relationships/hyperlink" Target="https://crm.infosis.tech/crm/deal/details/20372/" TargetMode="External"/><Relationship Id="rId1032" Type="http://schemas.openxmlformats.org/officeDocument/2006/relationships/hyperlink" Target="http://clientes.infosis-arg.com:8090/pages/viewpage.action?pageId=28050089" TargetMode="External"/><Relationship Id="rId2363" Type="http://schemas.openxmlformats.org/officeDocument/2006/relationships/hyperlink" Target="https://crm.infosis.tech/crm/deal/details/20226/" TargetMode="External"/><Relationship Id="rId202" Type="http://schemas.openxmlformats.org/officeDocument/2006/relationships/hyperlink" Target="https://crm.infosis.tech/crm/deal/details/3407/" TargetMode="External"/><Relationship Id="rId686" Type="http://schemas.openxmlformats.org/officeDocument/2006/relationships/hyperlink" Target="http://clientes.infosis-arg.com:8090/display/IMP/PINTURERIA+JORDA+SA_AMPL_UPGRADE" TargetMode="External"/><Relationship Id="rId1033" Type="http://schemas.openxmlformats.org/officeDocument/2006/relationships/hyperlink" Target="https://crm.infosis.tech/crm/deal/details/4799/" TargetMode="External"/><Relationship Id="rId2364" Type="http://schemas.openxmlformats.org/officeDocument/2006/relationships/hyperlink" Target="https://crm.infosis.tech/crm/deal/details/17092/" TargetMode="External"/><Relationship Id="rId201" Type="http://schemas.openxmlformats.org/officeDocument/2006/relationships/hyperlink" Target="http://clientes.infosis-arg.com:8090/pages/viewpage.action?pageId=2955626" TargetMode="External"/><Relationship Id="rId685" Type="http://schemas.openxmlformats.org/officeDocument/2006/relationships/hyperlink" Target="https://crm.infosis.tech/crm/lead/details/30137/" TargetMode="External"/><Relationship Id="rId1034" Type="http://schemas.openxmlformats.org/officeDocument/2006/relationships/hyperlink" Target="http://clientes.infosis-arg.com:8090/pages/viewpage.action?pageId=28050102" TargetMode="External"/><Relationship Id="rId2365" Type="http://schemas.openxmlformats.org/officeDocument/2006/relationships/hyperlink" Target="https://crm.infosis.tech/crm/deal/details/11058/?any=details%2F11058%2F" TargetMode="External"/><Relationship Id="rId200" Type="http://schemas.openxmlformats.org/officeDocument/2006/relationships/hyperlink" Target="https://crm.infosis.tech/crm/deal/details/962/" TargetMode="External"/><Relationship Id="rId684" Type="http://schemas.openxmlformats.org/officeDocument/2006/relationships/hyperlink" Target="http://clientes.infosis-arg.com:8090/pages/viewpage.action?pageId=27426912" TargetMode="External"/><Relationship Id="rId1035" Type="http://schemas.openxmlformats.org/officeDocument/2006/relationships/hyperlink" Target="https://crm.infosis.tech/crm/deal/details/4801/" TargetMode="External"/><Relationship Id="rId2366" Type="http://schemas.openxmlformats.org/officeDocument/2006/relationships/hyperlink" Target="https://crm.infosis.tech/crm/deal/details/20326/" TargetMode="External"/><Relationship Id="rId683" Type="http://schemas.openxmlformats.org/officeDocument/2006/relationships/hyperlink" Target="https://crm.infosis.tech/crm/deal/details/4217/" TargetMode="External"/><Relationship Id="rId1036" Type="http://schemas.openxmlformats.org/officeDocument/2006/relationships/hyperlink" Target="http://clientes.infosis-arg.com:8090/pages/viewpage.action?pageId=28050106" TargetMode="External"/><Relationship Id="rId2367" Type="http://schemas.openxmlformats.org/officeDocument/2006/relationships/hyperlink" Target="https://crm.infosis.tech/crm/deal/details/20486/" TargetMode="External"/><Relationship Id="rId1026" Type="http://schemas.openxmlformats.org/officeDocument/2006/relationships/hyperlink" Target="http://clientes.infosis-arg.com:8090/pages/viewpage.action?pageId=28050085" TargetMode="External"/><Relationship Id="rId2357" Type="http://schemas.openxmlformats.org/officeDocument/2006/relationships/hyperlink" Target="https://crm.infosis.tech/crm/deal/details/20172/" TargetMode="External"/><Relationship Id="rId1027" Type="http://schemas.openxmlformats.org/officeDocument/2006/relationships/hyperlink" Target="https://crm.infosis.tech/crm/deal/details/4793/" TargetMode="External"/><Relationship Id="rId2358" Type="http://schemas.openxmlformats.org/officeDocument/2006/relationships/hyperlink" Target="https://crm.infosis.tech/crm/deal/details/20244/" TargetMode="External"/><Relationship Id="rId1028" Type="http://schemas.openxmlformats.org/officeDocument/2006/relationships/hyperlink" Target="http://clientes.infosis-arg.com:8090/pages/viewpage.action?pageId=28050087" TargetMode="External"/><Relationship Id="rId2359" Type="http://schemas.openxmlformats.org/officeDocument/2006/relationships/hyperlink" Target="https://crm.infosis.tech/crm/deal/details/20180/?any=details%2F20180%2F" TargetMode="External"/><Relationship Id="rId1029" Type="http://schemas.openxmlformats.org/officeDocument/2006/relationships/hyperlink" Target="https://crm.infosis.tech/crm/deal/details/4795/" TargetMode="External"/><Relationship Id="rId679" Type="http://schemas.openxmlformats.org/officeDocument/2006/relationships/hyperlink" Target="https://crm.infosis.tech/crm/deal/details/4451/" TargetMode="External"/><Relationship Id="rId678" Type="http://schemas.openxmlformats.org/officeDocument/2006/relationships/hyperlink" Target="http://clientes.infosis-arg.com:8090/pages/viewpage.action?pageId=28049478" TargetMode="External"/><Relationship Id="rId677" Type="http://schemas.openxmlformats.org/officeDocument/2006/relationships/hyperlink" Target="https://crm.infosis.tech/crm/deal/details/4449/" TargetMode="External"/><Relationship Id="rId676" Type="http://schemas.openxmlformats.org/officeDocument/2006/relationships/hyperlink" Target="http://clientes.infosis-arg.com:8090/pages/viewpage.action?pageId=28049474" TargetMode="External"/><Relationship Id="rId671" Type="http://schemas.openxmlformats.org/officeDocument/2006/relationships/hyperlink" Target="https://crm.infosis.tech/crm/lead/details/30227/" TargetMode="External"/><Relationship Id="rId670" Type="http://schemas.openxmlformats.org/officeDocument/2006/relationships/hyperlink" Target="http://clientes.infosis-arg.com:8090/pages/viewpage.action?pageId=28049465" TargetMode="External"/><Relationship Id="rId2350" Type="http://schemas.openxmlformats.org/officeDocument/2006/relationships/hyperlink" Target="https://crm.infosis.tech/crm/deal/details/19936/" TargetMode="External"/><Relationship Id="rId1020" Type="http://schemas.openxmlformats.org/officeDocument/2006/relationships/hyperlink" Target="http://clientes.infosis-arg.com:8090/pages/viewpage.action?pageId=28050077" TargetMode="External"/><Relationship Id="rId2351" Type="http://schemas.openxmlformats.org/officeDocument/2006/relationships/hyperlink" Target="https://crm.infosis.tech/crm/deal/details/19936/" TargetMode="External"/><Relationship Id="rId1021" Type="http://schemas.openxmlformats.org/officeDocument/2006/relationships/hyperlink" Target="https://crm.infosis.tech/crm/deal/details/4789/" TargetMode="External"/><Relationship Id="rId2352" Type="http://schemas.openxmlformats.org/officeDocument/2006/relationships/hyperlink" Target="https://crm.infosis.tech/crm/deal/details/19412/?any=details%2F19412%2F" TargetMode="External"/><Relationship Id="rId675" Type="http://schemas.openxmlformats.org/officeDocument/2006/relationships/hyperlink" Target="https://crm.infosis.tech/crm/deal/details/4445/" TargetMode="External"/><Relationship Id="rId1022" Type="http://schemas.openxmlformats.org/officeDocument/2006/relationships/hyperlink" Target="http://clientes.infosis-arg.com:8090/pages/viewpage.action?pageId=28050081" TargetMode="External"/><Relationship Id="rId2353" Type="http://schemas.openxmlformats.org/officeDocument/2006/relationships/hyperlink" Target="https://crm.infosis.tech/crm/deal/details/20240/" TargetMode="External"/><Relationship Id="rId674" Type="http://schemas.openxmlformats.org/officeDocument/2006/relationships/hyperlink" Target="http://clientes.infosis-arg.com:8090/display/IMP/FRESSINI+INSTALACIONES+SOC.+COL" TargetMode="External"/><Relationship Id="rId1023" Type="http://schemas.openxmlformats.org/officeDocument/2006/relationships/hyperlink" Target="https://crm.infosis.tech/crm/deal/details/4791/" TargetMode="External"/><Relationship Id="rId2354" Type="http://schemas.openxmlformats.org/officeDocument/2006/relationships/hyperlink" Target="https://crm.infosis.tech/crm/deal/details/20262/" TargetMode="External"/><Relationship Id="rId673" Type="http://schemas.openxmlformats.org/officeDocument/2006/relationships/hyperlink" Target="https://crm.infosis.tech/crm/deal/details/4447/" TargetMode="External"/><Relationship Id="rId1024" Type="http://schemas.openxmlformats.org/officeDocument/2006/relationships/hyperlink" Target="http://clientes.infosis-arg.com:8090/pages/viewpage.action?pageId=28050083" TargetMode="External"/><Relationship Id="rId2355" Type="http://schemas.openxmlformats.org/officeDocument/2006/relationships/hyperlink" Target="https://crm.infosis.tech/crm/deal/details/20276/" TargetMode="External"/><Relationship Id="rId672" Type="http://schemas.openxmlformats.org/officeDocument/2006/relationships/hyperlink" Target="http://clientes.infosis-arg.com:8090/display/IMP/GALLO+RITA+DEL+VALLE_OC" TargetMode="External"/><Relationship Id="rId1025" Type="http://schemas.openxmlformats.org/officeDocument/2006/relationships/hyperlink" Target="https://crm.infosis.tech/crm/deal/details/4793/" TargetMode="External"/><Relationship Id="rId2356" Type="http://schemas.openxmlformats.org/officeDocument/2006/relationships/hyperlink" Target="https://crm.infosis.tech/crm/deal/details/20172/" TargetMode="External"/><Relationship Id="rId190" Type="http://schemas.openxmlformats.org/officeDocument/2006/relationships/hyperlink" Target="https://crm.infosis.tech/crm/deal/details/3445/" TargetMode="External"/><Relationship Id="rId194" Type="http://schemas.openxmlformats.org/officeDocument/2006/relationships/hyperlink" Target="https://crm.infosis.tech/crm/deal/details/3317/" TargetMode="External"/><Relationship Id="rId193" Type="http://schemas.openxmlformats.org/officeDocument/2006/relationships/hyperlink" Target="http://clientes.infosis-arg.com:8090/pages/viewpage.action?pageId=27164713" TargetMode="External"/><Relationship Id="rId192" Type="http://schemas.openxmlformats.org/officeDocument/2006/relationships/hyperlink" Target="https://crm.infosis.tech/crm/deal/details/3461/" TargetMode="External"/><Relationship Id="rId191" Type="http://schemas.openxmlformats.org/officeDocument/2006/relationships/hyperlink" Target="http://clientes.infosis-arg.com:8090/pages/viewpage.action?pageId=27164708" TargetMode="External"/><Relationship Id="rId187" Type="http://schemas.openxmlformats.org/officeDocument/2006/relationships/hyperlink" Target="http://clientes.infosis-arg.com:8090/pages/viewpage.action?pageId=26968100" TargetMode="External"/><Relationship Id="rId186" Type="http://schemas.openxmlformats.org/officeDocument/2006/relationships/hyperlink" Target="https://crm.infosis.tech/crm/deal/details/3015/" TargetMode="External"/><Relationship Id="rId185" Type="http://schemas.openxmlformats.org/officeDocument/2006/relationships/hyperlink" Target="http://clientes.infosis-arg.com:8090/display/IMP/SP+Filtraciones+de+Fluidos+S.A" TargetMode="External"/><Relationship Id="rId184" Type="http://schemas.openxmlformats.org/officeDocument/2006/relationships/hyperlink" Target="https://crm.infosis.tech/crm/deal/details/3379/" TargetMode="External"/><Relationship Id="rId189" Type="http://schemas.openxmlformats.org/officeDocument/2006/relationships/hyperlink" Target="http://clientes.infosis-arg.com:8090/pages/viewpage.action?pageId=27164702" TargetMode="External"/><Relationship Id="rId188" Type="http://schemas.openxmlformats.org/officeDocument/2006/relationships/hyperlink" Target="https://crm.infosis.tech/crm/deal/details/3437/" TargetMode="External"/><Relationship Id="rId183" Type="http://schemas.openxmlformats.org/officeDocument/2006/relationships/hyperlink" Target="http://clientes.infosis-arg.com:8090/pages/viewpage.action?pageId=26673463" TargetMode="External"/><Relationship Id="rId182" Type="http://schemas.openxmlformats.org/officeDocument/2006/relationships/hyperlink" Target="https://crm.infosis.tech/crm/deal/details/3183/" TargetMode="External"/><Relationship Id="rId181" Type="http://schemas.openxmlformats.org/officeDocument/2006/relationships/hyperlink" Target="http://clientes.infosis-arg.com:8090/pages/viewpage.action?pageId=26968074" TargetMode="External"/><Relationship Id="rId180" Type="http://schemas.openxmlformats.org/officeDocument/2006/relationships/hyperlink" Target="https://crm.infosis.tech/crm/deal/details/3275/" TargetMode="External"/><Relationship Id="rId176" Type="http://schemas.openxmlformats.org/officeDocument/2006/relationships/hyperlink" Target="https://crm.infosis.tech/crm/deal/details/3205/" TargetMode="External"/><Relationship Id="rId175" Type="http://schemas.openxmlformats.org/officeDocument/2006/relationships/hyperlink" Target="http://clientes.infosis-arg.com:8090/pages/viewpage.action?pageId=26968072" TargetMode="External"/><Relationship Id="rId174" Type="http://schemas.openxmlformats.org/officeDocument/2006/relationships/hyperlink" Target="https://crm.infosis.tech/crm/deal/details/3165/" TargetMode="External"/><Relationship Id="rId173" Type="http://schemas.openxmlformats.org/officeDocument/2006/relationships/hyperlink" Target="http://clientes.infosis-arg.com:8090/pages/viewpage.action?pageId=26968066" TargetMode="External"/><Relationship Id="rId179" Type="http://schemas.openxmlformats.org/officeDocument/2006/relationships/hyperlink" Target="http://clientes.infosis-arg.com:8090/pages/viewpage.action?pageId=2950779" TargetMode="External"/><Relationship Id="rId178" Type="http://schemas.openxmlformats.org/officeDocument/2006/relationships/hyperlink" Target="https://crm.infosis.tech/crm/deal/details/3271/" TargetMode="External"/><Relationship Id="rId177" Type="http://schemas.openxmlformats.org/officeDocument/2006/relationships/hyperlink" Target="http://clientes.infosis-arg.com:8090/pages/viewpage.action?pageId=26673457" TargetMode="External"/><Relationship Id="rId1910" Type="http://schemas.openxmlformats.org/officeDocument/2006/relationships/hyperlink" Target="https://crm.infosis.tech/crm/deal/details/12500/" TargetMode="External"/><Relationship Id="rId1911" Type="http://schemas.openxmlformats.org/officeDocument/2006/relationships/hyperlink" Target="https://crm.infosis.tech/crm/deal/details/12148/" TargetMode="External"/><Relationship Id="rId1912" Type="http://schemas.openxmlformats.org/officeDocument/2006/relationships/hyperlink" Target="https://crm.infosis.tech/crm/deal/details/12394/" TargetMode="External"/><Relationship Id="rId1913" Type="http://schemas.openxmlformats.org/officeDocument/2006/relationships/hyperlink" Target="https://crm.infosis.tech/crm/deal/details/12558/" TargetMode="External"/><Relationship Id="rId1914" Type="http://schemas.openxmlformats.org/officeDocument/2006/relationships/hyperlink" Target="https://crm.infosis.tech/crm/deal/details/12662/" TargetMode="External"/><Relationship Id="rId1915" Type="http://schemas.openxmlformats.org/officeDocument/2006/relationships/hyperlink" Target="https://crm.infosis.tech/crm/deal/details/11914/" TargetMode="External"/><Relationship Id="rId1916" Type="http://schemas.openxmlformats.org/officeDocument/2006/relationships/hyperlink" Target="https://crm.infosis.tech/crm/deal/details/12524/" TargetMode="External"/><Relationship Id="rId1917" Type="http://schemas.openxmlformats.org/officeDocument/2006/relationships/hyperlink" Target="https://crm.infosis.tech/crm/deal/details/12504/" TargetMode="External"/><Relationship Id="rId1918" Type="http://schemas.openxmlformats.org/officeDocument/2006/relationships/hyperlink" Target="https://crm.infosis.tech/crm/deal/details/12508/" TargetMode="External"/><Relationship Id="rId1919" Type="http://schemas.openxmlformats.org/officeDocument/2006/relationships/hyperlink" Target="https://crm.infosis.tech/crm/deal/details/12638/" TargetMode="External"/><Relationship Id="rId1900" Type="http://schemas.openxmlformats.org/officeDocument/2006/relationships/hyperlink" Target="https://crm.infosis.tech/crm/deal/details/12152/" TargetMode="External"/><Relationship Id="rId1901" Type="http://schemas.openxmlformats.org/officeDocument/2006/relationships/hyperlink" Target="https://crm.infosis.tech/crm/deal/details/12118/" TargetMode="External"/><Relationship Id="rId1902" Type="http://schemas.openxmlformats.org/officeDocument/2006/relationships/hyperlink" Target="https://crm.infosis.tech/crm/deal/details/11372/" TargetMode="External"/><Relationship Id="rId1903" Type="http://schemas.openxmlformats.org/officeDocument/2006/relationships/hyperlink" Target="https://crm.infosis.tech/crm/deal/details/12328/" TargetMode="External"/><Relationship Id="rId1904" Type="http://schemas.openxmlformats.org/officeDocument/2006/relationships/hyperlink" Target="https://crm.infosis.tech/crm/deal/details/12136/" TargetMode="External"/><Relationship Id="rId1905" Type="http://schemas.openxmlformats.org/officeDocument/2006/relationships/hyperlink" Target="https://crm.infosis.tech/crm/deal/details/11816/" TargetMode="External"/><Relationship Id="rId1906" Type="http://schemas.openxmlformats.org/officeDocument/2006/relationships/hyperlink" Target="https://crm.infosis.tech/crm/deal/details/12040/" TargetMode="External"/><Relationship Id="rId1907" Type="http://schemas.openxmlformats.org/officeDocument/2006/relationships/hyperlink" Target="https://crm.infosis.tech/crm/deal/details/11704/" TargetMode="External"/><Relationship Id="rId1908" Type="http://schemas.openxmlformats.org/officeDocument/2006/relationships/hyperlink" Target="https://crm.infosis.tech/crm/deal/details/12396/" TargetMode="External"/><Relationship Id="rId1909" Type="http://schemas.openxmlformats.org/officeDocument/2006/relationships/hyperlink" Target="https://crm.infosis.tech/crm/deal/details/11280/" TargetMode="External"/><Relationship Id="rId198" Type="http://schemas.openxmlformats.org/officeDocument/2006/relationships/hyperlink" Target="https://crm.infosis.tech/crm/deal/details/3465/" TargetMode="External"/><Relationship Id="rId197" Type="http://schemas.openxmlformats.org/officeDocument/2006/relationships/hyperlink" Target="http://clientes.infosis-arg.com:8090/pages/viewpage.action?pageId=27164726" TargetMode="External"/><Relationship Id="rId196" Type="http://schemas.openxmlformats.org/officeDocument/2006/relationships/hyperlink" Target="https://crm.infosis.tech/crm/deal/details/3483/" TargetMode="External"/><Relationship Id="rId195" Type="http://schemas.openxmlformats.org/officeDocument/2006/relationships/hyperlink" Target="http://clientes.infosis-arg.com:8090/pages/viewpage.action?pageId=27164721" TargetMode="External"/><Relationship Id="rId199" Type="http://schemas.openxmlformats.org/officeDocument/2006/relationships/hyperlink" Target="http://clientes.infosis-arg.com:8090/pages/viewpage.action?pageId=27165030" TargetMode="External"/><Relationship Id="rId150" Type="http://schemas.openxmlformats.org/officeDocument/2006/relationships/hyperlink" Target="https://crm.infosis.tech/crm/deal/details/2935/" TargetMode="External"/><Relationship Id="rId149" Type="http://schemas.openxmlformats.org/officeDocument/2006/relationships/hyperlink" Target="http://clientes.infosis-arg.com:8090/display/IMP/TOSONI%2C+DIANA+Y+PINGEL%2C+JUAN+SH" TargetMode="External"/><Relationship Id="rId148" Type="http://schemas.openxmlformats.org/officeDocument/2006/relationships/hyperlink" Target="https://crm.infosis.tech/crm/deal/details/3141/" TargetMode="External"/><Relationship Id="rId1090" Type="http://schemas.openxmlformats.org/officeDocument/2006/relationships/hyperlink" Target="http://clientes.infosis-arg.com:8090/display/IMP/DARDO+TE+FIORNOVELLI_OC" TargetMode="External"/><Relationship Id="rId1091" Type="http://schemas.openxmlformats.org/officeDocument/2006/relationships/hyperlink" Target="https://crm.infosis.tech/crm/deal/details/4851/?IFRAME_TYPE=SIDE_SLIDER" TargetMode="External"/><Relationship Id="rId1092" Type="http://schemas.openxmlformats.org/officeDocument/2006/relationships/hyperlink" Target="http://clientes.infosis-arg.com:8090/pages/viewpage.action?pageId=28050198" TargetMode="External"/><Relationship Id="rId1093" Type="http://schemas.openxmlformats.org/officeDocument/2006/relationships/hyperlink" Target="https://crm.infosis.tech/crm/deal/details/4853/" TargetMode="External"/><Relationship Id="rId1094" Type="http://schemas.openxmlformats.org/officeDocument/2006/relationships/hyperlink" Target="http://clientes.infosis-arg.com:8090/pages/viewpage.action?pageId=28050200" TargetMode="External"/><Relationship Id="rId143" Type="http://schemas.openxmlformats.org/officeDocument/2006/relationships/hyperlink" Target="http://clientes.infosis-arg.com:8090/pages/viewpage.action?pageId=26673317" TargetMode="External"/><Relationship Id="rId1095" Type="http://schemas.openxmlformats.org/officeDocument/2006/relationships/hyperlink" Target="https://crm.infosis.tech/crm/deal/details/4857/" TargetMode="External"/><Relationship Id="rId142" Type="http://schemas.openxmlformats.org/officeDocument/2006/relationships/hyperlink" Target="https://crm.infosis.tech/crm/deal/details/2857/" TargetMode="External"/><Relationship Id="rId1096" Type="http://schemas.openxmlformats.org/officeDocument/2006/relationships/hyperlink" Target="http://clientes.infosis-arg.com:8090/pages/viewpage.action?pageId=28050206" TargetMode="External"/><Relationship Id="rId141" Type="http://schemas.openxmlformats.org/officeDocument/2006/relationships/hyperlink" Target="http://clientes.infosis-arg.com:8090/pages/viewpage.action?pageId=26673299" TargetMode="External"/><Relationship Id="rId1097" Type="http://schemas.openxmlformats.org/officeDocument/2006/relationships/hyperlink" Target="https://crm.infosis.tech/crm/deal/details/4861/" TargetMode="External"/><Relationship Id="rId140" Type="http://schemas.openxmlformats.org/officeDocument/2006/relationships/hyperlink" Target="https://crm.infosis.tech/crm/deal/details/2627/" TargetMode="External"/><Relationship Id="rId1098" Type="http://schemas.openxmlformats.org/officeDocument/2006/relationships/hyperlink" Target="http://clientes.infosis-arg.com:8090/pages/viewpage.action?pageId=28050214" TargetMode="External"/><Relationship Id="rId147" Type="http://schemas.openxmlformats.org/officeDocument/2006/relationships/hyperlink" Target="http://clientes.infosis-arg.com:8090/pages/viewpage.action?pageId=26673364" TargetMode="External"/><Relationship Id="rId1099" Type="http://schemas.openxmlformats.org/officeDocument/2006/relationships/hyperlink" Target="https://crm.infosis.tech/crm/deal/details/4863/" TargetMode="External"/><Relationship Id="rId146" Type="http://schemas.openxmlformats.org/officeDocument/2006/relationships/hyperlink" Target="https://crm.infosis.tech/crm/deal/details/2965/" TargetMode="External"/><Relationship Id="rId145" Type="http://schemas.openxmlformats.org/officeDocument/2006/relationships/hyperlink" Target="http://clientes.infosis-arg.com:8090/pages/viewpage.action?pageId=26673358" TargetMode="External"/><Relationship Id="rId144" Type="http://schemas.openxmlformats.org/officeDocument/2006/relationships/hyperlink" Target="https://crm.infosis.tech/crm/deal/details/2989/" TargetMode="External"/><Relationship Id="rId139" Type="http://schemas.openxmlformats.org/officeDocument/2006/relationships/hyperlink" Target="http://clientes.infosis-arg.com:8090/pages/viewpage.action?pageId=26673220" TargetMode="External"/><Relationship Id="rId138" Type="http://schemas.openxmlformats.org/officeDocument/2006/relationships/hyperlink" Target="https://crm.infosis.tech/crm/deal/details/800/" TargetMode="External"/><Relationship Id="rId137" Type="http://schemas.openxmlformats.org/officeDocument/2006/relationships/hyperlink" Target="http://clientes.infosis-arg.com:8090/pages/viewpage.action?pageId=26673346" TargetMode="External"/><Relationship Id="rId1080" Type="http://schemas.openxmlformats.org/officeDocument/2006/relationships/hyperlink" Target="http://clientes.infosis-arg.com:8090/display/IMP/Distribuidora+Jade+Takem+S.A.+-+E-Commerce+ISHOP+ROLLPIX+%234557" TargetMode="External"/><Relationship Id="rId1081" Type="http://schemas.openxmlformats.org/officeDocument/2006/relationships/hyperlink" Target="https://crm.infosis.tech/crm/deal/details/4583/" TargetMode="External"/><Relationship Id="rId1082" Type="http://schemas.openxmlformats.org/officeDocument/2006/relationships/hyperlink" Target="http://clientes.infosis-arg.com:8090/display/IMP/GIRGOLAS+DE+LA+GRANJA+SS" TargetMode="External"/><Relationship Id="rId1083" Type="http://schemas.openxmlformats.org/officeDocument/2006/relationships/hyperlink" Target="https://crm.infosis.tech/crm/deal/details/4843/" TargetMode="External"/><Relationship Id="rId132" Type="http://schemas.openxmlformats.org/officeDocument/2006/relationships/hyperlink" Target="https://crm.infosis.tech/crm/deal/details/2875/" TargetMode="External"/><Relationship Id="rId1084" Type="http://schemas.openxmlformats.org/officeDocument/2006/relationships/hyperlink" Target="http://clientes.infosis-arg.com:8090/pages/viewpage.action?pageId=28050187" TargetMode="External"/><Relationship Id="rId131" Type="http://schemas.openxmlformats.org/officeDocument/2006/relationships/hyperlink" Target="http://clientes.infosis-arg.com:8090/pages/viewpage.action?pageId=26673343" TargetMode="External"/><Relationship Id="rId1085" Type="http://schemas.openxmlformats.org/officeDocument/2006/relationships/hyperlink" Target="https://crm.infosis.tech/crm/deal/details/4845/" TargetMode="External"/><Relationship Id="rId130" Type="http://schemas.openxmlformats.org/officeDocument/2006/relationships/hyperlink" Target="https://crm.infosis.tech/crm/deal/details/2695/" TargetMode="External"/><Relationship Id="rId1086" Type="http://schemas.openxmlformats.org/officeDocument/2006/relationships/hyperlink" Target="http://clientes.infosis-arg.com:8090/display/IMP/LONGTAIL+SRL_OC" TargetMode="External"/><Relationship Id="rId1087" Type="http://schemas.openxmlformats.org/officeDocument/2006/relationships/hyperlink" Target="https://crm.infosis.tech/crm/deal/details/4847/" TargetMode="External"/><Relationship Id="rId136" Type="http://schemas.openxmlformats.org/officeDocument/2006/relationships/hyperlink" Target="https://crm.infosis.tech/crm/deal/details/2883/" TargetMode="External"/><Relationship Id="rId1088" Type="http://schemas.openxmlformats.org/officeDocument/2006/relationships/hyperlink" Target="http://clientes.infosis-arg.com:8090/pages/viewpage.action?pageId=28050181" TargetMode="External"/><Relationship Id="rId135" Type="http://schemas.openxmlformats.org/officeDocument/2006/relationships/hyperlink" Target="http://clientes.infosis-arg.com:8090/display/IMP/BODY+PEL+SRL+%232925" TargetMode="External"/><Relationship Id="rId1089" Type="http://schemas.openxmlformats.org/officeDocument/2006/relationships/hyperlink" Target="https://crm.infosis.tech/crm/deal/details/4849/" TargetMode="External"/><Relationship Id="rId134" Type="http://schemas.openxmlformats.org/officeDocument/2006/relationships/hyperlink" Target="https://crm.infosis.tech/crm/deal/details/2925/" TargetMode="External"/><Relationship Id="rId133" Type="http://schemas.openxmlformats.org/officeDocument/2006/relationships/hyperlink" Target="http://clientes.infosis-arg.com:8090/pages/viewpage.action?pageId=26673354" TargetMode="External"/><Relationship Id="rId172" Type="http://schemas.openxmlformats.org/officeDocument/2006/relationships/hyperlink" Target="https://crm.infosis.tech/crm/deal/details/3165/" TargetMode="External"/><Relationship Id="rId171" Type="http://schemas.openxmlformats.org/officeDocument/2006/relationships/hyperlink" Target="http://clientes.infosis-arg.com:8090/pages/viewpage.action?pageId=26673379" TargetMode="External"/><Relationship Id="rId170" Type="http://schemas.openxmlformats.org/officeDocument/2006/relationships/hyperlink" Target="https://crm.infosis.tech/crm/deal/details/3093/" TargetMode="External"/><Relationship Id="rId165" Type="http://schemas.openxmlformats.org/officeDocument/2006/relationships/hyperlink" Target="http://clientes.infosis-arg.com:8090/pages/viewpage.action?pageId=26673482" TargetMode="External"/><Relationship Id="rId164" Type="http://schemas.openxmlformats.org/officeDocument/2006/relationships/hyperlink" Target="https://crm.infosis.tech/crm/deal/details/2789/" TargetMode="External"/><Relationship Id="rId163" Type="http://schemas.openxmlformats.org/officeDocument/2006/relationships/hyperlink" Target="http://clientes.infosis-arg.com:8090/pages/viewpage.action?pageId=26673435" TargetMode="External"/><Relationship Id="rId162" Type="http://schemas.openxmlformats.org/officeDocument/2006/relationships/hyperlink" Target="https://crm.infosis.tech/crm/deal/details/2346/" TargetMode="External"/><Relationship Id="rId169" Type="http://schemas.openxmlformats.org/officeDocument/2006/relationships/hyperlink" Target="http://clientes.infosis-arg.com:8090/pages/viewpage.action?pageId=26673490" TargetMode="External"/><Relationship Id="rId168" Type="http://schemas.openxmlformats.org/officeDocument/2006/relationships/hyperlink" Target="https://crm.infosis.tech/crm/deal/details/3211/" TargetMode="External"/><Relationship Id="rId167" Type="http://schemas.openxmlformats.org/officeDocument/2006/relationships/hyperlink" Target="http://clientes.infosis-arg.com:8090/pages/viewpage.action?pageId=26673476" TargetMode="External"/><Relationship Id="rId166" Type="http://schemas.openxmlformats.org/officeDocument/2006/relationships/hyperlink" Target="https://crm.infosis.tech/crm/deal/details/3229/" TargetMode="External"/><Relationship Id="rId161" Type="http://schemas.openxmlformats.org/officeDocument/2006/relationships/hyperlink" Target="http://clientes.infosis-arg.com:8090/display/IMP/HORNET+SRL_OC" TargetMode="External"/><Relationship Id="rId160" Type="http://schemas.openxmlformats.org/officeDocument/2006/relationships/hyperlink" Target="https://crm.infosis.tech/crm/deal/details/2807/" TargetMode="External"/><Relationship Id="rId159" Type="http://schemas.openxmlformats.org/officeDocument/2006/relationships/hyperlink" Target="http://clientes.infosis-arg.com:8090/pages/viewpage.action?pageId=26673450" TargetMode="External"/><Relationship Id="rId154" Type="http://schemas.openxmlformats.org/officeDocument/2006/relationships/hyperlink" Target="https://crm.infosis.tech/crm/deal/details/3193/" TargetMode="External"/><Relationship Id="rId153" Type="http://schemas.openxmlformats.org/officeDocument/2006/relationships/hyperlink" Target="http://clientes.infosis-arg.com:8090/pages/viewpage.action?pageId=25296898" TargetMode="External"/><Relationship Id="rId152" Type="http://schemas.openxmlformats.org/officeDocument/2006/relationships/hyperlink" Target="https://crm.infosis.tech/crm/deal/details/2623/" TargetMode="External"/><Relationship Id="rId151" Type="http://schemas.openxmlformats.org/officeDocument/2006/relationships/hyperlink" Target="http://clientes.infosis-arg.com:8090/display/IMP/CEOFIC+SA" TargetMode="External"/><Relationship Id="rId158" Type="http://schemas.openxmlformats.org/officeDocument/2006/relationships/hyperlink" Target="https://crm.infosis.tech/crm/deal/details/2607/" TargetMode="External"/><Relationship Id="rId157" Type="http://schemas.openxmlformats.org/officeDocument/2006/relationships/hyperlink" Target="http://clientes.infosis-arg.com:8090/display/IMP/LATTINA+S.R.L._OC" TargetMode="External"/><Relationship Id="rId156" Type="http://schemas.openxmlformats.org/officeDocument/2006/relationships/hyperlink" Target="https://crm.infosis.tech/crm/deal/details/3101/" TargetMode="External"/><Relationship Id="rId155" Type="http://schemas.openxmlformats.org/officeDocument/2006/relationships/hyperlink" Target="http://clientes.infosis-arg.com:8090/pages/viewpage.action?pageId=26673424" TargetMode="External"/><Relationship Id="rId1972" Type="http://schemas.openxmlformats.org/officeDocument/2006/relationships/hyperlink" Target="https://crm.infosis.tech/crm/deal/details/13814/" TargetMode="External"/><Relationship Id="rId1973" Type="http://schemas.openxmlformats.org/officeDocument/2006/relationships/hyperlink" Target="https://crm.infosis.tech/crm/deal/details/13624/" TargetMode="External"/><Relationship Id="rId1974" Type="http://schemas.openxmlformats.org/officeDocument/2006/relationships/hyperlink" Target="https://crm.infosis.tech/crm/deal/details/13404/" TargetMode="External"/><Relationship Id="rId1975" Type="http://schemas.openxmlformats.org/officeDocument/2006/relationships/hyperlink" Target="https://crm.infosis.tech/crm/deal/details/10492/" TargetMode="External"/><Relationship Id="rId1976" Type="http://schemas.openxmlformats.org/officeDocument/2006/relationships/hyperlink" Target="https://crm.infosis.tech/crm/deal/details/13720/" TargetMode="External"/><Relationship Id="rId1977" Type="http://schemas.openxmlformats.org/officeDocument/2006/relationships/hyperlink" Target="https://crm.infosis.tech/crm/deal/details/13852/" TargetMode="External"/><Relationship Id="rId1978" Type="http://schemas.openxmlformats.org/officeDocument/2006/relationships/hyperlink" Target="https://crm.infosis.tech/crm/deal/details/12124/" TargetMode="External"/><Relationship Id="rId1979" Type="http://schemas.openxmlformats.org/officeDocument/2006/relationships/hyperlink" Target="https://crm.infosis.tech/crm/deal/details/13670/" TargetMode="External"/><Relationship Id="rId1970" Type="http://schemas.openxmlformats.org/officeDocument/2006/relationships/hyperlink" Target="https://crm.infosis.tech/crm/deal/details/13218/" TargetMode="External"/><Relationship Id="rId1971" Type="http://schemas.openxmlformats.org/officeDocument/2006/relationships/hyperlink" Target="https://crm.infosis.tech/crm/deal/details/13796/" TargetMode="External"/><Relationship Id="rId1961" Type="http://schemas.openxmlformats.org/officeDocument/2006/relationships/hyperlink" Target="https://crm.infosis.tech/crm/deal/details/13182/" TargetMode="External"/><Relationship Id="rId1962" Type="http://schemas.openxmlformats.org/officeDocument/2006/relationships/hyperlink" Target="https://crm.infosis.tech/crm/deal/details/13438/?any=details%2F13438%2F" TargetMode="External"/><Relationship Id="rId1963" Type="http://schemas.openxmlformats.org/officeDocument/2006/relationships/hyperlink" Target="https://crm.infosis.tech/crm/deal/details/13656/" TargetMode="External"/><Relationship Id="rId1964" Type="http://schemas.openxmlformats.org/officeDocument/2006/relationships/hyperlink" Target="https://crm.infosis.tech/crm/deal/details/13694/" TargetMode="External"/><Relationship Id="rId1965" Type="http://schemas.openxmlformats.org/officeDocument/2006/relationships/hyperlink" Target="https://crm.infosis.tech/crm/deal/details/13620/" TargetMode="External"/><Relationship Id="rId1966" Type="http://schemas.openxmlformats.org/officeDocument/2006/relationships/hyperlink" Target="https://crm.infosis.tech/crm/deal/details/13628/" TargetMode="External"/><Relationship Id="rId1967" Type="http://schemas.openxmlformats.org/officeDocument/2006/relationships/hyperlink" Target="https://crm.infosis.tech/crm/deal/details/13764/?any=details%2F13764%2F" TargetMode="External"/><Relationship Id="rId1968" Type="http://schemas.openxmlformats.org/officeDocument/2006/relationships/hyperlink" Target="https://crm.infosis.tech/crm/deal/details/13766/" TargetMode="External"/><Relationship Id="rId1969" Type="http://schemas.openxmlformats.org/officeDocument/2006/relationships/hyperlink" Target="https://crm.infosis.tech/crm/deal/details/13798/" TargetMode="External"/><Relationship Id="rId1960" Type="http://schemas.openxmlformats.org/officeDocument/2006/relationships/hyperlink" Target="https://crm.infosis.tech/crm/deal/details/13450/" TargetMode="External"/><Relationship Id="rId1510" Type="http://schemas.openxmlformats.org/officeDocument/2006/relationships/hyperlink" Target="https://crm.infosis.tech/crm/deal/details/7358/" TargetMode="External"/><Relationship Id="rId1994" Type="http://schemas.openxmlformats.org/officeDocument/2006/relationships/hyperlink" Target="https://crm.infosis.tech/crm/deal/details/14048/" TargetMode="External"/><Relationship Id="rId1511" Type="http://schemas.openxmlformats.org/officeDocument/2006/relationships/hyperlink" Target="https://crm.infosis.tech/crm/deal/details/7366/" TargetMode="External"/><Relationship Id="rId1995" Type="http://schemas.openxmlformats.org/officeDocument/2006/relationships/hyperlink" Target="https://crm.infosis.tech/crm/deal/details/13808/" TargetMode="External"/><Relationship Id="rId1512" Type="http://schemas.openxmlformats.org/officeDocument/2006/relationships/hyperlink" Target="https://crm.infosis.tech/crm/deal/details/7364/" TargetMode="External"/><Relationship Id="rId1996" Type="http://schemas.openxmlformats.org/officeDocument/2006/relationships/hyperlink" Target="https://crm.infosis.tech/crm/deal/details/14124/" TargetMode="External"/><Relationship Id="rId1513" Type="http://schemas.openxmlformats.org/officeDocument/2006/relationships/hyperlink" Target="https://crm.infosis.tech/crm/deal/details/7362/" TargetMode="External"/><Relationship Id="rId1997" Type="http://schemas.openxmlformats.org/officeDocument/2006/relationships/hyperlink" Target="https://crm.infosis.tech/crm/deal/details/14076/" TargetMode="External"/><Relationship Id="rId1514" Type="http://schemas.openxmlformats.org/officeDocument/2006/relationships/hyperlink" Target="https://crm.infosis.tech/crm/deal/details/7380/" TargetMode="External"/><Relationship Id="rId1998" Type="http://schemas.openxmlformats.org/officeDocument/2006/relationships/hyperlink" Target="https://crm.infosis.tech/crm/deal/details/14076/" TargetMode="External"/><Relationship Id="rId1515" Type="http://schemas.openxmlformats.org/officeDocument/2006/relationships/hyperlink" Target="https://crm.infosis.tech/crm/deal/details/7436/" TargetMode="External"/><Relationship Id="rId1999" Type="http://schemas.openxmlformats.org/officeDocument/2006/relationships/hyperlink" Target="https://crm.infosis.tech/crm/deal/details/14092/" TargetMode="External"/><Relationship Id="rId1516" Type="http://schemas.openxmlformats.org/officeDocument/2006/relationships/hyperlink" Target="https://crm.infosis.tech/crm/deal/details/7446/" TargetMode="External"/><Relationship Id="rId1517" Type="http://schemas.openxmlformats.org/officeDocument/2006/relationships/hyperlink" Target="https://crm.infosis.tech/crm/deal/details/7504/" TargetMode="External"/><Relationship Id="rId1518" Type="http://schemas.openxmlformats.org/officeDocument/2006/relationships/hyperlink" Target="https://crm.infosis.tech/crm/deal/details/7444/" TargetMode="External"/><Relationship Id="rId1519" Type="http://schemas.openxmlformats.org/officeDocument/2006/relationships/hyperlink" Target="https://crm.infosis.tech/crm/deal/details/7540/" TargetMode="External"/><Relationship Id="rId1990" Type="http://schemas.openxmlformats.org/officeDocument/2006/relationships/hyperlink" Target="https://crm.infosis.tech/crm/deal/details/13992/" TargetMode="External"/><Relationship Id="rId1991" Type="http://schemas.openxmlformats.org/officeDocument/2006/relationships/hyperlink" Target="https://crm.infosis.tech/crm/deal/details/13992/" TargetMode="External"/><Relationship Id="rId1992" Type="http://schemas.openxmlformats.org/officeDocument/2006/relationships/hyperlink" Target="https://crm.infosis.tech/crm/deal/details/13992/" TargetMode="External"/><Relationship Id="rId1993" Type="http://schemas.openxmlformats.org/officeDocument/2006/relationships/hyperlink" Target="https://crm.infosis.tech/crm/deal/details/13498/" TargetMode="External"/><Relationship Id="rId1983" Type="http://schemas.openxmlformats.org/officeDocument/2006/relationships/hyperlink" Target="https://crm.infosis.tech/crm/deal/details/13944/" TargetMode="External"/><Relationship Id="rId1500" Type="http://schemas.openxmlformats.org/officeDocument/2006/relationships/hyperlink" Target="https://crm.infosis.tech/crm/deal/details/7292/" TargetMode="External"/><Relationship Id="rId1984" Type="http://schemas.openxmlformats.org/officeDocument/2006/relationships/hyperlink" Target="https://crm.infosis.tech/crm/deal/details/13908/?any=details%2F13908%2F" TargetMode="External"/><Relationship Id="rId1501" Type="http://schemas.openxmlformats.org/officeDocument/2006/relationships/hyperlink" Target="https://crm.infosis.tech/crm/deal/details/7296/" TargetMode="External"/><Relationship Id="rId1985" Type="http://schemas.openxmlformats.org/officeDocument/2006/relationships/hyperlink" Target="https://crm.infosis.tech/crm/deal/details/13982/" TargetMode="External"/><Relationship Id="rId1502" Type="http://schemas.openxmlformats.org/officeDocument/2006/relationships/hyperlink" Target="https://crm.infosis.tech/crm/deal/details/7300/" TargetMode="External"/><Relationship Id="rId1986" Type="http://schemas.openxmlformats.org/officeDocument/2006/relationships/hyperlink" Target="https://crm.infosis.tech/crm/deal/details/13954/" TargetMode="External"/><Relationship Id="rId1503" Type="http://schemas.openxmlformats.org/officeDocument/2006/relationships/hyperlink" Target="https://crm.infosis.tech/crm/deal/details/7304/" TargetMode="External"/><Relationship Id="rId1987" Type="http://schemas.openxmlformats.org/officeDocument/2006/relationships/hyperlink" Target="https://crm.infosis.tech/crm/deal/details/14036/" TargetMode="External"/><Relationship Id="rId1504" Type="http://schemas.openxmlformats.org/officeDocument/2006/relationships/hyperlink" Target="https://crm.infosis.tech/crm/deal/details/7308/" TargetMode="External"/><Relationship Id="rId1988" Type="http://schemas.openxmlformats.org/officeDocument/2006/relationships/hyperlink" Target="https://crm.infosis.tech/crm/deal/details/14104/" TargetMode="External"/><Relationship Id="rId1505" Type="http://schemas.openxmlformats.org/officeDocument/2006/relationships/hyperlink" Target="https://crm.infosis.tech/crm/deal/details/7328/" TargetMode="External"/><Relationship Id="rId1989" Type="http://schemas.openxmlformats.org/officeDocument/2006/relationships/hyperlink" Target="https://crm.infosis.tech/crm/deal/details/14104/" TargetMode="External"/><Relationship Id="rId1506" Type="http://schemas.openxmlformats.org/officeDocument/2006/relationships/hyperlink" Target="https://crm.infosis.tech/crm/deal/details/7332/" TargetMode="External"/><Relationship Id="rId1507" Type="http://schemas.openxmlformats.org/officeDocument/2006/relationships/hyperlink" Target="https://crm.infosis.tech/crm/deal/details/7336/" TargetMode="External"/><Relationship Id="rId1508" Type="http://schemas.openxmlformats.org/officeDocument/2006/relationships/hyperlink" Target="https://crm.infosis.tech/crm/deal/details/7346/" TargetMode="External"/><Relationship Id="rId1509" Type="http://schemas.openxmlformats.org/officeDocument/2006/relationships/hyperlink" Target="https://crm.infosis.tech/crm/deal/details/7352/" TargetMode="External"/><Relationship Id="rId1980" Type="http://schemas.openxmlformats.org/officeDocument/2006/relationships/hyperlink" Target="https://crm.infosis.tech/crm/deal/details/13618/" TargetMode="External"/><Relationship Id="rId1981" Type="http://schemas.openxmlformats.org/officeDocument/2006/relationships/hyperlink" Target="https://crm.infosis.tech/crm/deal/details/13832/" TargetMode="External"/><Relationship Id="rId1982" Type="http://schemas.openxmlformats.org/officeDocument/2006/relationships/hyperlink" Target="https://crm.infosis.tech/crm/deal/details/13444/" TargetMode="External"/><Relationship Id="rId1930" Type="http://schemas.openxmlformats.org/officeDocument/2006/relationships/hyperlink" Target="https://crm.infosis.tech/crm/deal/details/12932/" TargetMode="External"/><Relationship Id="rId1931" Type="http://schemas.openxmlformats.org/officeDocument/2006/relationships/hyperlink" Target="https://crm.infosis.tech/crm/deal/details/12954/" TargetMode="External"/><Relationship Id="rId1932" Type="http://schemas.openxmlformats.org/officeDocument/2006/relationships/hyperlink" Target="https://crm.infosis.tech/crm/deal/details/12914/" TargetMode="External"/><Relationship Id="rId1933" Type="http://schemas.openxmlformats.org/officeDocument/2006/relationships/hyperlink" Target="https://crm.infosis.tech/crm/deal/details/13046/" TargetMode="External"/><Relationship Id="rId1934" Type="http://schemas.openxmlformats.org/officeDocument/2006/relationships/hyperlink" Target="https://crm.infosis.tech/crm/deal/details/12962/" TargetMode="External"/><Relationship Id="rId1935" Type="http://schemas.openxmlformats.org/officeDocument/2006/relationships/hyperlink" Target="https://crm.infosis.tech/crm/deal/details/12918/" TargetMode="External"/><Relationship Id="rId1936" Type="http://schemas.openxmlformats.org/officeDocument/2006/relationships/hyperlink" Target="https://crm.infosis.tech/crm/deal/details/12990/" TargetMode="External"/><Relationship Id="rId1937" Type="http://schemas.openxmlformats.org/officeDocument/2006/relationships/hyperlink" Target="https://crm.infosis.tech/crm/deal/details/13096/" TargetMode="External"/><Relationship Id="rId1938" Type="http://schemas.openxmlformats.org/officeDocument/2006/relationships/hyperlink" Target="https://crm.infosis.tech/crm/deal/details/13168/" TargetMode="External"/><Relationship Id="rId1939" Type="http://schemas.openxmlformats.org/officeDocument/2006/relationships/hyperlink" Target="https://crm.infosis.tech/crm/deal/details/12926/" TargetMode="External"/><Relationship Id="rId1920" Type="http://schemas.openxmlformats.org/officeDocument/2006/relationships/hyperlink" Target="https://crm.infosis.tech/crm/deal/details/12778/" TargetMode="External"/><Relationship Id="rId1921" Type="http://schemas.openxmlformats.org/officeDocument/2006/relationships/hyperlink" Target="https://crm.infosis.tech/crm/deal/details/12712/" TargetMode="External"/><Relationship Id="rId1922" Type="http://schemas.openxmlformats.org/officeDocument/2006/relationships/hyperlink" Target="https://crm.infosis.tech/crm/deal/details/12800/" TargetMode="External"/><Relationship Id="rId1923" Type="http://schemas.openxmlformats.org/officeDocument/2006/relationships/hyperlink" Target="https://crm.infosis.tech/crm/deal/details/12842/" TargetMode="External"/><Relationship Id="rId1924" Type="http://schemas.openxmlformats.org/officeDocument/2006/relationships/hyperlink" Target="https://crm.infosis.tech/crm/deal/details/12710/" TargetMode="External"/><Relationship Id="rId1925" Type="http://schemas.openxmlformats.org/officeDocument/2006/relationships/hyperlink" Target="https://crm.infosis.tech/crm/deal/details/12912/?any=details%2F12912%2F" TargetMode="External"/><Relationship Id="rId1926" Type="http://schemas.openxmlformats.org/officeDocument/2006/relationships/hyperlink" Target="https://crm.infosis.tech/crm/deal/details/12678/?any=details%2F12678%2F" TargetMode="External"/><Relationship Id="rId1927" Type="http://schemas.openxmlformats.org/officeDocument/2006/relationships/hyperlink" Target="https://crm.infosis.tech/crm/deal/details/12930/" TargetMode="External"/><Relationship Id="rId1928" Type="http://schemas.openxmlformats.org/officeDocument/2006/relationships/hyperlink" Target="https://crm.infosis.tech/crm/deal/details/12010/" TargetMode="External"/><Relationship Id="rId1929" Type="http://schemas.openxmlformats.org/officeDocument/2006/relationships/hyperlink" Target="https://crm.infosis.tech/crm/deal/details/12848/" TargetMode="External"/><Relationship Id="rId1950" Type="http://schemas.openxmlformats.org/officeDocument/2006/relationships/hyperlink" Target="https://crm.infosis.tech/crm/deal/details/13390/" TargetMode="External"/><Relationship Id="rId1951" Type="http://schemas.openxmlformats.org/officeDocument/2006/relationships/hyperlink" Target="https://crm.infosis.tech/crm/deal/details/13180/" TargetMode="External"/><Relationship Id="rId1952" Type="http://schemas.openxmlformats.org/officeDocument/2006/relationships/hyperlink" Target="https://crm.infosis.tech/crm/deal/details/13454/" TargetMode="External"/><Relationship Id="rId1953" Type="http://schemas.openxmlformats.org/officeDocument/2006/relationships/hyperlink" Target="https://crm.infosis.tech/crm/deal/details/13328/" TargetMode="External"/><Relationship Id="rId1954" Type="http://schemas.openxmlformats.org/officeDocument/2006/relationships/hyperlink" Target="https://crm.infosis.tech/crm/deal/details/13298/" TargetMode="External"/><Relationship Id="rId1955" Type="http://schemas.openxmlformats.org/officeDocument/2006/relationships/hyperlink" Target="https://crm.infosis.tech/crm/deal/details/13322/" TargetMode="External"/><Relationship Id="rId1956" Type="http://schemas.openxmlformats.org/officeDocument/2006/relationships/hyperlink" Target="https://crm.infosis.tech/crm/deal/details/13442/" TargetMode="External"/><Relationship Id="rId1957" Type="http://schemas.openxmlformats.org/officeDocument/2006/relationships/hyperlink" Target="https://crm.infosis.tech/crm/deal/details/13252/" TargetMode="External"/><Relationship Id="rId1958" Type="http://schemas.openxmlformats.org/officeDocument/2006/relationships/hyperlink" Target="https://crm.infosis.tech/crm/deal/details/13362/" TargetMode="External"/><Relationship Id="rId1959" Type="http://schemas.openxmlformats.org/officeDocument/2006/relationships/hyperlink" Target="https://crm.infosis.tech/crm/deal/details/13472/" TargetMode="External"/><Relationship Id="rId1940" Type="http://schemas.openxmlformats.org/officeDocument/2006/relationships/hyperlink" Target="https://crm.infosis.tech/crm/deal/details/13178/" TargetMode="External"/><Relationship Id="rId1941" Type="http://schemas.openxmlformats.org/officeDocument/2006/relationships/hyperlink" Target="https://crm.infosis.tech/crm/deal/details/13124/" TargetMode="External"/><Relationship Id="rId1942" Type="http://schemas.openxmlformats.org/officeDocument/2006/relationships/hyperlink" Target="https://crm.infosis.tech/crm/deal/details/13152/" TargetMode="External"/><Relationship Id="rId1943" Type="http://schemas.openxmlformats.org/officeDocument/2006/relationships/hyperlink" Target="https://crm.infosis.tech/crm/deal/details/13084/" TargetMode="External"/><Relationship Id="rId1944" Type="http://schemas.openxmlformats.org/officeDocument/2006/relationships/hyperlink" Target="https://crm.infosis.tech/crm/deal/details/13234/" TargetMode="External"/><Relationship Id="rId1945" Type="http://schemas.openxmlformats.org/officeDocument/2006/relationships/hyperlink" Target="https://crm.infosis.tech/crm/deal/details/13174/" TargetMode="External"/><Relationship Id="rId1946" Type="http://schemas.openxmlformats.org/officeDocument/2006/relationships/hyperlink" Target="https://crm.infosis.tech/crm/deal/details/9290/" TargetMode="External"/><Relationship Id="rId1947" Type="http://schemas.openxmlformats.org/officeDocument/2006/relationships/hyperlink" Target="https://crm.infosis.tech/crm/deal/details/13266/" TargetMode="External"/><Relationship Id="rId1948" Type="http://schemas.openxmlformats.org/officeDocument/2006/relationships/hyperlink" Target="https://crm.infosis.tech/crm/deal/details/13294/" TargetMode="External"/><Relationship Id="rId1949" Type="http://schemas.openxmlformats.org/officeDocument/2006/relationships/hyperlink" Target="https://crm.infosis.tech/crm/deal/details/13220/" TargetMode="External"/><Relationship Id="rId1576" Type="http://schemas.openxmlformats.org/officeDocument/2006/relationships/hyperlink" Target="https://crm.infosis.tech/crm/deal/details/7892/" TargetMode="External"/><Relationship Id="rId2423" Type="http://schemas.openxmlformats.org/officeDocument/2006/relationships/hyperlink" Target="https://crm.infosis.tech/crm/deal/details/21226/" TargetMode="External"/><Relationship Id="rId1577" Type="http://schemas.openxmlformats.org/officeDocument/2006/relationships/hyperlink" Target="https://crm.infosis.tech/crm/deal/details/7976/" TargetMode="External"/><Relationship Id="rId2424" Type="http://schemas.openxmlformats.org/officeDocument/2006/relationships/hyperlink" Target="https://crm.infosis.tech/crm/deal/details/21142/" TargetMode="External"/><Relationship Id="rId1578" Type="http://schemas.openxmlformats.org/officeDocument/2006/relationships/hyperlink" Target="https://crm.infosis.tech/crm/deal/details/8236/" TargetMode="External"/><Relationship Id="rId2425" Type="http://schemas.openxmlformats.org/officeDocument/2006/relationships/hyperlink" Target="https://crm.infosis.tech/crm/deal/details/21220/" TargetMode="External"/><Relationship Id="rId1579" Type="http://schemas.openxmlformats.org/officeDocument/2006/relationships/hyperlink" Target="https://crm.infosis.tech/crm/deal/details/8240/" TargetMode="External"/><Relationship Id="rId2426" Type="http://schemas.openxmlformats.org/officeDocument/2006/relationships/hyperlink" Target="https://crm.infosis.tech/crm/deal/details/21196/?any=details%2F21196%2F" TargetMode="External"/><Relationship Id="rId2427" Type="http://schemas.openxmlformats.org/officeDocument/2006/relationships/hyperlink" Target="https://crm.infosis.tech/crm/deal/details/21088/" TargetMode="External"/><Relationship Id="rId2428" Type="http://schemas.openxmlformats.org/officeDocument/2006/relationships/hyperlink" Target="https://crm.infosis.tech/crm/deal/details/21390/" TargetMode="External"/><Relationship Id="rId2429" Type="http://schemas.openxmlformats.org/officeDocument/2006/relationships/hyperlink" Target="https://crm.infosis.tech/crm/deal/details/21386/" TargetMode="External"/><Relationship Id="rId509" Type="http://schemas.openxmlformats.org/officeDocument/2006/relationships/hyperlink" Target="http://clientes.infosis-arg.com:8090/display/IMP/GESTOSO+JOSE+MARIA_OC" TargetMode="External"/><Relationship Id="rId508" Type="http://schemas.openxmlformats.org/officeDocument/2006/relationships/hyperlink" Target="https://crm.infosis.tech/crm/deal/details/4273/" TargetMode="External"/><Relationship Id="rId503" Type="http://schemas.openxmlformats.org/officeDocument/2006/relationships/hyperlink" Target="http://clientes.infosis-arg.com:8090/pages/viewpage.action?pageId=27623741" TargetMode="External"/><Relationship Id="rId987" Type="http://schemas.openxmlformats.org/officeDocument/2006/relationships/hyperlink" Target="https://crm.infosis.tech/crm/deal/details/4759/" TargetMode="External"/><Relationship Id="rId502" Type="http://schemas.openxmlformats.org/officeDocument/2006/relationships/hyperlink" Target="https://crm.infosis.tech/crm/deal/details/4251/" TargetMode="External"/><Relationship Id="rId986" Type="http://schemas.openxmlformats.org/officeDocument/2006/relationships/hyperlink" Target="http://clientes.infosis-arg.com:8090/pages/viewpage.action?pageId=28050034" TargetMode="External"/><Relationship Id="rId501" Type="http://schemas.openxmlformats.org/officeDocument/2006/relationships/hyperlink" Target="http://clientes.infosis-arg.com:8090/pages/viewpage.action?pageId=27623749" TargetMode="External"/><Relationship Id="rId985" Type="http://schemas.openxmlformats.org/officeDocument/2006/relationships/hyperlink" Target="https://crm.infosis.tech/crm/deal/details/4757/" TargetMode="External"/><Relationship Id="rId500" Type="http://schemas.openxmlformats.org/officeDocument/2006/relationships/hyperlink" Target="https://crm.infosis.tech/crm/deal/details/4257/" TargetMode="External"/><Relationship Id="rId984" Type="http://schemas.openxmlformats.org/officeDocument/2006/relationships/hyperlink" Target="http://clientes.infosis-arg.com:8090/pages/viewpage.action?pageId=28050032" TargetMode="External"/><Relationship Id="rId507" Type="http://schemas.openxmlformats.org/officeDocument/2006/relationships/hyperlink" Target="http://clientes.infosis-arg.com:8090/display/IMP/Santiago+Silvana+Evangelina_OC" TargetMode="External"/><Relationship Id="rId506" Type="http://schemas.openxmlformats.org/officeDocument/2006/relationships/hyperlink" Target="https://crm.infosis.tech/crm/deal/details/4269/" TargetMode="External"/><Relationship Id="rId505" Type="http://schemas.openxmlformats.org/officeDocument/2006/relationships/hyperlink" Target="http://clientes.infosis-arg.com:8090/display/IMP/VICENTE+CAMARGO+QUISPE" TargetMode="External"/><Relationship Id="rId989" Type="http://schemas.openxmlformats.org/officeDocument/2006/relationships/hyperlink" Target="https://crm.infosis.tech/crm/deal/details/4761/" TargetMode="External"/><Relationship Id="rId504" Type="http://schemas.openxmlformats.org/officeDocument/2006/relationships/hyperlink" Target="https://crm.infosis.tech/crm/deal/details/4253/" TargetMode="External"/><Relationship Id="rId988" Type="http://schemas.openxmlformats.org/officeDocument/2006/relationships/hyperlink" Target="http://clientes.infosis-arg.com:8090/pages/viewpage.action?pageId=28050036" TargetMode="External"/><Relationship Id="rId1570" Type="http://schemas.openxmlformats.org/officeDocument/2006/relationships/hyperlink" Target="https://crm.infosis.tech/crm/deal/details/8126/" TargetMode="External"/><Relationship Id="rId1571" Type="http://schemas.openxmlformats.org/officeDocument/2006/relationships/hyperlink" Target="https://crm.infosis.tech/crm/deal/details/8194/" TargetMode="External"/><Relationship Id="rId983" Type="http://schemas.openxmlformats.org/officeDocument/2006/relationships/hyperlink" Target="https://crm.infosis.tech/crm/deal/details/4755/" TargetMode="External"/><Relationship Id="rId1572" Type="http://schemas.openxmlformats.org/officeDocument/2006/relationships/hyperlink" Target="https://crm.infosis.tech/crm/deal/details/7994/" TargetMode="External"/><Relationship Id="rId982" Type="http://schemas.openxmlformats.org/officeDocument/2006/relationships/hyperlink" Target="http://clientes.infosis-arg.com:8090/display/IMP/Amplia+y+regulariza+BORO+BAHIA+SRL" TargetMode="External"/><Relationship Id="rId1573" Type="http://schemas.openxmlformats.org/officeDocument/2006/relationships/hyperlink" Target="https://crm.infosis.tech/crm/deal/details/7998/" TargetMode="External"/><Relationship Id="rId2420" Type="http://schemas.openxmlformats.org/officeDocument/2006/relationships/hyperlink" Target="https://crm.infosis.tech/crm/deal/details/21020/" TargetMode="External"/><Relationship Id="rId981" Type="http://schemas.openxmlformats.org/officeDocument/2006/relationships/hyperlink" Target="https://crm.infosis.tech/crm/deal/details/4753/" TargetMode="External"/><Relationship Id="rId1574" Type="http://schemas.openxmlformats.org/officeDocument/2006/relationships/hyperlink" Target="https://crm.infosis.tech/crm/deal/details/8132/" TargetMode="External"/><Relationship Id="rId2421" Type="http://schemas.openxmlformats.org/officeDocument/2006/relationships/hyperlink" Target="https://crm.infosis.tech/crm/deal/details/21254/" TargetMode="External"/><Relationship Id="rId980" Type="http://schemas.openxmlformats.org/officeDocument/2006/relationships/hyperlink" Target="http://clientes.infosis-arg.com:8090/pages/viewpage.action?pageId=28050027" TargetMode="External"/><Relationship Id="rId1575" Type="http://schemas.openxmlformats.org/officeDocument/2006/relationships/hyperlink" Target="https://crm.infosis.tech/crm/deal/details/8202/" TargetMode="External"/><Relationship Id="rId2422" Type="http://schemas.openxmlformats.org/officeDocument/2006/relationships/hyperlink" Target="https://crm.infosis.tech/crm/deal/details/21226/" TargetMode="External"/><Relationship Id="rId1565" Type="http://schemas.openxmlformats.org/officeDocument/2006/relationships/hyperlink" Target="https://crm.infosis.tech/crm/deal/details/8072/" TargetMode="External"/><Relationship Id="rId2412" Type="http://schemas.openxmlformats.org/officeDocument/2006/relationships/hyperlink" Target="https://crm.infosis.tech/crm/deal/details/21064/" TargetMode="External"/><Relationship Id="rId1566" Type="http://schemas.openxmlformats.org/officeDocument/2006/relationships/hyperlink" Target="https://crm.infosis.tech/crm/deal/details/8134/" TargetMode="External"/><Relationship Id="rId2413" Type="http://schemas.openxmlformats.org/officeDocument/2006/relationships/hyperlink" Target="https://crm.infosis.tech/crm/deal/details/21114/" TargetMode="External"/><Relationship Id="rId1567" Type="http://schemas.openxmlformats.org/officeDocument/2006/relationships/hyperlink" Target="https://crm.infosis.tech/crm/deal/details/7964/" TargetMode="External"/><Relationship Id="rId2414" Type="http://schemas.openxmlformats.org/officeDocument/2006/relationships/hyperlink" Target="https://crm.infosis.tech/crm/deal/details/21166/" TargetMode="External"/><Relationship Id="rId1568" Type="http://schemas.openxmlformats.org/officeDocument/2006/relationships/hyperlink" Target="https://crm.infosis.tech/crm/deal/details/8064/" TargetMode="External"/><Relationship Id="rId2415" Type="http://schemas.openxmlformats.org/officeDocument/2006/relationships/hyperlink" Target="https://crm.infosis.tech/crm/deal/details/21170/" TargetMode="External"/><Relationship Id="rId1569" Type="http://schemas.openxmlformats.org/officeDocument/2006/relationships/hyperlink" Target="https://crm.infosis.tech/crm/deal/details/7898/" TargetMode="External"/><Relationship Id="rId2416" Type="http://schemas.openxmlformats.org/officeDocument/2006/relationships/hyperlink" Target="https://crm.infosis.tech/crm/deal/details/21180/" TargetMode="External"/><Relationship Id="rId2417" Type="http://schemas.openxmlformats.org/officeDocument/2006/relationships/hyperlink" Target="https://crm.infosis.tech/crm/deal/details/21164/" TargetMode="External"/><Relationship Id="rId2418" Type="http://schemas.openxmlformats.org/officeDocument/2006/relationships/hyperlink" Target="https://crm.infosis.tech/crm/deal/details/21192/" TargetMode="External"/><Relationship Id="rId2419" Type="http://schemas.openxmlformats.org/officeDocument/2006/relationships/hyperlink" Target="https://crm.infosis.tech/crm/deal/details/21212/" TargetMode="External"/><Relationship Id="rId976" Type="http://schemas.openxmlformats.org/officeDocument/2006/relationships/hyperlink" Target="http://clientes.infosis-arg.com:8090/pages/viewpage.action?pageId=28050023" TargetMode="External"/><Relationship Id="rId975" Type="http://schemas.openxmlformats.org/officeDocument/2006/relationships/hyperlink" Target="https://crm.infosis.tech/crm/deal/details/4749/" TargetMode="External"/><Relationship Id="rId974" Type="http://schemas.openxmlformats.org/officeDocument/2006/relationships/hyperlink" Target="http://clientes.infosis-arg.com:8090/pages/viewpage.action?pageId=28050019" TargetMode="External"/><Relationship Id="rId973" Type="http://schemas.openxmlformats.org/officeDocument/2006/relationships/hyperlink" Target="https://crm.infosis.tech/crm/deal/details/4747/?IFRAME_TYPE=SIDE_SLIDER&amp;any=details%2F4747%2F" TargetMode="External"/><Relationship Id="rId979" Type="http://schemas.openxmlformats.org/officeDocument/2006/relationships/hyperlink" Target="https://crm.infosis.tech/crm/deal/details/4751/" TargetMode="External"/><Relationship Id="rId978" Type="http://schemas.openxmlformats.org/officeDocument/2006/relationships/hyperlink" Target="http://clientes.infosis-arg.com:8090/pages/viewpage.action?pageId=28049504" TargetMode="External"/><Relationship Id="rId977" Type="http://schemas.openxmlformats.org/officeDocument/2006/relationships/hyperlink" Target="https://crm.infosis.tech/crm/deal/details/4605/" TargetMode="External"/><Relationship Id="rId1560" Type="http://schemas.openxmlformats.org/officeDocument/2006/relationships/hyperlink" Target="https://crm.infosis.tech/crm/deal/details/7852/" TargetMode="External"/><Relationship Id="rId972" Type="http://schemas.openxmlformats.org/officeDocument/2006/relationships/hyperlink" Target="http://clientes.infosis-arg.com:8090/pages/viewpage.action?pageId=28050017" TargetMode="External"/><Relationship Id="rId1561" Type="http://schemas.openxmlformats.org/officeDocument/2006/relationships/hyperlink" Target="https://crm.infosis.tech/crm/deal/details/7878/" TargetMode="External"/><Relationship Id="rId971" Type="http://schemas.openxmlformats.org/officeDocument/2006/relationships/hyperlink" Target="https://crm.infosis.tech/crm/deal/details/4745/" TargetMode="External"/><Relationship Id="rId1562" Type="http://schemas.openxmlformats.org/officeDocument/2006/relationships/hyperlink" Target="https://crm.infosis.tech/crm/deal/details/7968/" TargetMode="External"/><Relationship Id="rId970" Type="http://schemas.openxmlformats.org/officeDocument/2006/relationships/hyperlink" Target="http://clientes.infosis-arg.com:8090/pages/viewpage.action?pageId=28050015" TargetMode="External"/><Relationship Id="rId1563" Type="http://schemas.openxmlformats.org/officeDocument/2006/relationships/hyperlink" Target="https://crm.infosis.tech/crm/deal/details/7926/" TargetMode="External"/><Relationship Id="rId2410" Type="http://schemas.openxmlformats.org/officeDocument/2006/relationships/hyperlink" Target="https://crm.infosis.tech/crm/deal/details/21048/" TargetMode="External"/><Relationship Id="rId1564" Type="http://schemas.openxmlformats.org/officeDocument/2006/relationships/hyperlink" Target="https://crm.infosis.tech/crm/deal/details/8060/" TargetMode="External"/><Relationship Id="rId2411" Type="http://schemas.openxmlformats.org/officeDocument/2006/relationships/hyperlink" Target="https://crm.infosis.tech/crm/deal/details/20356/" TargetMode="External"/><Relationship Id="rId1114" Type="http://schemas.openxmlformats.org/officeDocument/2006/relationships/hyperlink" Target="http://clientes.infosis-arg.com:8090/pages/viewpage.action?pageId=28050244" TargetMode="External"/><Relationship Id="rId1598" Type="http://schemas.openxmlformats.org/officeDocument/2006/relationships/hyperlink" Target="https://crm.infosis.tech/crm/deal/details/8446/" TargetMode="External"/><Relationship Id="rId2445" Type="http://schemas.openxmlformats.org/officeDocument/2006/relationships/hyperlink" Target="https://crm.infosis.tech/crm/deal/details/21714/" TargetMode="External"/><Relationship Id="rId1115" Type="http://schemas.openxmlformats.org/officeDocument/2006/relationships/hyperlink" Target="http://clientes.infosis-arg.com:8090/pages/viewpage.action?pageId=13434884" TargetMode="External"/><Relationship Id="rId1599" Type="http://schemas.openxmlformats.org/officeDocument/2006/relationships/hyperlink" Target="https://crm.infosis.tech/crm/deal/details/7396/" TargetMode="External"/><Relationship Id="rId2446" Type="http://schemas.openxmlformats.org/officeDocument/2006/relationships/hyperlink" Target="https://crm.infosis.tech/crm/deal/details/21342/" TargetMode="External"/><Relationship Id="rId1116" Type="http://schemas.openxmlformats.org/officeDocument/2006/relationships/hyperlink" Target="https://crm.infosis.com.ar/crm/deal/details/4883/" TargetMode="External"/><Relationship Id="rId2447" Type="http://schemas.openxmlformats.org/officeDocument/2006/relationships/hyperlink" Target="https://crm.infosis.tech/crm/deal/details/21342/" TargetMode="External"/><Relationship Id="rId1117" Type="http://schemas.openxmlformats.org/officeDocument/2006/relationships/hyperlink" Target="https://crm.infosis.tech/crm/deal/details/4885/" TargetMode="External"/><Relationship Id="rId2448" Type="http://schemas.openxmlformats.org/officeDocument/2006/relationships/hyperlink" Target="https://crm.infosis.tech/crm/deal/details/21818/" TargetMode="External"/><Relationship Id="rId1118" Type="http://schemas.openxmlformats.org/officeDocument/2006/relationships/hyperlink" Target="http://clientes.infosis-arg.com:8090/display/IMP/BELEN+HECTOR+ALCIDES_OC" TargetMode="External"/><Relationship Id="rId2449" Type="http://schemas.openxmlformats.org/officeDocument/2006/relationships/hyperlink" Target="https://crm.infosis.tech/crm/deal/details/21340/" TargetMode="External"/><Relationship Id="rId1119" Type="http://schemas.openxmlformats.org/officeDocument/2006/relationships/hyperlink" Target="https://crm.infosis.tech/crm/deal/details/4887/" TargetMode="External"/><Relationship Id="rId525" Type="http://schemas.openxmlformats.org/officeDocument/2006/relationships/hyperlink" Target="http://clientes.infosis-arg.com:8090/pages/viewpage.action?pageId=27623799" TargetMode="External"/><Relationship Id="rId524" Type="http://schemas.openxmlformats.org/officeDocument/2006/relationships/hyperlink" Target="https://crm.infosis.tech/crm/deal/details/4287/" TargetMode="External"/><Relationship Id="rId523" Type="http://schemas.openxmlformats.org/officeDocument/2006/relationships/hyperlink" Target="http://clientes.infosis-arg.com:8090/display/IMP/Cabrera+Cristian+Dario+-+7CAVAS+-+4281" TargetMode="External"/><Relationship Id="rId522" Type="http://schemas.openxmlformats.org/officeDocument/2006/relationships/hyperlink" Target="https://crm.infosis.tech/crm/deal/details/4281/" TargetMode="External"/><Relationship Id="rId529" Type="http://schemas.openxmlformats.org/officeDocument/2006/relationships/hyperlink" Target="http://clientes.infosis-arg.com:8090/display/IMP/RENAULT+FM++SRL+-+4261" TargetMode="External"/><Relationship Id="rId528" Type="http://schemas.openxmlformats.org/officeDocument/2006/relationships/hyperlink" Target="https://crm.infosis.tech/crm/deal/details/4261/" TargetMode="External"/><Relationship Id="rId527" Type="http://schemas.openxmlformats.org/officeDocument/2006/relationships/hyperlink" Target="http://clientes.infosis-arg.com:8090/pages/editpage.action?pageId=27623801" TargetMode="External"/><Relationship Id="rId526" Type="http://schemas.openxmlformats.org/officeDocument/2006/relationships/hyperlink" Target="https://crm.infosis.tech/crm/deal/details/4291/" TargetMode="External"/><Relationship Id="rId1590" Type="http://schemas.openxmlformats.org/officeDocument/2006/relationships/hyperlink" Target="https://crm.infosis.tech/crm/deal/details/8380/" TargetMode="External"/><Relationship Id="rId1591" Type="http://schemas.openxmlformats.org/officeDocument/2006/relationships/hyperlink" Target="https://crm.infosis.tech/crm/deal/details/8410/" TargetMode="External"/><Relationship Id="rId1592" Type="http://schemas.openxmlformats.org/officeDocument/2006/relationships/hyperlink" Target="https://crm.infosis.tech/crm/deal/details/8404/" TargetMode="External"/><Relationship Id="rId1593" Type="http://schemas.openxmlformats.org/officeDocument/2006/relationships/hyperlink" Target="https://crm.infosis.tech/crm/deal/details/8382/" TargetMode="External"/><Relationship Id="rId2440" Type="http://schemas.openxmlformats.org/officeDocument/2006/relationships/hyperlink" Target="https://crm.infosis.tech/crm/deal/details/21528/" TargetMode="External"/><Relationship Id="rId521" Type="http://schemas.openxmlformats.org/officeDocument/2006/relationships/hyperlink" Target="http://clientes.infosis-arg.com:8090/pages/viewpage.action?pageId=27623791" TargetMode="External"/><Relationship Id="rId1110" Type="http://schemas.openxmlformats.org/officeDocument/2006/relationships/hyperlink" Target="http://clientes.infosis-arg.com:8090/pages/viewpage.action?pageId=28050235" TargetMode="External"/><Relationship Id="rId1594" Type="http://schemas.openxmlformats.org/officeDocument/2006/relationships/hyperlink" Target="https://crm.infosis.tech/crm/deal/details/8412/" TargetMode="External"/><Relationship Id="rId2441" Type="http://schemas.openxmlformats.org/officeDocument/2006/relationships/hyperlink" Target="https://crm.infosis.tech/crm/deal/details/21622/" TargetMode="External"/><Relationship Id="rId520" Type="http://schemas.openxmlformats.org/officeDocument/2006/relationships/hyperlink" Target="https://crm.infosis.tech/crm/deal/details/4279/" TargetMode="External"/><Relationship Id="rId1111" Type="http://schemas.openxmlformats.org/officeDocument/2006/relationships/hyperlink" Target="https://crm.infosis.tech/crm/deal/details/4875/" TargetMode="External"/><Relationship Id="rId1595" Type="http://schemas.openxmlformats.org/officeDocument/2006/relationships/hyperlink" Target="https://crm.infosis.tech/crm/deal/details/8058/" TargetMode="External"/><Relationship Id="rId2442" Type="http://schemas.openxmlformats.org/officeDocument/2006/relationships/hyperlink" Target="https://crm.infosis.tech/crm/deal/details/21620/" TargetMode="External"/><Relationship Id="rId1112" Type="http://schemas.openxmlformats.org/officeDocument/2006/relationships/hyperlink" Target="http://clientes.infosis-arg.com:8090/display/IMP/MAR+DEL+PLATA+HUBSI+SA" TargetMode="External"/><Relationship Id="rId1596" Type="http://schemas.openxmlformats.org/officeDocument/2006/relationships/hyperlink" Target="https://crm.infosis.tech/crm/deal/details/8374/" TargetMode="External"/><Relationship Id="rId2443" Type="http://schemas.openxmlformats.org/officeDocument/2006/relationships/hyperlink" Target="https://crm.infosis.tech/crm/deal/details/21690/" TargetMode="External"/><Relationship Id="rId1113" Type="http://schemas.openxmlformats.org/officeDocument/2006/relationships/hyperlink" Target="https://crm.infosis.tech/crm/deal/details/4877/" TargetMode="External"/><Relationship Id="rId1597" Type="http://schemas.openxmlformats.org/officeDocument/2006/relationships/hyperlink" Target="https://crm.infosis.tech/crm/deal/details/8444/" TargetMode="External"/><Relationship Id="rId2444" Type="http://schemas.openxmlformats.org/officeDocument/2006/relationships/hyperlink" Target="https://crm.infosis.tech/crm/deal/details/21690/" TargetMode="External"/><Relationship Id="rId1103" Type="http://schemas.openxmlformats.org/officeDocument/2006/relationships/hyperlink" Target="https://crm.infosis.tech/crm/deal/details/4867/" TargetMode="External"/><Relationship Id="rId1587" Type="http://schemas.openxmlformats.org/officeDocument/2006/relationships/hyperlink" Target="https://crm.infosis.tech/crm/deal/details/8178/" TargetMode="External"/><Relationship Id="rId2434" Type="http://schemas.openxmlformats.org/officeDocument/2006/relationships/hyperlink" Target="https://crm.infosis.tech/crm/deal/details/21520/" TargetMode="External"/><Relationship Id="rId1104" Type="http://schemas.openxmlformats.org/officeDocument/2006/relationships/hyperlink" Target="http://clientes.infosis-arg.com:8090/pages/viewpage.action?pageId=28050227" TargetMode="External"/><Relationship Id="rId1588" Type="http://schemas.openxmlformats.org/officeDocument/2006/relationships/hyperlink" Target="https://crm.infosis.tech/crm/deal/details/8246/" TargetMode="External"/><Relationship Id="rId2435" Type="http://schemas.openxmlformats.org/officeDocument/2006/relationships/hyperlink" Target="https://crm.infosis.tech/crm/deal/details/20458/?any=details%2F20458%2F" TargetMode="External"/><Relationship Id="rId1105" Type="http://schemas.openxmlformats.org/officeDocument/2006/relationships/hyperlink" Target="https://crm.infosis.tech/crm/deal/details/4869/" TargetMode="External"/><Relationship Id="rId1589" Type="http://schemas.openxmlformats.org/officeDocument/2006/relationships/hyperlink" Target="https://crm.infosis.tech/crm/deal/details/8234/" TargetMode="External"/><Relationship Id="rId2436" Type="http://schemas.openxmlformats.org/officeDocument/2006/relationships/hyperlink" Target="https://crm.infosis.tech/crm/deal/details/21494/" TargetMode="External"/><Relationship Id="rId1106" Type="http://schemas.openxmlformats.org/officeDocument/2006/relationships/hyperlink" Target="http://clientes.infosis-arg.com:8090/pages/viewpage.action?pageId=28050233" TargetMode="External"/><Relationship Id="rId2437" Type="http://schemas.openxmlformats.org/officeDocument/2006/relationships/hyperlink" Target="https://crm.infosis.tech/crm/deal/details/19660/" TargetMode="External"/><Relationship Id="rId1107" Type="http://schemas.openxmlformats.org/officeDocument/2006/relationships/hyperlink" Target="https://crm.infosis.tech/crm/deal/details/4871/" TargetMode="External"/><Relationship Id="rId2438" Type="http://schemas.openxmlformats.org/officeDocument/2006/relationships/hyperlink" Target="https://crm.infosis.tech/crm/deal/details/21168/" TargetMode="External"/><Relationship Id="rId1108" Type="http://schemas.openxmlformats.org/officeDocument/2006/relationships/hyperlink" Target="http://clientes.infosis-arg.com:8090/display/IMP/ADJENA+S.R.L" TargetMode="External"/><Relationship Id="rId2439" Type="http://schemas.openxmlformats.org/officeDocument/2006/relationships/hyperlink" Target="https://crm.infosis.tech/crm/deal/details/21528/" TargetMode="External"/><Relationship Id="rId1109" Type="http://schemas.openxmlformats.org/officeDocument/2006/relationships/hyperlink" Target="https://crm.infosis.tech/crm/deal/details/4873/" TargetMode="External"/><Relationship Id="rId519" Type="http://schemas.openxmlformats.org/officeDocument/2006/relationships/hyperlink" Target="http://clientes.infosis-arg.com:8090/pages/viewpage.action?pageId=27623797" TargetMode="External"/><Relationship Id="rId514" Type="http://schemas.openxmlformats.org/officeDocument/2006/relationships/hyperlink" Target="https://crm.infosis.tech/crm/deal/details/4141/" TargetMode="External"/><Relationship Id="rId998" Type="http://schemas.openxmlformats.org/officeDocument/2006/relationships/hyperlink" Target="http://clientes.infosis-arg.com:8090/pages/viewpage.action?pageId=28049485" TargetMode="External"/><Relationship Id="rId513" Type="http://schemas.openxmlformats.org/officeDocument/2006/relationships/hyperlink" Target="http://clientes.infosis-arg.com:8090/pages/viewpage.action?pageId=27623776" TargetMode="External"/><Relationship Id="rId997" Type="http://schemas.openxmlformats.org/officeDocument/2006/relationships/hyperlink" Target="https://crm.infosis.tech/crm/deal/details/4603/" TargetMode="External"/><Relationship Id="rId512" Type="http://schemas.openxmlformats.org/officeDocument/2006/relationships/hyperlink" Target="https://crm.infosis.tech/crm/deal/details/4275/" TargetMode="External"/><Relationship Id="rId996" Type="http://schemas.openxmlformats.org/officeDocument/2006/relationships/hyperlink" Target="http://clientes.infosis-arg.com:8090/display/IMP/Ultracolor+SRL+-+4413" TargetMode="External"/><Relationship Id="rId511" Type="http://schemas.openxmlformats.org/officeDocument/2006/relationships/hyperlink" Target="http://clientes.infosis-arg.com:8090/pages/viewpage.action?pageId=27623649" TargetMode="External"/><Relationship Id="rId995" Type="http://schemas.openxmlformats.org/officeDocument/2006/relationships/hyperlink" Target="https://crm.infosis.tech/crm/deal/details/4423/" TargetMode="External"/><Relationship Id="rId518" Type="http://schemas.openxmlformats.org/officeDocument/2006/relationships/hyperlink" Target="https://crm.infosis.tech/crm/deal/details/4285/" TargetMode="External"/><Relationship Id="rId517" Type="http://schemas.openxmlformats.org/officeDocument/2006/relationships/hyperlink" Target="http://clientes.infosis-arg.com:8090/display/IMP/Spare+Phone_OC" TargetMode="External"/><Relationship Id="rId516" Type="http://schemas.openxmlformats.org/officeDocument/2006/relationships/hyperlink" Target="https://crm.infosis.tech/crm/deal/details/4271/" TargetMode="External"/><Relationship Id="rId515" Type="http://schemas.openxmlformats.org/officeDocument/2006/relationships/hyperlink" Target="http://clientes.infosis-arg.com:8090/display/IMP/Ampliacion+Sabemos+de+Almohadas" TargetMode="External"/><Relationship Id="rId999" Type="http://schemas.openxmlformats.org/officeDocument/2006/relationships/hyperlink" Target="https://crm.infosis.tech/crm/deal/details/4765/" TargetMode="External"/><Relationship Id="rId990" Type="http://schemas.openxmlformats.org/officeDocument/2006/relationships/hyperlink" Target="http://clientes.infosis-arg.com:8090/pages/viewpage.action?pageId=28050039" TargetMode="External"/><Relationship Id="rId1580" Type="http://schemas.openxmlformats.org/officeDocument/2006/relationships/hyperlink" Target="https://crm.infosis.tech/crm/deal/details/7746/" TargetMode="External"/><Relationship Id="rId1581" Type="http://schemas.openxmlformats.org/officeDocument/2006/relationships/hyperlink" Target="https://crm.infosis.tech/crm/deal/details/8276/" TargetMode="External"/><Relationship Id="rId1582" Type="http://schemas.openxmlformats.org/officeDocument/2006/relationships/hyperlink" Target="https://crm.infosis.tech/crm/deal/details/8282/" TargetMode="External"/><Relationship Id="rId510" Type="http://schemas.openxmlformats.org/officeDocument/2006/relationships/hyperlink" Target="https://crm.infosis.tech/crm/deal/details/4277/" TargetMode="External"/><Relationship Id="rId994" Type="http://schemas.openxmlformats.org/officeDocument/2006/relationships/hyperlink" Target="http://clientes.infosis-arg.com:8090/pages/viewpage.action?pageId=28050043" TargetMode="External"/><Relationship Id="rId1583" Type="http://schemas.openxmlformats.org/officeDocument/2006/relationships/hyperlink" Target="https://crm.infosis.tech/crm/deal/details/8290/" TargetMode="External"/><Relationship Id="rId2430" Type="http://schemas.openxmlformats.org/officeDocument/2006/relationships/hyperlink" Target="https://crm.infosis.tech/crm/deal/details/21284/" TargetMode="External"/><Relationship Id="rId993" Type="http://schemas.openxmlformats.org/officeDocument/2006/relationships/hyperlink" Target="https://crm.infosis.tech/crm/deal/details/4763/" TargetMode="External"/><Relationship Id="rId1100" Type="http://schemas.openxmlformats.org/officeDocument/2006/relationships/hyperlink" Target="http://clientes.infosis-arg.com:8090/pages/viewpage.action?pageId=28050216" TargetMode="External"/><Relationship Id="rId1584" Type="http://schemas.openxmlformats.org/officeDocument/2006/relationships/hyperlink" Target="https://crm.infosis.tech/crm/deal/details/8112/" TargetMode="External"/><Relationship Id="rId2431" Type="http://schemas.openxmlformats.org/officeDocument/2006/relationships/hyperlink" Target="https://crm.infosis.tech/crm/deal/details/21404/" TargetMode="External"/><Relationship Id="rId992" Type="http://schemas.openxmlformats.org/officeDocument/2006/relationships/hyperlink" Target="http://clientes.infosis-arg.com:8090/display/IMP/AMPLIA+TIRIBELLI+AGUSTIN+F" TargetMode="External"/><Relationship Id="rId1101" Type="http://schemas.openxmlformats.org/officeDocument/2006/relationships/hyperlink" Target="https://crm.infosis.tech/crm/lead/details/32251/" TargetMode="External"/><Relationship Id="rId1585" Type="http://schemas.openxmlformats.org/officeDocument/2006/relationships/hyperlink" Target="https://crm.infosis.tech/crm/deal/details/8296/" TargetMode="External"/><Relationship Id="rId2432" Type="http://schemas.openxmlformats.org/officeDocument/2006/relationships/hyperlink" Target="https://crm.infosis.tech/crm/deal/details/21490/" TargetMode="External"/><Relationship Id="rId991" Type="http://schemas.openxmlformats.org/officeDocument/2006/relationships/hyperlink" Target="https://crm.infosis.tech/crm/deal/details/4661/" TargetMode="External"/><Relationship Id="rId1102" Type="http://schemas.openxmlformats.org/officeDocument/2006/relationships/hyperlink" Target="http://clientes.infosis-arg.com:8090/pages/viewpage.action?pageId=28050223" TargetMode="External"/><Relationship Id="rId1586" Type="http://schemas.openxmlformats.org/officeDocument/2006/relationships/hyperlink" Target="https://crm.infosis.tech/crm/deal/details/7962/" TargetMode="External"/><Relationship Id="rId2433" Type="http://schemas.openxmlformats.org/officeDocument/2006/relationships/hyperlink" Target="https://crm.infosis.tech/crm/deal/details/21324/" TargetMode="External"/><Relationship Id="rId1532" Type="http://schemas.openxmlformats.org/officeDocument/2006/relationships/hyperlink" Target="https://crm.infosis.tech/crm/deal/details/7670/" TargetMode="External"/><Relationship Id="rId1533" Type="http://schemas.openxmlformats.org/officeDocument/2006/relationships/hyperlink" Target="https://crm.infosis.tech/crm/deal/details/7602/" TargetMode="External"/><Relationship Id="rId1534" Type="http://schemas.openxmlformats.org/officeDocument/2006/relationships/hyperlink" Target="https://crm.infosis.tech/crm/deal/details/7702/" TargetMode="External"/><Relationship Id="rId1535" Type="http://schemas.openxmlformats.org/officeDocument/2006/relationships/hyperlink" Target="https://crm.infosis.tech/crm/deal/details/7648/" TargetMode="External"/><Relationship Id="rId1536" Type="http://schemas.openxmlformats.org/officeDocument/2006/relationships/hyperlink" Target="https://crm.infosis.tech/crm/deal/details/7440/" TargetMode="External"/><Relationship Id="rId1537" Type="http://schemas.openxmlformats.org/officeDocument/2006/relationships/hyperlink" Target="https://crm.infosis.tech/crm/deal/details/7624/" TargetMode="External"/><Relationship Id="rId1538" Type="http://schemas.openxmlformats.org/officeDocument/2006/relationships/hyperlink" Target="https://crm.infosis.tech/crm/deal/details/7638/" TargetMode="External"/><Relationship Id="rId1539" Type="http://schemas.openxmlformats.org/officeDocument/2006/relationships/hyperlink" Target="https://crm.infosis.tech/crm/deal/details/7734/" TargetMode="External"/><Relationship Id="rId949" Type="http://schemas.openxmlformats.org/officeDocument/2006/relationships/hyperlink" Target="https://crm.infosis.tech/crm/deal/details/4723/" TargetMode="External"/><Relationship Id="rId948" Type="http://schemas.openxmlformats.org/officeDocument/2006/relationships/hyperlink" Target="http://clientes.infosis-arg.com:8090/pages/viewpage.action?pageId=28049982" TargetMode="External"/><Relationship Id="rId943" Type="http://schemas.openxmlformats.org/officeDocument/2006/relationships/hyperlink" Target="https://crm.infosis.tech/crm/deal/details/4711/" TargetMode="External"/><Relationship Id="rId942" Type="http://schemas.openxmlformats.org/officeDocument/2006/relationships/hyperlink" Target="http://clientes.infosis-arg.com:8090/pages/viewpage.action?pageId=28049978" TargetMode="External"/><Relationship Id="rId941" Type="http://schemas.openxmlformats.org/officeDocument/2006/relationships/hyperlink" Target="https://crm.infosis.tech/crm/deal/details/4717/?IFRAME_TYPE=SIDE_SLIDER&amp;any=details%2F4717%2F" TargetMode="External"/><Relationship Id="rId940" Type="http://schemas.openxmlformats.org/officeDocument/2006/relationships/hyperlink" Target="http://clientes.infosis-arg.com:8090/display/IMP/INSUMOS+GASTRONOMICOS+DEL+PLATA+S.A.+AMPLIACION" TargetMode="External"/><Relationship Id="rId947" Type="http://schemas.openxmlformats.org/officeDocument/2006/relationships/hyperlink" Target="https://crm.infosis.tech/crm/deal/details/4721/" TargetMode="External"/><Relationship Id="rId946" Type="http://schemas.openxmlformats.org/officeDocument/2006/relationships/hyperlink" Target="http://clientes.infosis-arg.com:8090/pages/viewpage.action?pageId=28049972" TargetMode="External"/><Relationship Id="rId945" Type="http://schemas.openxmlformats.org/officeDocument/2006/relationships/hyperlink" Target="https://crm.infosis.tech/crm/deal/details/4719/" TargetMode="External"/><Relationship Id="rId944" Type="http://schemas.openxmlformats.org/officeDocument/2006/relationships/hyperlink" Target="http://clientes.infosis-arg.com:8090/pages/viewpage.action?pageId=28049961" TargetMode="External"/><Relationship Id="rId1530" Type="http://schemas.openxmlformats.org/officeDocument/2006/relationships/hyperlink" Target="https://crm.infosis.tech/crm/deal/details/7454/" TargetMode="External"/><Relationship Id="rId1531" Type="http://schemas.openxmlformats.org/officeDocument/2006/relationships/hyperlink" Target="https://crm.infosis.tech/crm/deal/details/7662/" TargetMode="External"/><Relationship Id="rId1521" Type="http://schemas.openxmlformats.org/officeDocument/2006/relationships/hyperlink" Target="https://crm.infosis.tech/crm/deal/details/7584/" TargetMode="External"/><Relationship Id="rId1522" Type="http://schemas.openxmlformats.org/officeDocument/2006/relationships/hyperlink" Target="https://crm.infosis.tech/crm/deal/details/7620/" TargetMode="External"/><Relationship Id="rId1523" Type="http://schemas.openxmlformats.org/officeDocument/2006/relationships/hyperlink" Target="https://crm.infosis.tech/crm/deal/details/7586/" TargetMode="External"/><Relationship Id="rId1524" Type="http://schemas.openxmlformats.org/officeDocument/2006/relationships/hyperlink" Target="https://crm.infosis.tech/crm/deal/details/7618/" TargetMode="External"/><Relationship Id="rId1525" Type="http://schemas.openxmlformats.org/officeDocument/2006/relationships/hyperlink" Target="https://crm.infosis.tech/crm/deal/details/7564/" TargetMode="External"/><Relationship Id="rId1526" Type="http://schemas.openxmlformats.org/officeDocument/2006/relationships/hyperlink" Target="https://crm.infosis.tech/crm/deal/details/7596/" TargetMode="External"/><Relationship Id="rId1527" Type="http://schemas.openxmlformats.org/officeDocument/2006/relationships/hyperlink" Target="https://crm.infosis.tech/crm/deal/details/7630/" TargetMode="External"/><Relationship Id="rId1528" Type="http://schemas.openxmlformats.org/officeDocument/2006/relationships/hyperlink" Target="https://crm.infosis.tech/crm/deal/details/7402/" TargetMode="External"/><Relationship Id="rId1529" Type="http://schemas.openxmlformats.org/officeDocument/2006/relationships/hyperlink" Target="https://crm.infosis.tech/crm/deal/details/7408/" TargetMode="External"/><Relationship Id="rId939" Type="http://schemas.openxmlformats.org/officeDocument/2006/relationships/hyperlink" Target="https://crm.infosis.tech/crm/deal/details/4715/" TargetMode="External"/><Relationship Id="rId938" Type="http://schemas.openxmlformats.org/officeDocument/2006/relationships/hyperlink" Target="http://clientes.infosis-arg.com:8090/pages/viewpage.action?pageId=28049963" TargetMode="External"/><Relationship Id="rId937" Type="http://schemas.openxmlformats.org/officeDocument/2006/relationships/hyperlink" Target="https://crm.infosis.tech/crm/deal/details/4713/" TargetMode="External"/><Relationship Id="rId932" Type="http://schemas.openxmlformats.org/officeDocument/2006/relationships/hyperlink" Target="http://clientes.infosis-arg.com:8090/pages/viewpage.action?pageId=28049948" TargetMode="External"/><Relationship Id="rId931" Type="http://schemas.openxmlformats.org/officeDocument/2006/relationships/hyperlink" Target="https://crm.infosis.tech/crm/deal/details/4705/" TargetMode="External"/><Relationship Id="rId930" Type="http://schemas.openxmlformats.org/officeDocument/2006/relationships/hyperlink" Target="http://clientes.infosis-arg.com:8090/pages/viewpage.action?pageId=28049946" TargetMode="External"/><Relationship Id="rId936" Type="http://schemas.openxmlformats.org/officeDocument/2006/relationships/hyperlink" Target="http://clientes.infosis-arg.com:8090/pages/viewpage.action?pageId=28049957" TargetMode="External"/><Relationship Id="rId935" Type="http://schemas.openxmlformats.org/officeDocument/2006/relationships/hyperlink" Target="https://crm.infosis.tech/crm/deal/details/4709/" TargetMode="External"/><Relationship Id="rId934" Type="http://schemas.openxmlformats.org/officeDocument/2006/relationships/hyperlink" Target="http://clientes.infosis-arg.com:8090/display/IMP/Repuestos+Ya+-+4313" TargetMode="External"/><Relationship Id="rId933" Type="http://schemas.openxmlformats.org/officeDocument/2006/relationships/hyperlink" Target="https://crm.infosis.tech/crm/deal/details/4395/" TargetMode="External"/><Relationship Id="rId1520" Type="http://schemas.openxmlformats.org/officeDocument/2006/relationships/hyperlink" Target="https://crm.infosis.tech/crm/deal/details/7580/" TargetMode="External"/><Relationship Id="rId1554" Type="http://schemas.openxmlformats.org/officeDocument/2006/relationships/hyperlink" Target="https://crm.infosis.tech/crm/deal/details/7930/" TargetMode="External"/><Relationship Id="rId2401" Type="http://schemas.openxmlformats.org/officeDocument/2006/relationships/hyperlink" Target="https://crm.infosis.tech/crm/deal/details/20750/?any=details%2F20750%2F" TargetMode="External"/><Relationship Id="rId1555" Type="http://schemas.openxmlformats.org/officeDocument/2006/relationships/hyperlink" Target="https://crm.infosis.tech/crm/deal/details/7928/" TargetMode="External"/><Relationship Id="rId2402" Type="http://schemas.openxmlformats.org/officeDocument/2006/relationships/hyperlink" Target="https://crm.infosis.tech/crm/deal/details/20582/" TargetMode="External"/><Relationship Id="rId1556" Type="http://schemas.openxmlformats.org/officeDocument/2006/relationships/hyperlink" Target="https://crm.infosis.tech/crm/deal/details/7848/" TargetMode="External"/><Relationship Id="rId2403" Type="http://schemas.openxmlformats.org/officeDocument/2006/relationships/hyperlink" Target="https://crm.infosis.tech/crm/deal/details/20780/" TargetMode="External"/><Relationship Id="rId1557" Type="http://schemas.openxmlformats.org/officeDocument/2006/relationships/hyperlink" Target="https://crm.infosis.tech/crm/deal/details/7908/" TargetMode="External"/><Relationship Id="rId2404" Type="http://schemas.openxmlformats.org/officeDocument/2006/relationships/hyperlink" Target="https://crm.infosis.tech/crm/deal/details/20608/" TargetMode="External"/><Relationship Id="rId1558" Type="http://schemas.openxmlformats.org/officeDocument/2006/relationships/hyperlink" Target="https://crm.infosis.tech/crm/deal/details/7600/" TargetMode="External"/><Relationship Id="rId2405" Type="http://schemas.openxmlformats.org/officeDocument/2006/relationships/hyperlink" Target="https://crm.infosis.tech/crm/deal/details/20998/?any=details%2F20998%2F" TargetMode="External"/><Relationship Id="rId1559" Type="http://schemas.openxmlformats.org/officeDocument/2006/relationships/hyperlink" Target="https://crm.infosis.tech/crm/deal/details/7940/" TargetMode="External"/><Relationship Id="rId2406" Type="http://schemas.openxmlformats.org/officeDocument/2006/relationships/hyperlink" Target="https://crm.infosis.tech/crm/deal/details/20912/" TargetMode="External"/><Relationship Id="rId2407" Type="http://schemas.openxmlformats.org/officeDocument/2006/relationships/hyperlink" Target="https://crm.infosis.tech/crm/deal/details/20912/" TargetMode="External"/><Relationship Id="rId2408" Type="http://schemas.openxmlformats.org/officeDocument/2006/relationships/hyperlink" Target="https://crm.infosis.tech/crm/deal/details/17738/" TargetMode="External"/><Relationship Id="rId2409" Type="http://schemas.openxmlformats.org/officeDocument/2006/relationships/hyperlink" Target="https://crm.infosis.tech/crm/deal/details/21034/" TargetMode="External"/><Relationship Id="rId965" Type="http://schemas.openxmlformats.org/officeDocument/2006/relationships/hyperlink" Target="https://crm.infosis.tech/crm/deal/details/4739/" TargetMode="External"/><Relationship Id="rId964" Type="http://schemas.openxmlformats.org/officeDocument/2006/relationships/hyperlink" Target="http://clientes.infosis-arg.com:8090/pages/viewpage.action?pageId=28050011" TargetMode="External"/><Relationship Id="rId963" Type="http://schemas.openxmlformats.org/officeDocument/2006/relationships/hyperlink" Target="https://crm.infosis.tech/crm/deal/details/4471/" TargetMode="External"/><Relationship Id="rId962" Type="http://schemas.openxmlformats.org/officeDocument/2006/relationships/hyperlink" Target="http://clientes.infosis-arg.com:8090/pages/viewpage.action?pageId=28050009" TargetMode="External"/><Relationship Id="rId969" Type="http://schemas.openxmlformats.org/officeDocument/2006/relationships/hyperlink" Target="https://crm.infosis.tech/crm/deal/details/4743/" TargetMode="External"/><Relationship Id="rId968" Type="http://schemas.openxmlformats.org/officeDocument/2006/relationships/hyperlink" Target="http://clientes.infosis-arg.com:8090/pages/viewpage.action?pageId=28050013" TargetMode="External"/><Relationship Id="rId967" Type="http://schemas.openxmlformats.org/officeDocument/2006/relationships/hyperlink" Target="https://crm.infosis.tech/crm/deal/details/4741/" TargetMode="External"/><Relationship Id="rId966" Type="http://schemas.openxmlformats.org/officeDocument/2006/relationships/hyperlink" Target="http://clientes.infosis-arg.com:8090/pages/viewpage.action?pageId=28050011" TargetMode="External"/><Relationship Id="rId961" Type="http://schemas.openxmlformats.org/officeDocument/2006/relationships/hyperlink" Target="https://crm.infosis.tech/crm/deal/details/4737/" TargetMode="External"/><Relationship Id="rId1550" Type="http://schemas.openxmlformats.org/officeDocument/2006/relationships/hyperlink" Target="https://crm.infosis.tech/crm/deal/details/7868/" TargetMode="External"/><Relationship Id="rId960" Type="http://schemas.openxmlformats.org/officeDocument/2006/relationships/hyperlink" Target="http://clientes.infosis-arg.com:8090/pages/viewpage.action?pageId=28050003" TargetMode="External"/><Relationship Id="rId1551" Type="http://schemas.openxmlformats.org/officeDocument/2006/relationships/hyperlink" Target="https://crm.infosis.tech/crm/deal/details/7828/" TargetMode="External"/><Relationship Id="rId1552" Type="http://schemas.openxmlformats.org/officeDocument/2006/relationships/hyperlink" Target="https://crm.infosis.tech/crm/deal/details/7842/" TargetMode="External"/><Relationship Id="rId1553" Type="http://schemas.openxmlformats.org/officeDocument/2006/relationships/hyperlink" Target="https://crm.infosis.tech/crm/deal/details/7748/" TargetMode="External"/><Relationship Id="rId2400" Type="http://schemas.openxmlformats.org/officeDocument/2006/relationships/hyperlink" Target="https://crm.infosis.tech/crm/deal/details/20728/" TargetMode="External"/><Relationship Id="rId1543" Type="http://schemas.openxmlformats.org/officeDocument/2006/relationships/hyperlink" Target="https://crm.infosis.tech/crm/deal/details/7510/" TargetMode="External"/><Relationship Id="rId1544" Type="http://schemas.openxmlformats.org/officeDocument/2006/relationships/hyperlink" Target="https://crm.infosis.tech/crm/deal/details/7754/" TargetMode="External"/><Relationship Id="rId1545" Type="http://schemas.openxmlformats.org/officeDocument/2006/relationships/hyperlink" Target="https://crm.infosis.tech/crm/deal/details/7810/" TargetMode="External"/><Relationship Id="rId1546" Type="http://schemas.openxmlformats.org/officeDocument/2006/relationships/hyperlink" Target="https://crm.infosis.tech/crm/deal/details/7844/" TargetMode="External"/><Relationship Id="rId1547" Type="http://schemas.openxmlformats.org/officeDocument/2006/relationships/hyperlink" Target="https://crm.infosis.tech/crm/deal/details/7824/" TargetMode="External"/><Relationship Id="rId1548" Type="http://schemas.openxmlformats.org/officeDocument/2006/relationships/hyperlink" Target="https://crm.infosis.tech/crm/deal/details/7820/" TargetMode="External"/><Relationship Id="rId1549" Type="http://schemas.openxmlformats.org/officeDocument/2006/relationships/hyperlink" Target="https://crm.infosis.tech/crm/deal/details/7880/" TargetMode="External"/><Relationship Id="rId959" Type="http://schemas.openxmlformats.org/officeDocument/2006/relationships/hyperlink" Target="https://crm.infosis.tech/crm/deal/details/4733/" TargetMode="External"/><Relationship Id="rId954" Type="http://schemas.openxmlformats.org/officeDocument/2006/relationships/hyperlink" Target="http://clientes.infosis-arg.com:8090/pages/viewpage.action?pageId=28049998" TargetMode="External"/><Relationship Id="rId953" Type="http://schemas.openxmlformats.org/officeDocument/2006/relationships/hyperlink" Target="https://crm.infosis.tech/crm/deal/details/4727/" TargetMode="External"/><Relationship Id="rId952" Type="http://schemas.openxmlformats.org/officeDocument/2006/relationships/hyperlink" Target="http://clientes.infosis-arg.com:8090/pages/viewpage.action?pageId=28049997" TargetMode="External"/><Relationship Id="rId951" Type="http://schemas.openxmlformats.org/officeDocument/2006/relationships/hyperlink" Target="https://crm.infosis.tech/crm/deal/details/4725/" TargetMode="External"/><Relationship Id="rId958" Type="http://schemas.openxmlformats.org/officeDocument/2006/relationships/hyperlink" Target="http://clientes.infosis-arg.com:8090/pages/viewpage.action?pageId=28050001" TargetMode="External"/><Relationship Id="rId957" Type="http://schemas.openxmlformats.org/officeDocument/2006/relationships/hyperlink" Target="https://crm.infosis.tech/crm/deal/details/4731/" TargetMode="External"/><Relationship Id="rId956" Type="http://schemas.openxmlformats.org/officeDocument/2006/relationships/hyperlink" Target="http://clientes.infosis-arg.com:8090/pages/editpage.action?pageId=28050000" TargetMode="External"/><Relationship Id="rId955" Type="http://schemas.openxmlformats.org/officeDocument/2006/relationships/hyperlink" Target="https://crm.infosis.tech/crm/deal/details/4729/" TargetMode="External"/><Relationship Id="rId950" Type="http://schemas.openxmlformats.org/officeDocument/2006/relationships/hyperlink" Target="http://clientes.infosis-arg.com:8090/pages/viewpage.action?pageId=28049986" TargetMode="External"/><Relationship Id="rId1540" Type="http://schemas.openxmlformats.org/officeDocument/2006/relationships/hyperlink" Target="https://crm.infosis.tech/crm/deal/details/7736/" TargetMode="External"/><Relationship Id="rId1541" Type="http://schemas.openxmlformats.org/officeDocument/2006/relationships/hyperlink" Target="https://crm.infosis.tech/crm/deal/details/7732/" TargetMode="External"/><Relationship Id="rId1542" Type="http://schemas.openxmlformats.org/officeDocument/2006/relationships/hyperlink" Target="https://crm.infosis.tech/crm/deal/details/7784/" TargetMode="External"/><Relationship Id="rId2027" Type="http://schemas.openxmlformats.org/officeDocument/2006/relationships/hyperlink" Target="https://crm.infosis.tech/crm/deal/details/14606/" TargetMode="External"/><Relationship Id="rId2028" Type="http://schemas.openxmlformats.org/officeDocument/2006/relationships/hyperlink" Target="https://crm.infosis.tech/crm/deal/details/14438/" TargetMode="External"/><Relationship Id="rId2029" Type="http://schemas.openxmlformats.org/officeDocument/2006/relationships/hyperlink" Target="https://crm.infosis.tech/crm/deal/details/14634/" TargetMode="External"/><Relationship Id="rId590" Type="http://schemas.openxmlformats.org/officeDocument/2006/relationships/hyperlink" Target="https://crm.infosis.tech/crm/deal/details/4361/" TargetMode="External"/><Relationship Id="rId107" Type="http://schemas.openxmlformats.org/officeDocument/2006/relationships/hyperlink" Target="http://clientes.infosis-arg.com:8090/pages/viewpage.action?pageId=26673235" TargetMode="External"/><Relationship Id="rId106" Type="http://schemas.openxmlformats.org/officeDocument/2006/relationships/hyperlink" Target="https://crm.infosis.tech/crm/deal/details/312/" TargetMode="External"/><Relationship Id="rId105" Type="http://schemas.openxmlformats.org/officeDocument/2006/relationships/hyperlink" Target="http://clientes.infosis-arg.com:8090/pages/viewpage.action?pageId=26673187" TargetMode="External"/><Relationship Id="rId589" Type="http://schemas.openxmlformats.org/officeDocument/2006/relationships/hyperlink" Target="http://clientes.infosis-arg.com:8090/pages/editpage.action?pageId=27623499" TargetMode="External"/><Relationship Id="rId104" Type="http://schemas.openxmlformats.org/officeDocument/2006/relationships/hyperlink" Target="https://crm.infosis.tech/crm/deal/details/2767/" TargetMode="External"/><Relationship Id="rId588" Type="http://schemas.openxmlformats.org/officeDocument/2006/relationships/hyperlink" Target="https://crm.infosis.tech/crm/deal/details/4087/" TargetMode="External"/><Relationship Id="rId109" Type="http://schemas.openxmlformats.org/officeDocument/2006/relationships/hyperlink" Target="http://clientes.infosis-arg.com:8090/pages/viewpage.action?pageId=27164721" TargetMode="External"/><Relationship Id="rId1170" Type="http://schemas.openxmlformats.org/officeDocument/2006/relationships/hyperlink" Target="https://crm.infosis.tech/crm/deal/details/5127/" TargetMode="External"/><Relationship Id="rId108" Type="http://schemas.openxmlformats.org/officeDocument/2006/relationships/hyperlink" Target="https://crm.infosis.tech/crm/deal/details/3317/" TargetMode="External"/><Relationship Id="rId1171" Type="http://schemas.openxmlformats.org/officeDocument/2006/relationships/hyperlink" Target="https://crm.infosis.tech/crm/deal/details/5131/" TargetMode="External"/><Relationship Id="rId583" Type="http://schemas.openxmlformats.org/officeDocument/2006/relationships/hyperlink" Target="http://clientes.infosis-arg.com:8090/display/IMP/CI.DI.ME.+CENTRO+INTEGRAL+PARA+DISCAPACITADOS+MENTALES+COSECHANDO+TIEMPO" TargetMode="External"/><Relationship Id="rId1172" Type="http://schemas.openxmlformats.org/officeDocument/2006/relationships/hyperlink" Target="https://crm.infosis.tech/crm/deal/details/5135/" TargetMode="External"/><Relationship Id="rId582" Type="http://schemas.openxmlformats.org/officeDocument/2006/relationships/hyperlink" Target="https://crm.infosis.tech/crm/deal/details/4339/" TargetMode="External"/><Relationship Id="rId1173" Type="http://schemas.openxmlformats.org/officeDocument/2006/relationships/hyperlink" Target="https://crm.infosis.tech/crm/deal/details/5145/" TargetMode="External"/><Relationship Id="rId2020" Type="http://schemas.openxmlformats.org/officeDocument/2006/relationships/hyperlink" Target="https://crm.infosis.tech/crm/deal/details/12186/" TargetMode="External"/><Relationship Id="rId581" Type="http://schemas.openxmlformats.org/officeDocument/2006/relationships/hyperlink" Target="http://clientes.infosis-arg.com:8090/pages/viewpage.action?pageId=27623881" TargetMode="External"/><Relationship Id="rId1174" Type="http://schemas.openxmlformats.org/officeDocument/2006/relationships/hyperlink" Target="https://crm.infosis.tech/crm/deal/details/5151/" TargetMode="External"/><Relationship Id="rId2021" Type="http://schemas.openxmlformats.org/officeDocument/2006/relationships/hyperlink" Target="https://crm.infosis.tech/crm/deal/details/14564/" TargetMode="External"/><Relationship Id="rId580" Type="http://schemas.openxmlformats.org/officeDocument/2006/relationships/hyperlink" Target="https://crm.infosis.tech/crm/deal/details/4349/" TargetMode="External"/><Relationship Id="rId1175" Type="http://schemas.openxmlformats.org/officeDocument/2006/relationships/hyperlink" Target="https://crm.infosis.tech/crm/deal/details/5157/" TargetMode="External"/><Relationship Id="rId2022" Type="http://schemas.openxmlformats.org/officeDocument/2006/relationships/hyperlink" Target="https://crm.infosis.tech/crm/deal/details/14220/" TargetMode="External"/><Relationship Id="rId103" Type="http://schemas.openxmlformats.org/officeDocument/2006/relationships/hyperlink" Target="http://clientes.infosis-arg.com:8090/pages/viewpage.action?pageId=26443840" TargetMode="External"/><Relationship Id="rId587" Type="http://schemas.openxmlformats.org/officeDocument/2006/relationships/hyperlink" Target="http://clientes.infosis-arg.com:8090/pages/viewpage.action?pageId=27623562" TargetMode="External"/><Relationship Id="rId1176" Type="http://schemas.openxmlformats.org/officeDocument/2006/relationships/hyperlink" Target="https://crm.infosis.tech/crm/deal/details/5163/" TargetMode="External"/><Relationship Id="rId2023" Type="http://schemas.openxmlformats.org/officeDocument/2006/relationships/hyperlink" Target="https://crm.infosis.tech/crm/deal/details/14608/" TargetMode="External"/><Relationship Id="rId102" Type="http://schemas.openxmlformats.org/officeDocument/2006/relationships/hyperlink" Target="https://crm.infosis.tech/crm/deal/details/2419/" TargetMode="External"/><Relationship Id="rId586" Type="http://schemas.openxmlformats.org/officeDocument/2006/relationships/hyperlink" Target="https://crm.infosis.tech/crm/deal/details/4131/" TargetMode="External"/><Relationship Id="rId1177" Type="http://schemas.openxmlformats.org/officeDocument/2006/relationships/hyperlink" Target="https://crm.infosis.tech/crm/deal/details/5173/" TargetMode="External"/><Relationship Id="rId2024" Type="http://schemas.openxmlformats.org/officeDocument/2006/relationships/hyperlink" Target="https://crm.infosis.tech/crm/deal/details/14644/" TargetMode="External"/><Relationship Id="rId101" Type="http://schemas.openxmlformats.org/officeDocument/2006/relationships/hyperlink" Target="http://clientes.infosis-arg.com:8090/pages/viewpage.action?pageId=26443804" TargetMode="External"/><Relationship Id="rId585" Type="http://schemas.openxmlformats.org/officeDocument/2006/relationships/hyperlink" Target="http://clientes.infosis-arg.com:8090/display/IMP/CENDRA+ALEJANDRA+BEATRIZ" TargetMode="External"/><Relationship Id="rId1178" Type="http://schemas.openxmlformats.org/officeDocument/2006/relationships/hyperlink" Target="https://crm.infosis.tech/crm/deal/details/5171/" TargetMode="External"/><Relationship Id="rId2025" Type="http://schemas.openxmlformats.org/officeDocument/2006/relationships/hyperlink" Target="https://crm.infosis.tech/crm/deal/details/14668/?any=details%2F14668%2F" TargetMode="External"/><Relationship Id="rId100" Type="http://schemas.openxmlformats.org/officeDocument/2006/relationships/hyperlink" Target="https://crm.infosis.tech/crm/deal/details/2537/" TargetMode="External"/><Relationship Id="rId584" Type="http://schemas.openxmlformats.org/officeDocument/2006/relationships/hyperlink" Target="https://crm.infosis.tech/crm/deal/details/4329/" TargetMode="External"/><Relationship Id="rId1179" Type="http://schemas.openxmlformats.org/officeDocument/2006/relationships/hyperlink" Target="https://crm.infosis.tech/crm/deal/details/5187/" TargetMode="External"/><Relationship Id="rId2026" Type="http://schemas.openxmlformats.org/officeDocument/2006/relationships/hyperlink" Target="https://crm.infosis.tech/crm/deal/details/14632/" TargetMode="External"/><Relationship Id="rId1169" Type="http://schemas.openxmlformats.org/officeDocument/2006/relationships/hyperlink" Target="https://crm.infosis.tech/crm/deal/details/5109/" TargetMode="External"/><Relationship Id="rId2016" Type="http://schemas.openxmlformats.org/officeDocument/2006/relationships/hyperlink" Target="https://crm.infosis.tech/crm/deal/details/14256/" TargetMode="External"/><Relationship Id="rId2017" Type="http://schemas.openxmlformats.org/officeDocument/2006/relationships/hyperlink" Target="https://crm.infosis.tech/crm/deal/details/14094/" TargetMode="External"/><Relationship Id="rId2018" Type="http://schemas.openxmlformats.org/officeDocument/2006/relationships/hyperlink" Target="https://crm.infosis.tech/crm/deal/details/14470/" TargetMode="External"/><Relationship Id="rId2019" Type="http://schemas.openxmlformats.org/officeDocument/2006/relationships/hyperlink" Target="https://crm.infosis.tech/crm/deal/details/14464/" TargetMode="External"/><Relationship Id="rId579" Type="http://schemas.openxmlformats.org/officeDocument/2006/relationships/hyperlink" Target="http://clientes.infosis-arg.com:8090/pages/viewpage.action?pageId=27623878" TargetMode="External"/><Relationship Id="rId578" Type="http://schemas.openxmlformats.org/officeDocument/2006/relationships/hyperlink" Target="https://crm.infosis.tech/crm/deal/details/4345/" TargetMode="External"/><Relationship Id="rId577" Type="http://schemas.openxmlformats.org/officeDocument/2006/relationships/hyperlink" Target="http://clientes.infosis-arg.com:8090/pages/viewpage.action?pageId=27623879" TargetMode="External"/><Relationship Id="rId2490" Type="http://schemas.openxmlformats.org/officeDocument/2006/relationships/hyperlink" Target="https://crm.infosis.tech/crm/deal/details/21968/" TargetMode="External"/><Relationship Id="rId1160" Type="http://schemas.openxmlformats.org/officeDocument/2006/relationships/hyperlink" Target="https://crm.infosis.tech/crm/deal/details/5077/" TargetMode="External"/><Relationship Id="rId2491" Type="http://schemas.openxmlformats.org/officeDocument/2006/relationships/hyperlink" Target="https://crm.infosis.tech/crm/deal/details/22038/" TargetMode="External"/><Relationship Id="rId572" Type="http://schemas.openxmlformats.org/officeDocument/2006/relationships/hyperlink" Target="https://crm.infosis.tech/crm/deal/details/4331/" TargetMode="External"/><Relationship Id="rId1161" Type="http://schemas.openxmlformats.org/officeDocument/2006/relationships/hyperlink" Target="https://crm.infosis.tech/crm/deal/details/5061/?IFRAME_TYPE=SIDE_SLIDER" TargetMode="External"/><Relationship Id="rId2492" Type="http://schemas.openxmlformats.org/officeDocument/2006/relationships/hyperlink" Target="https://crm.infosis.tech/crm/deal/details/22402/" TargetMode="External"/><Relationship Id="rId571" Type="http://schemas.openxmlformats.org/officeDocument/2006/relationships/hyperlink" Target="http://clientes.infosis-arg.com:8090/pages/viewpage.action?pageId=27623865" TargetMode="External"/><Relationship Id="rId1162" Type="http://schemas.openxmlformats.org/officeDocument/2006/relationships/hyperlink" Target="https://crm.infosis.tech/crm/deal/details/5063/" TargetMode="External"/><Relationship Id="rId2493" Type="http://schemas.openxmlformats.org/officeDocument/2006/relationships/hyperlink" Target="https://crm.infosis.tech/crm/deal/details/22418/" TargetMode="External"/><Relationship Id="rId570" Type="http://schemas.openxmlformats.org/officeDocument/2006/relationships/hyperlink" Target="https://crm.infosis.tech/crm/deal/details/4323/" TargetMode="External"/><Relationship Id="rId1163" Type="http://schemas.openxmlformats.org/officeDocument/2006/relationships/hyperlink" Target="https://crm.infosis.tech/crm/deal/details/5065/" TargetMode="External"/><Relationship Id="rId2010" Type="http://schemas.openxmlformats.org/officeDocument/2006/relationships/hyperlink" Target="https://crm.infosis.tech/crm/deal/details/12314/" TargetMode="External"/><Relationship Id="rId2494" Type="http://schemas.openxmlformats.org/officeDocument/2006/relationships/hyperlink" Target="https://crm.infosis.tech/crm/deal/details/22318/" TargetMode="External"/><Relationship Id="rId1164" Type="http://schemas.openxmlformats.org/officeDocument/2006/relationships/hyperlink" Target="https://crm.infosis.tech/crm/deal/details/5067/" TargetMode="External"/><Relationship Id="rId2011" Type="http://schemas.openxmlformats.org/officeDocument/2006/relationships/hyperlink" Target="https://crm.infosis.tech/crm/deal/details/14372/" TargetMode="External"/><Relationship Id="rId2495" Type="http://schemas.openxmlformats.org/officeDocument/2006/relationships/hyperlink" Target="https://crm.infosis.tech/crm/deal/details/22462/" TargetMode="External"/><Relationship Id="rId576" Type="http://schemas.openxmlformats.org/officeDocument/2006/relationships/hyperlink" Target="https://crm.infosis.tech/crm/deal/details/4347/" TargetMode="External"/><Relationship Id="rId1165" Type="http://schemas.openxmlformats.org/officeDocument/2006/relationships/hyperlink" Target="https://crm.infosis.tech/crm/deal/details/4917/" TargetMode="External"/><Relationship Id="rId2012" Type="http://schemas.openxmlformats.org/officeDocument/2006/relationships/hyperlink" Target="https://crm.infosis.tech/crm/deal/details/14022/?any=details%2F14022%2F" TargetMode="External"/><Relationship Id="rId2496" Type="http://schemas.openxmlformats.org/officeDocument/2006/relationships/hyperlink" Target="https://crm.infosis.tech/crm/deal/details/22536/" TargetMode="External"/><Relationship Id="rId575" Type="http://schemas.openxmlformats.org/officeDocument/2006/relationships/hyperlink" Target="http://clientes.infosis-arg.com:8090/pages/viewpage.action?pageId=27623471" TargetMode="External"/><Relationship Id="rId1166" Type="http://schemas.openxmlformats.org/officeDocument/2006/relationships/hyperlink" Target="https://crm.infosis.tech/crm/deal/details/5096/" TargetMode="External"/><Relationship Id="rId2013" Type="http://schemas.openxmlformats.org/officeDocument/2006/relationships/hyperlink" Target="https://crm.infosis.tech/crm/deal/details/14440/" TargetMode="External"/><Relationship Id="rId2497" Type="http://schemas.openxmlformats.org/officeDocument/2006/relationships/hyperlink" Target="https://crm.infosis.tech/crm/deal/details/22500/" TargetMode="External"/><Relationship Id="rId574" Type="http://schemas.openxmlformats.org/officeDocument/2006/relationships/hyperlink" Target="https://crm.infosis.tech/crm/deal/details/4079/" TargetMode="External"/><Relationship Id="rId1167" Type="http://schemas.openxmlformats.org/officeDocument/2006/relationships/hyperlink" Target="https://crm.infosis.tech/crm/deal/details/5100/" TargetMode="External"/><Relationship Id="rId2014" Type="http://schemas.openxmlformats.org/officeDocument/2006/relationships/hyperlink" Target="https://crm.infosis.tech/crm/deal/details/14414/?any=details%2F14414%2F" TargetMode="External"/><Relationship Id="rId2498" Type="http://schemas.openxmlformats.org/officeDocument/2006/relationships/hyperlink" Target="https://crm.infosis.tech/crm/deal/details/22494/" TargetMode="External"/><Relationship Id="rId573" Type="http://schemas.openxmlformats.org/officeDocument/2006/relationships/hyperlink" Target="http://clientes.infosis-arg.com:8090/display/IMP/Bien+Al+Sur+GrowShop" TargetMode="External"/><Relationship Id="rId1168" Type="http://schemas.openxmlformats.org/officeDocument/2006/relationships/hyperlink" Target="https://crm.infosis.tech/crm/deal/details/5107/" TargetMode="External"/><Relationship Id="rId2015" Type="http://schemas.openxmlformats.org/officeDocument/2006/relationships/hyperlink" Target="https://crm.infosis.tech/crm/deal/details/14478/" TargetMode="External"/><Relationship Id="rId2499" Type="http://schemas.openxmlformats.org/officeDocument/2006/relationships/hyperlink" Target="https://crm.infosis.tech/crm/deal/details/22478/" TargetMode="External"/><Relationship Id="rId2049" Type="http://schemas.openxmlformats.org/officeDocument/2006/relationships/hyperlink" Target="https://crm.infosis.tech/crm/deal/details/13532/?any=details%2F13532%2F" TargetMode="External"/><Relationship Id="rId129" Type="http://schemas.openxmlformats.org/officeDocument/2006/relationships/hyperlink" Target="http://clientes.infosis-arg.com:8090/pages/viewpage.action?pageId=26673315" TargetMode="External"/><Relationship Id="rId128" Type="http://schemas.openxmlformats.org/officeDocument/2006/relationships/hyperlink" Target="https://crm.infosis.tech/crm/deal/details/2585/" TargetMode="External"/><Relationship Id="rId127" Type="http://schemas.openxmlformats.org/officeDocument/2006/relationships/hyperlink" Target="http://clientes.infosis-arg.com:8090/display/IMP/ROSAS+JUAN+FERNANDO_OC" TargetMode="External"/><Relationship Id="rId126" Type="http://schemas.openxmlformats.org/officeDocument/2006/relationships/hyperlink" Target="https://crm.infosis.tech/crm/deal/details/2499/" TargetMode="External"/><Relationship Id="rId1190" Type="http://schemas.openxmlformats.org/officeDocument/2006/relationships/hyperlink" Target="https://crm.infosis.tech/crm/deal/details/5273/" TargetMode="External"/><Relationship Id="rId1191" Type="http://schemas.openxmlformats.org/officeDocument/2006/relationships/hyperlink" Target="https://crm.infosis.tech/crm/deal/details/5277/" TargetMode="External"/><Relationship Id="rId1192" Type="http://schemas.openxmlformats.org/officeDocument/2006/relationships/hyperlink" Target="https://crm.infosis.tech/crm/deal/details/5285/" TargetMode="External"/><Relationship Id="rId1193" Type="http://schemas.openxmlformats.org/officeDocument/2006/relationships/hyperlink" Target="https://crm.infosis.tech/crm/deal/details/5309/" TargetMode="External"/><Relationship Id="rId2040" Type="http://schemas.openxmlformats.org/officeDocument/2006/relationships/hyperlink" Target="https://crm.infosis.tech/crm/deal/details/14644/" TargetMode="External"/><Relationship Id="rId121" Type="http://schemas.openxmlformats.org/officeDocument/2006/relationships/hyperlink" Target="http://clientes.infosis-arg.com:8090/pages/viewpage.action?pageId=26673248" TargetMode="External"/><Relationship Id="rId1194" Type="http://schemas.openxmlformats.org/officeDocument/2006/relationships/hyperlink" Target="https://crm.infosis.tech/crm/deal/details/5311/" TargetMode="External"/><Relationship Id="rId2041" Type="http://schemas.openxmlformats.org/officeDocument/2006/relationships/hyperlink" Target="https://crm.infosis.tech/crm/deal/details/14686/?any=details%2F14686%2F" TargetMode="External"/><Relationship Id="rId120" Type="http://schemas.openxmlformats.org/officeDocument/2006/relationships/hyperlink" Target="https://crm.infosis.tech/crm/deal/details/2852/" TargetMode="External"/><Relationship Id="rId1195" Type="http://schemas.openxmlformats.org/officeDocument/2006/relationships/hyperlink" Target="https://crm.infosis.tech/crm/deal/details/5313/" TargetMode="External"/><Relationship Id="rId2042" Type="http://schemas.openxmlformats.org/officeDocument/2006/relationships/hyperlink" Target="https://crm.infosis.tech/crm/deal/details/14752/" TargetMode="External"/><Relationship Id="rId1196" Type="http://schemas.openxmlformats.org/officeDocument/2006/relationships/hyperlink" Target="https://crm.infosis.tech/crm/deal/details/5315/" TargetMode="External"/><Relationship Id="rId2043" Type="http://schemas.openxmlformats.org/officeDocument/2006/relationships/hyperlink" Target="https://crm.infosis.tech/crm/deal/details/14900/" TargetMode="External"/><Relationship Id="rId1197" Type="http://schemas.openxmlformats.org/officeDocument/2006/relationships/hyperlink" Target="https://crm.infosis.tech/crm/deal/details/5325/" TargetMode="External"/><Relationship Id="rId2044" Type="http://schemas.openxmlformats.org/officeDocument/2006/relationships/hyperlink" Target="https://crm.infosis.tech/crm/deal/details/14122/?any=details%2F14122%2F" TargetMode="External"/><Relationship Id="rId125" Type="http://schemas.openxmlformats.org/officeDocument/2006/relationships/hyperlink" Target="http://clientes.infosis-arg.com:8090/pages/viewpage.action?pageId=26673164" TargetMode="External"/><Relationship Id="rId1198" Type="http://schemas.openxmlformats.org/officeDocument/2006/relationships/hyperlink" Target="https://crm.infosis.tech/crm/deal/details/5339/?IFRAME_TYPE=SIDE_SLIDER" TargetMode="External"/><Relationship Id="rId2045" Type="http://schemas.openxmlformats.org/officeDocument/2006/relationships/hyperlink" Target="https://crm.infosis.tech/crm/deal/details/12028/?any=details%2F12028%2F" TargetMode="External"/><Relationship Id="rId124" Type="http://schemas.openxmlformats.org/officeDocument/2006/relationships/hyperlink" Target="https://crm.infosis.tech/crm/deal/details/2735/" TargetMode="External"/><Relationship Id="rId1199" Type="http://schemas.openxmlformats.org/officeDocument/2006/relationships/hyperlink" Target="https://crm.infosis.tech/crm/deal/details/5347/" TargetMode="External"/><Relationship Id="rId2046" Type="http://schemas.openxmlformats.org/officeDocument/2006/relationships/hyperlink" Target="https://crm.infosis.tech/crm/deal/details/12028/?any=details%2F12028%2F" TargetMode="External"/><Relationship Id="rId123" Type="http://schemas.openxmlformats.org/officeDocument/2006/relationships/hyperlink" Target="http://clientes.infosis-arg.com:8090/display/IMP/KEVALRAF+SRL" TargetMode="External"/><Relationship Id="rId2047" Type="http://schemas.openxmlformats.org/officeDocument/2006/relationships/hyperlink" Target="https://crm.infosis.tech/crm/deal/details/14996/" TargetMode="External"/><Relationship Id="rId122" Type="http://schemas.openxmlformats.org/officeDocument/2006/relationships/hyperlink" Target="https://crm.infosis.tech/crm/deal/details/2637/" TargetMode="External"/><Relationship Id="rId2048" Type="http://schemas.openxmlformats.org/officeDocument/2006/relationships/hyperlink" Target="https://crm.infosis.tech/crm/deal/details/15020/?any=details%2F15020%2F" TargetMode="External"/><Relationship Id="rId2038" Type="http://schemas.openxmlformats.org/officeDocument/2006/relationships/hyperlink" Target="https://crm.infosis.tech/crm/deal/details/14760/" TargetMode="External"/><Relationship Id="rId2039" Type="http://schemas.openxmlformats.org/officeDocument/2006/relationships/hyperlink" Target="https://crm.infosis.tech/crm/deal/details/14902/" TargetMode="External"/><Relationship Id="rId118" Type="http://schemas.openxmlformats.org/officeDocument/2006/relationships/hyperlink" Target="https://crm.infosis.tech/crm/deal/details/2358/" TargetMode="External"/><Relationship Id="rId117" Type="http://schemas.openxmlformats.org/officeDocument/2006/relationships/hyperlink" Target="http://clientes.infosis-arg.com:8090/pages/viewpage.action?pageId=26673170" TargetMode="External"/><Relationship Id="rId116" Type="http://schemas.openxmlformats.org/officeDocument/2006/relationships/hyperlink" Target="https://crm.infosis.tech/crm/deal/details/2657/" TargetMode="External"/><Relationship Id="rId115" Type="http://schemas.openxmlformats.org/officeDocument/2006/relationships/hyperlink" Target="http://clientes.infosis-arg.com:8090/pages/viewpage.action?pageId=26673155" TargetMode="External"/><Relationship Id="rId599" Type="http://schemas.openxmlformats.org/officeDocument/2006/relationships/hyperlink" Target="https://crm.infosis.tech/crm/deal/details/4379/" TargetMode="External"/><Relationship Id="rId1180" Type="http://schemas.openxmlformats.org/officeDocument/2006/relationships/hyperlink" Target="https://crm.infosis.tech/crm/deal/details/5191/" TargetMode="External"/><Relationship Id="rId1181" Type="http://schemas.openxmlformats.org/officeDocument/2006/relationships/hyperlink" Target="https://crm.infosis.tech/crm/deal/details/5193/" TargetMode="External"/><Relationship Id="rId119" Type="http://schemas.openxmlformats.org/officeDocument/2006/relationships/hyperlink" Target="http://clientes.infosis-arg.com:8090/pages/viewpage.action?pageId=26673210" TargetMode="External"/><Relationship Id="rId1182" Type="http://schemas.openxmlformats.org/officeDocument/2006/relationships/hyperlink" Target="https://crm.infosis.tech/crm/deal/details/5207/" TargetMode="External"/><Relationship Id="rId110" Type="http://schemas.openxmlformats.org/officeDocument/2006/relationships/hyperlink" Target="https://crm.infosis.tech/crm/deal/details/2669/" TargetMode="External"/><Relationship Id="rId594" Type="http://schemas.openxmlformats.org/officeDocument/2006/relationships/hyperlink" Target="https://crm.infosis.tech/crm/deal/details/4095/" TargetMode="External"/><Relationship Id="rId1183" Type="http://schemas.openxmlformats.org/officeDocument/2006/relationships/hyperlink" Target="https://crm.infosis.tech/crm/deal/details/5199/?any=details%2F5199%2F" TargetMode="External"/><Relationship Id="rId2030" Type="http://schemas.openxmlformats.org/officeDocument/2006/relationships/hyperlink" Target="https://crm.infosis.tech/crm/deal/details/14746/" TargetMode="External"/><Relationship Id="rId593" Type="http://schemas.openxmlformats.org/officeDocument/2006/relationships/hyperlink" Target="http://clientes.infosis-arg.com:8090/pages/viewpage.action?pageId=27623898" TargetMode="External"/><Relationship Id="rId1184" Type="http://schemas.openxmlformats.org/officeDocument/2006/relationships/hyperlink" Target="https://crm.infosis.tech/crm/deal/details/5225/" TargetMode="External"/><Relationship Id="rId2031" Type="http://schemas.openxmlformats.org/officeDocument/2006/relationships/hyperlink" Target="https://crm.infosis.tech/crm/deal/details/14730/" TargetMode="External"/><Relationship Id="rId592" Type="http://schemas.openxmlformats.org/officeDocument/2006/relationships/hyperlink" Target="https://crm.infosis.tech/crm/deal/details/4365/" TargetMode="External"/><Relationship Id="rId1185" Type="http://schemas.openxmlformats.org/officeDocument/2006/relationships/hyperlink" Target="https://crm.infosis.tech/crm/deal/details/5233/" TargetMode="External"/><Relationship Id="rId2032" Type="http://schemas.openxmlformats.org/officeDocument/2006/relationships/hyperlink" Target="https://crm.infosis.tech/crm/deal/details/14820/?any=details%2F14820%2F" TargetMode="External"/><Relationship Id="rId591" Type="http://schemas.openxmlformats.org/officeDocument/2006/relationships/hyperlink" Target="http://clientes.infosis-arg.com:8090/display/IMP/BY+DECOS+-+Haus+-+4361+KCE" TargetMode="External"/><Relationship Id="rId1186" Type="http://schemas.openxmlformats.org/officeDocument/2006/relationships/hyperlink" Target="https://crm.infosis.tech/crm/deal/details/5247/" TargetMode="External"/><Relationship Id="rId2033" Type="http://schemas.openxmlformats.org/officeDocument/2006/relationships/hyperlink" Target="https://crm.infosis.tech/crm/deal/details/14710/" TargetMode="External"/><Relationship Id="rId114" Type="http://schemas.openxmlformats.org/officeDocument/2006/relationships/hyperlink" Target="https://crm.infosis.tech/crm/deal/details/1608/" TargetMode="External"/><Relationship Id="rId598" Type="http://schemas.openxmlformats.org/officeDocument/2006/relationships/hyperlink" Target="http://clientes.infosis-arg.com:8090/display/IMP/BY+DECOS+-+Haus+-+4375+KEC" TargetMode="External"/><Relationship Id="rId1187" Type="http://schemas.openxmlformats.org/officeDocument/2006/relationships/hyperlink" Target="https://crm.infosis.tech/crm/deal/details/5255/" TargetMode="External"/><Relationship Id="rId2034" Type="http://schemas.openxmlformats.org/officeDocument/2006/relationships/hyperlink" Target="https://crm.infosis.tech/crm/deal/details/14826/" TargetMode="External"/><Relationship Id="rId113" Type="http://schemas.openxmlformats.org/officeDocument/2006/relationships/hyperlink" Target="http://clientes.infosis-arg.com:8090/pages/viewpage.action?pageId=26673257" TargetMode="External"/><Relationship Id="rId597" Type="http://schemas.openxmlformats.org/officeDocument/2006/relationships/hyperlink" Target="https://crm.infosis.tech/crm/deal/details/4375/" TargetMode="External"/><Relationship Id="rId1188" Type="http://schemas.openxmlformats.org/officeDocument/2006/relationships/hyperlink" Target="https://crm.infosis.tech/crm/deal/details/5257/" TargetMode="External"/><Relationship Id="rId2035" Type="http://schemas.openxmlformats.org/officeDocument/2006/relationships/hyperlink" Target="https://crm.infosis.tech/crm/deal/details/13834/?any=details%2F13834%2F" TargetMode="External"/><Relationship Id="rId112" Type="http://schemas.openxmlformats.org/officeDocument/2006/relationships/hyperlink" Target="https://crm.infosis.tech/crm/deal/details/2889/" TargetMode="External"/><Relationship Id="rId596" Type="http://schemas.openxmlformats.org/officeDocument/2006/relationships/hyperlink" Target="http://clientes.infosis-arg.com:8090/display/IMP/Up+Grade+FERRAMENTA+HNOS+SRL" TargetMode="External"/><Relationship Id="rId1189" Type="http://schemas.openxmlformats.org/officeDocument/2006/relationships/hyperlink" Target="https://crm.infosis.tech/crm/deal/details/5251/" TargetMode="External"/><Relationship Id="rId2036" Type="http://schemas.openxmlformats.org/officeDocument/2006/relationships/hyperlink" Target="https://crm.infosis.tech/crm/deal/details/14430/" TargetMode="External"/><Relationship Id="rId111" Type="http://schemas.openxmlformats.org/officeDocument/2006/relationships/hyperlink" Target="http://clientes.infosis-arg.com:8090/pages/viewpage.action?pageId=26673228" TargetMode="External"/><Relationship Id="rId595" Type="http://schemas.openxmlformats.org/officeDocument/2006/relationships/hyperlink" Target="https://crm.infosis.tech/crm/deal/details/4095/" TargetMode="External"/><Relationship Id="rId2037" Type="http://schemas.openxmlformats.org/officeDocument/2006/relationships/hyperlink" Target="https://crm.infosis.tech/crm/deal/details/14886/" TargetMode="External"/><Relationship Id="rId1136" Type="http://schemas.openxmlformats.org/officeDocument/2006/relationships/hyperlink" Target="http://clientes.infosis-arg.com:8090/display/IMP/Bertoia+Claudio+-+Lactiques+-+Ampl+-+4912" TargetMode="External"/><Relationship Id="rId2467" Type="http://schemas.openxmlformats.org/officeDocument/2006/relationships/hyperlink" Target="https://crm.infosis.tech/crm/deal/details/21992/" TargetMode="External"/><Relationship Id="rId1137" Type="http://schemas.openxmlformats.org/officeDocument/2006/relationships/hyperlink" Target="https://crm.infosis.tech/crm/deal/details/4923/" TargetMode="External"/><Relationship Id="rId2468" Type="http://schemas.openxmlformats.org/officeDocument/2006/relationships/hyperlink" Target="https://crm.infosis.tech/crm/deal/details/20398/" TargetMode="External"/><Relationship Id="rId1138" Type="http://schemas.openxmlformats.org/officeDocument/2006/relationships/hyperlink" Target="http://clientes.infosis-arg.com:8090/pages/viewpage.action?pageId=28050278" TargetMode="External"/><Relationship Id="rId2469" Type="http://schemas.openxmlformats.org/officeDocument/2006/relationships/hyperlink" Target="https://crm.infosis.tech/crm/deal/details/21838/?any=details%2F21838%2F" TargetMode="External"/><Relationship Id="rId1139" Type="http://schemas.openxmlformats.org/officeDocument/2006/relationships/hyperlink" Target="https://crm.infosis.tech/crm/deal/details/4925/?IFRAME_TYPE=SIDE_SLIDER" TargetMode="External"/><Relationship Id="rId547" Type="http://schemas.openxmlformats.org/officeDocument/2006/relationships/hyperlink" Target="http://clientes.infosis-arg.com:8090/display/IMP/ARGENTINA+PAINT+CAR+-+4315" TargetMode="External"/><Relationship Id="rId546" Type="http://schemas.openxmlformats.org/officeDocument/2006/relationships/hyperlink" Target="https://crm.infosis.tech/crm/deal/details/4315/" TargetMode="External"/><Relationship Id="rId545" Type="http://schemas.openxmlformats.org/officeDocument/2006/relationships/hyperlink" Target="http://clientes.infosis-arg.com:8090/display/IMP/FERRAMENTA+HNOS+SRL" TargetMode="External"/><Relationship Id="rId544" Type="http://schemas.openxmlformats.org/officeDocument/2006/relationships/hyperlink" Target="https://crm.infosis.tech/crm/deal/details/4095/" TargetMode="External"/><Relationship Id="rId549" Type="http://schemas.openxmlformats.org/officeDocument/2006/relationships/hyperlink" Target="http://clientes.infosis-arg.com:8090/display/IMP/PISCINAS+SAS_OC" TargetMode="External"/><Relationship Id="rId548" Type="http://schemas.openxmlformats.org/officeDocument/2006/relationships/hyperlink" Target="https://crm.infosis.tech/crm/deal/details/4327/" TargetMode="External"/><Relationship Id="rId2460" Type="http://schemas.openxmlformats.org/officeDocument/2006/relationships/hyperlink" Target="https://crm.infosis.tech/crm/deal/details/21916/?any=details%2F21916%2F" TargetMode="External"/><Relationship Id="rId1130" Type="http://schemas.openxmlformats.org/officeDocument/2006/relationships/hyperlink" Target="http://clientes.infosis-arg.com:8090/pages/viewpage.action?pageId=28050264" TargetMode="External"/><Relationship Id="rId2461" Type="http://schemas.openxmlformats.org/officeDocument/2006/relationships/hyperlink" Target="https://crm.infosis.tech/crm/deal/details/21666/" TargetMode="External"/><Relationship Id="rId1131" Type="http://schemas.openxmlformats.org/officeDocument/2006/relationships/hyperlink" Target="https://crm.infosis.tech/crm/deal/details/4913/" TargetMode="External"/><Relationship Id="rId2462" Type="http://schemas.openxmlformats.org/officeDocument/2006/relationships/hyperlink" Target="https://crm.infosis.tech/crm/deal/details/21856/" TargetMode="External"/><Relationship Id="rId543" Type="http://schemas.openxmlformats.org/officeDocument/2006/relationships/hyperlink" Target="http://clientes.infosis-arg.com:8090/display/IMP/Elephant+Design+SAS" TargetMode="External"/><Relationship Id="rId1132" Type="http://schemas.openxmlformats.org/officeDocument/2006/relationships/hyperlink" Target="http://clientes.infosis-arg.com:8090/pages/viewpage.action?pageId=28050267" TargetMode="External"/><Relationship Id="rId2463" Type="http://schemas.openxmlformats.org/officeDocument/2006/relationships/hyperlink" Target="https://crm.infosis.tech/crm/deal/details/21946/" TargetMode="External"/><Relationship Id="rId542" Type="http://schemas.openxmlformats.org/officeDocument/2006/relationships/hyperlink" Target="https://crm.infosis.tech/crm/deal/details/3767/" TargetMode="External"/><Relationship Id="rId1133" Type="http://schemas.openxmlformats.org/officeDocument/2006/relationships/hyperlink" Target="https://crm.infosis.tech/crm/deal/details/4915/" TargetMode="External"/><Relationship Id="rId2464" Type="http://schemas.openxmlformats.org/officeDocument/2006/relationships/hyperlink" Target="https://crm.infosis.tech/crm/deal/details/21932/" TargetMode="External"/><Relationship Id="rId541" Type="http://schemas.openxmlformats.org/officeDocument/2006/relationships/hyperlink" Target="http://clientes.infosis-arg.com:8090/pages/viewpage.action?title=RIOS+SEBASTIAN+CESAR&amp;spaceKey=IMP" TargetMode="External"/><Relationship Id="rId1134" Type="http://schemas.openxmlformats.org/officeDocument/2006/relationships/hyperlink" Target="http://clientes.infosis-arg.com:8090/pages/viewpage.action?pageId=28050271" TargetMode="External"/><Relationship Id="rId2465" Type="http://schemas.openxmlformats.org/officeDocument/2006/relationships/hyperlink" Target="https://crm.infosis.tech/crm/deal/details/21612/" TargetMode="External"/><Relationship Id="rId540" Type="http://schemas.openxmlformats.org/officeDocument/2006/relationships/hyperlink" Target="https://crm.infosis.tech/crm/deal/details/4075/" TargetMode="External"/><Relationship Id="rId1135" Type="http://schemas.openxmlformats.org/officeDocument/2006/relationships/hyperlink" Target="http://clientes.infosis-arg.com:8090/display/IMP/Bertoia+Claudio+-+Lactiques+-+Ampl+-+4919" TargetMode="External"/><Relationship Id="rId2466" Type="http://schemas.openxmlformats.org/officeDocument/2006/relationships/hyperlink" Target="https://crm.infosis.tech/crm/deal/details/21612/" TargetMode="External"/><Relationship Id="rId1125" Type="http://schemas.openxmlformats.org/officeDocument/2006/relationships/hyperlink" Target="https://crm.infosis.tech/crm/deal/details/4891/" TargetMode="External"/><Relationship Id="rId2456" Type="http://schemas.openxmlformats.org/officeDocument/2006/relationships/hyperlink" Target="https://crm.infosis.tech/crm/deal/details/21900/" TargetMode="External"/><Relationship Id="rId1126" Type="http://schemas.openxmlformats.org/officeDocument/2006/relationships/hyperlink" Target="http://clientes.infosis-arg.com:8090/pages/viewpage.action?pageId=28050260" TargetMode="External"/><Relationship Id="rId2457" Type="http://schemas.openxmlformats.org/officeDocument/2006/relationships/hyperlink" Target="https://crm.infosis.tech/crm/deal/details/21900/" TargetMode="External"/><Relationship Id="rId1127" Type="http://schemas.openxmlformats.org/officeDocument/2006/relationships/hyperlink" Target="https://crm.infosis.tech/crm/deal/details/4893/" TargetMode="External"/><Relationship Id="rId2458" Type="http://schemas.openxmlformats.org/officeDocument/2006/relationships/hyperlink" Target="https://crm.infosis.tech/crm/deal/details/21848/" TargetMode="External"/><Relationship Id="rId1128" Type="http://schemas.openxmlformats.org/officeDocument/2006/relationships/hyperlink" Target="http://clientes.infosis-arg.com:8090/pages/viewpage.action?pageId=28050262" TargetMode="External"/><Relationship Id="rId2459" Type="http://schemas.openxmlformats.org/officeDocument/2006/relationships/hyperlink" Target="https://crm.infosis.tech/crm/deal/details/21670/?any=details%2F21670%2F" TargetMode="External"/><Relationship Id="rId1129" Type="http://schemas.openxmlformats.org/officeDocument/2006/relationships/hyperlink" Target="https://crm.infosis.tech/crm/deal/details/4895/" TargetMode="External"/><Relationship Id="rId536" Type="http://schemas.openxmlformats.org/officeDocument/2006/relationships/hyperlink" Target="https://crm.infosis.tech/crm/deal/details/4005/" TargetMode="External"/><Relationship Id="rId535" Type="http://schemas.openxmlformats.org/officeDocument/2006/relationships/hyperlink" Target="http://clientes.infosis-arg.com:8090/pages/viewpage.action?pageId=27623818" TargetMode="External"/><Relationship Id="rId534" Type="http://schemas.openxmlformats.org/officeDocument/2006/relationships/hyperlink" Target="https://crm.infosis.tech/crm/deal/details/4303/" TargetMode="External"/><Relationship Id="rId533" Type="http://schemas.openxmlformats.org/officeDocument/2006/relationships/hyperlink" Target="http://clientes.infosis-arg.com:8090/display/IMP/MOVIL+NOA+SRL_OC" TargetMode="External"/><Relationship Id="rId539" Type="http://schemas.openxmlformats.org/officeDocument/2006/relationships/hyperlink" Target="http://clientes.infosis-arg.com:8090/display/IMP/TOP+CLASS+PASTRY+SRL+-+4309" TargetMode="External"/><Relationship Id="rId538" Type="http://schemas.openxmlformats.org/officeDocument/2006/relationships/hyperlink" Target="https://crm.infosis.tech/crm/deal/details/4309/" TargetMode="External"/><Relationship Id="rId537" Type="http://schemas.openxmlformats.org/officeDocument/2006/relationships/hyperlink" Target="http://clientes.infosis-arg.com:8090/pages/viewpage.action?pageId=27427030" TargetMode="External"/><Relationship Id="rId2450" Type="http://schemas.openxmlformats.org/officeDocument/2006/relationships/hyperlink" Target="https://crm.infosis.tech/crm/deal/details/21846/" TargetMode="External"/><Relationship Id="rId1120" Type="http://schemas.openxmlformats.org/officeDocument/2006/relationships/hyperlink" Target="http://clientes.infosis-arg.com:8090/pages/viewpage.action?pageId=28050252" TargetMode="External"/><Relationship Id="rId2451" Type="http://schemas.openxmlformats.org/officeDocument/2006/relationships/hyperlink" Target="https://crm.infosis.tech/crm/deal/details/21846/" TargetMode="External"/><Relationship Id="rId532" Type="http://schemas.openxmlformats.org/officeDocument/2006/relationships/hyperlink" Target="https://crm.infosis.tech/crm/deal/details/4299/" TargetMode="External"/><Relationship Id="rId1121" Type="http://schemas.openxmlformats.org/officeDocument/2006/relationships/hyperlink" Target="http://clientes.infosis-arg.com:8090/pages/viewpage.action?pageId=28050256" TargetMode="External"/><Relationship Id="rId2452" Type="http://schemas.openxmlformats.org/officeDocument/2006/relationships/hyperlink" Target="https://crm.infosis.tech/crm/deal/details/21846/" TargetMode="External"/><Relationship Id="rId531" Type="http://schemas.openxmlformats.org/officeDocument/2006/relationships/hyperlink" Target="http://clientes.infosis-arg.com:8090/display/IMP/Konecta+-+AGUSTIN+ROST+-+Ampl+-+4295" TargetMode="External"/><Relationship Id="rId1122" Type="http://schemas.openxmlformats.org/officeDocument/2006/relationships/hyperlink" Target="https://crm.infosis.com.ar/crm/deal/details/4889/" TargetMode="External"/><Relationship Id="rId2453" Type="http://schemas.openxmlformats.org/officeDocument/2006/relationships/hyperlink" Target="https://crm.infosis.tech/crm/deal/details/21384/" TargetMode="External"/><Relationship Id="rId530" Type="http://schemas.openxmlformats.org/officeDocument/2006/relationships/hyperlink" Target="https://crm.infosis.tech/crm/deal/details/4295/" TargetMode="External"/><Relationship Id="rId1123" Type="http://schemas.openxmlformats.org/officeDocument/2006/relationships/hyperlink" Target="http://clientes.infosis-arg.com:8090/pages/viewpage.action?pageId=28049667" TargetMode="External"/><Relationship Id="rId2454" Type="http://schemas.openxmlformats.org/officeDocument/2006/relationships/hyperlink" Target="https://crm.infosis.tech/crm/deal/details/21678/" TargetMode="External"/><Relationship Id="rId1124" Type="http://schemas.openxmlformats.org/officeDocument/2006/relationships/hyperlink" Target="https://crm.infosis.com.ar/crm/deal/details/4593/" TargetMode="External"/><Relationship Id="rId2455" Type="http://schemas.openxmlformats.org/officeDocument/2006/relationships/hyperlink" Target="https://crm.infosis.tech/crm/deal/details/21888/?any=details%2F21888%2F" TargetMode="External"/><Relationship Id="rId1158" Type="http://schemas.openxmlformats.org/officeDocument/2006/relationships/hyperlink" Target="https://crm.infosis.tech/crm/deal/details/4993/" TargetMode="External"/><Relationship Id="rId2005" Type="http://schemas.openxmlformats.org/officeDocument/2006/relationships/hyperlink" Target="https://crm.infosis.tech/crm/deal/details/14296/" TargetMode="External"/><Relationship Id="rId2489" Type="http://schemas.openxmlformats.org/officeDocument/2006/relationships/hyperlink" Target="https://crm.infosis.tech/crm/deal/details/21968/" TargetMode="External"/><Relationship Id="rId1159" Type="http://schemas.openxmlformats.org/officeDocument/2006/relationships/hyperlink" Target="https://crm.infosis.tech/crm/deal/details/5047/" TargetMode="External"/><Relationship Id="rId2006" Type="http://schemas.openxmlformats.org/officeDocument/2006/relationships/hyperlink" Target="https://crm.infosis.tech/crm/deal/details/12506/" TargetMode="External"/><Relationship Id="rId2007" Type="http://schemas.openxmlformats.org/officeDocument/2006/relationships/hyperlink" Target="https://crm.infosis.tech/crm/deal/details/14294/" TargetMode="External"/><Relationship Id="rId2008" Type="http://schemas.openxmlformats.org/officeDocument/2006/relationships/hyperlink" Target="https://crm.infosis.tech/crm/deal/details/14176/" TargetMode="External"/><Relationship Id="rId2009" Type="http://schemas.openxmlformats.org/officeDocument/2006/relationships/hyperlink" Target="https://crm.infosis.tech/crm/deal/details/14412/" TargetMode="External"/><Relationship Id="rId569" Type="http://schemas.openxmlformats.org/officeDocument/2006/relationships/hyperlink" Target="http://clientes.infosis-arg.com:8090/display/IMP/Repuestos+Ya+-+4313" TargetMode="External"/><Relationship Id="rId568" Type="http://schemas.openxmlformats.org/officeDocument/2006/relationships/hyperlink" Target="https://crm.infosis.tech/crm/deal/details/4313/" TargetMode="External"/><Relationship Id="rId567" Type="http://schemas.openxmlformats.org/officeDocument/2006/relationships/hyperlink" Target="http://clientes.infosis-arg.com:8090/pages/viewpage.action?pageId=27426877" TargetMode="External"/><Relationship Id="rId566" Type="http://schemas.openxmlformats.org/officeDocument/2006/relationships/hyperlink" Target="https://crm.infosis.tech/crm/deal/details/4157/" TargetMode="External"/><Relationship Id="rId2480" Type="http://schemas.openxmlformats.org/officeDocument/2006/relationships/hyperlink" Target="https://crm.infosis.tech/crm/deal/details/22162/" TargetMode="External"/><Relationship Id="rId561" Type="http://schemas.openxmlformats.org/officeDocument/2006/relationships/hyperlink" Target="http://clientes.infosis-arg.com:8090/pages/viewpage.action?title=BITOMA+SRL&amp;spaceKey=IMP" TargetMode="External"/><Relationship Id="rId1150" Type="http://schemas.openxmlformats.org/officeDocument/2006/relationships/hyperlink" Target="http://clientes.infosis-arg.com:8090/pages/viewpage.action?pageId=28050292" TargetMode="External"/><Relationship Id="rId2481" Type="http://schemas.openxmlformats.org/officeDocument/2006/relationships/hyperlink" Target="https://crm.infosis.tech/crm/deal/details/22008/" TargetMode="External"/><Relationship Id="rId560" Type="http://schemas.openxmlformats.org/officeDocument/2006/relationships/hyperlink" Target="https://crm.infosis.tech/crm/deal/details/4077/" TargetMode="External"/><Relationship Id="rId1151" Type="http://schemas.openxmlformats.org/officeDocument/2006/relationships/hyperlink" Target="https://crm.infosis.tech/crm/deal/details/4575/" TargetMode="External"/><Relationship Id="rId2482" Type="http://schemas.openxmlformats.org/officeDocument/2006/relationships/hyperlink" Target="https://crm.infosis.tech/crm/deal/details/21644/?any=details%2F21644%2F" TargetMode="External"/><Relationship Id="rId1152" Type="http://schemas.openxmlformats.org/officeDocument/2006/relationships/hyperlink" Target="http://clientes.infosis-arg.com:8090/pages/viewpage.action?pageId=28049736" TargetMode="External"/><Relationship Id="rId2483" Type="http://schemas.openxmlformats.org/officeDocument/2006/relationships/hyperlink" Target="https://crm.infosis.tech/crm/deal/details/22252/" TargetMode="External"/><Relationship Id="rId1153" Type="http://schemas.openxmlformats.org/officeDocument/2006/relationships/hyperlink" Target="https://crm.infosis.tech/crm/deal/details/5217/" TargetMode="External"/><Relationship Id="rId2000" Type="http://schemas.openxmlformats.org/officeDocument/2006/relationships/hyperlink" Target="https://crm.infosis.tech/crm/deal/details/13044/" TargetMode="External"/><Relationship Id="rId2484" Type="http://schemas.openxmlformats.org/officeDocument/2006/relationships/hyperlink" Target="https://crm.infosis.tech/crm/deal/details/22086/" TargetMode="External"/><Relationship Id="rId565" Type="http://schemas.openxmlformats.org/officeDocument/2006/relationships/hyperlink" Target="http://clientes.infosis-arg.com:8090/pages/viewpage.action?pageId=27623485" TargetMode="External"/><Relationship Id="rId1154" Type="http://schemas.openxmlformats.org/officeDocument/2006/relationships/hyperlink" Target="https://crm.infosis.tech/crm/deal/details/4981/" TargetMode="External"/><Relationship Id="rId2001" Type="http://schemas.openxmlformats.org/officeDocument/2006/relationships/hyperlink" Target="https://crm.infosis.tech/crm/deal/details/13658/?any=details%2F13658%2F" TargetMode="External"/><Relationship Id="rId2485" Type="http://schemas.openxmlformats.org/officeDocument/2006/relationships/hyperlink" Target="https://crm.infosis.tech/crm/deal/details/22064/" TargetMode="External"/><Relationship Id="rId564" Type="http://schemas.openxmlformats.org/officeDocument/2006/relationships/hyperlink" Target="https://crm.infosis.tech/crm/deal/details/4085/" TargetMode="External"/><Relationship Id="rId1155" Type="http://schemas.openxmlformats.org/officeDocument/2006/relationships/hyperlink" Target="https://crm.infosis.tech/crm/deal/details/5013/" TargetMode="External"/><Relationship Id="rId2002" Type="http://schemas.openxmlformats.org/officeDocument/2006/relationships/hyperlink" Target="https://crm.infosis.tech/crm/deal/details/14188/" TargetMode="External"/><Relationship Id="rId2486" Type="http://schemas.openxmlformats.org/officeDocument/2006/relationships/hyperlink" Target="https://crm.infosis.tech/crm/deal/details/22088/?any=details%2F22088%2F" TargetMode="External"/><Relationship Id="rId563" Type="http://schemas.openxmlformats.org/officeDocument/2006/relationships/hyperlink" Target="http://clientes.infosis-arg.com:8090/pages/viewpage.action?pageId=27623497" TargetMode="External"/><Relationship Id="rId1156" Type="http://schemas.openxmlformats.org/officeDocument/2006/relationships/hyperlink" Target="https://crm.infosis.tech/crm/deal/details/4979/" TargetMode="External"/><Relationship Id="rId2003" Type="http://schemas.openxmlformats.org/officeDocument/2006/relationships/hyperlink" Target="https://crm.infosis.tech/crm/deal/details/14226/" TargetMode="External"/><Relationship Id="rId2487" Type="http://schemas.openxmlformats.org/officeDocument/2006/relationships/hyperlink" Target="https://crm.infosis.tech/crm/deal/details/22164/?any=details%2F22164%2F" TargetMode="External"/><Relationship Id="rId562" Type="http://schemas.openxmlformats.org/officeDocument/2006/relationships/hyperlink" Target="https://crm.infosis.tech/crm/deal/details/4099/" TargetMode="External"/><Relationship Id="rId1157" Type="http://schemas.openxmlformats.org/officeDocument/2006/relationships/hyperlink" Target="https://crm.infosis.tech/crm/deal/details/5021/" TargetMode="External"/><Relationship Id="rId2004" Type="http://schemas.openxmlformats.org/officeDocument/2006/relationships/hyperlink" Target="https://crm.infosis.tech/crm/deal/details/14266/" TargetMode="External"/><Relationship Id="rId2488" Type="http://schemas.openxmlformats.org/officeDocument/2006/relationships/hyperlink" Target="https://crm.infosis.tech/crm/deal/details/22166/" TargetMode="External"/><Relationship Id="rId1147" Type="http://schemas.openxmlformats.org/officeDocument/2006/relationships/hyperlink" Target="https://crm.infosis.tech/crm/deal/details/4933/" TargetMode="External"/><Relationship Id="rId2478" Type="http://schemas.openxmlformats.org/officeDocument/2006/relationships/hyperlink" Target="https://crm.infosis.tech/crm/deal/details/22026/?any=details%2F22026%2F" TargetMode="External"/><Relationship Id="rId1148" Type="http://schemas.openxmlformats.org/officeDocument/2006/relationships/hyperlink" Target="http://clientes.infosis-arg.com:8090/display/IMP/FLEXAS+HUGO+HORACIO" TargetMode="External"/><Relationship Id="rId2479" Type="http://schemas.openxmlformats.org/officeDocument/2006/relationships/hyperlink" Target="https://crm.infosis.tech/crm/deal/details/22172/" TargetMode="External"/><Relationship Id="rId1149" Type="http://schemas.openxmlformats.org/officeDocument/2006/relationships/hyperlink" Target="https://crm.infosis.tech/crm/deal/details/4935/" TargetMode="External"/><Relationship Id="rId558" Type="http://schemas.openxmlformats.org/officeDocument/2006/relationships/hyperlink" Target="https://crm.infosis.tech/crm/deal/details/4333/" TargetMode="External"/><Relationship Id="rId557" Type="http://schemas.openxmlformats.org/officeDocument/2006/relationships/hyperlink" Target="http://clientes.infosis-arg.com:8090/pages/viewpage.action?pageId=27426941" TargetMode="External"/><Relationship Id="rId556" Type="http://schemas.openxmlformats.org/officeDocument/2006/relationships/hyperlink" Target="https://crm.infosis.tech/crm/deal/details/3423/" TargetMode="External"/><Relationship Id="rId555" Type="http://schemas.openxmlformats.org/officeDocument/2006/relationships/hyperlink" Target="http://clientes.infosis-arg.com:8090/pages/viewpage.action?pageId=27623852" TargetMode="External"/><Relationship Id="rId559" Type="http://schemas.openxmlformats.org/officeDocument/2006/relationships/hyperlink" Target="http://clientes.infosis-arg.com:8090/display/IMP/Diego+German+Sauco_OC" TargetMode="External"/><Relationship Id="rId550" Type="http://schemas.openxmlformats.org/officeDocument/2006/relationships/hyperlink" Target="https://crm.infosis.tech/crm/deal/details/4317/" TargetMode="External"/><Relationship Id="rId2470" Type="http://schemas.openxmlformats.org/officeDocument/2006/relationships/hyperlink" Target="https://crm.infosis.tech/crm/deal/details/22034/" TargetMode="External"/><Relationship Id="rId1140" Type="http://schemas.openxmlformats.org/officeDocument/2006/relationships/hyperlink" Target="http://clientes.infosis-arg.com:8090/pages/viewpage.action?pageId=28050281" TargetMode="External"/><Relationship Id="rId2471" Type="http://schemas.openxmlformats.org/officeDocument/2006/relationships/hyperlink" Target="https://crm.infosis.tech/crm/deal/details/22050/" TargetMode="External"/><Relationship Id="rId1141" Type="http://schemas.openxmlformats.org/officeDocument/2006/relationships/hyperlink" Target="https://crm.infosis.tech/crm/deal/details/4927/" TargetMode="External"/><Relationship Id="rId2472" Type="http://schemas.openxmlformats.org/officeDocument/2006/relationships/hyperlink" Target="https://crm.infosis.tech/crm/deal/details/22014/" TargetMode="External"/><Relationship Id="rId1142" Type="http://schemas.openxmlformats.org/officeDocument/2006/relationships/hyperlink" Target="http://clientes.infosis-arg.com:8090/pages/viewpage.action?pageId=28050285" TargetMode="External"/><Relationship Id="rId2473" Type="http://schemas.openxmlformats.org/officeDocument/2006/relationships/hyperlink" Target="https://crm.infosis.tech/crm/deal/details/22084/" TargetMode="External"/><Relationship Id="rId554" Type="http://schemas.openxmlformats.org/officeDocument/2006/relationships/hyperlink" Target="https://crm.infosis.tech/crm/deal/details/4325/" TargetMode="External"/><Relationship Id="rId1143" Type="http://schemas.openxmlformats.org/officeDocument/2006/relationships/hyperlink" Target="https://crm.infosis.tech/crm/deal/details/4929/" TargetMode="External"/><Relationship Id="rId2474" Type="http://schemas.openxmlformats.org/officeDocument/2006/relationships/hyperlink" Target="https://crm.infosis.tech/crm/deal/details/22084/" TargetMode="External"/><Relationship Id="rId553" Type="http://schemas.openxmlformats.org/officeDocument/2006/relationships/hyperlink" Target="http://clientes.infosis-arg.com:8090/pages/viewpage.action?pageId=27623850" TargetMode="External"/><Relationship Id="rId1144" Type="http://schemas.openxmlformats.org/officeDocument/2006/relationships/hyperlink" Target="http://clientes.infosis-arg.com:8090/pages/viewpage.action?pageId=28050288" TargetMode="External"/><Relationship Id="rId2475" Type="http://schemas.openxmlformats.org/officeDocument/2006/relationships/hyperlink" Target="https://crm.infosis.tech/crm/deal/details/22032/" TargetMode="External"/><Relationship Id="rId552" Type="http://schemas.openxmlformats.org/officeDocument/2006/relationships/hyperlink" Target="https://crm.infosis.tech/crm/deal/details/4319/" TargetMode="External"/><Relationship Id="rId1145" Type="http://schemas.openxmlformats.org/officeDocument/2006/relationships/hyperlink" Target="https://crm.infosis.tech/crm/deal/details/4823/" TargetMode="External"/><Relationship Id="rId2476" Type="http://schemas.openxmlformats.org/officeDocument/2006/relationships/hyperlink" Target="https://crm.infosis.tech/crm/deal/details/22080/?any=details%2F22080%2F" TargetMode="External"/><Relationship Id="rId551" Type="http://schemas.openxmlformats.org/officeDocument/2006/relationships/hyperlink" Target="http://clientes.infosis-arg.com:8090/pages/viewpage.action?pageId=27623836" TargetMode="External"/><Relationship Id="rId1146" Type="http://schemas.openxmlformats.org/officeDocument/2006/relationships/hyperlink" Target="http://clientes.infosis-arg.com:8090/display/IMP/GO+UNIVERSITARIO+ALEM" TargetMode="External"/><Relationship Id="rId2477" Type="http://schemas.openxmlformats.org/officeDocument/2006/relationships/hyperlink" Target="https://crm.infosis.tech/crm/deal/details/22174/" TargetMode="External"/><Relationship Id="rId2090" Type="http://schemas.openxmlformats.org/officeDocument/2006/relationships/hyperlink" Target="https://crm.infosis.tech/crm/deal/details/15576/" TargetMode="External"/><Relationship Id="rId2091" Type="http://schemas.openxmlformats.org/officeDocument/2006/relationships/hyperlink" Target="https://crm.infosis.tech/crm/deal/details/15590/" TargetMode="External"/><Relationship Id="rId2092" Type="http://schemas.openxmlformats.org/officeDocument/2006/relationships/hyperlink" Target="https://crm.infosis.tech/crm/deal/details/15606/" TargetMode="External"/><Relationship Id="rId2093" Type="http://schemas.openxmlformats.org/officeDocument/2006/relationships/hyperlink" Target="https://crm.infosis.tech/crm/deal/details/15568/" TargetMode="External"/><Relationship Id="rId2094" Type="http://schemas.openxmlformats.org/officeDocument/2006/relationships/hyperlink" Target="https://crm.infosis.tech/crm/deal/details/15568/" TargetMode="External"/><Relationship Id="rId2095" Type="http://schemas.openxmlformats.org/officeDocument/2006/relationships/hyperlink" Target="https://crm.infosis.tech/crm/deal/details/15678/" TargetMode="External"/><Relationship Id="rId2096" Type="http://schemas.openxmlformats.org/officeDocument/2006/relationships/hyperlink" Target="https://crm.infosis.tech/crm/deal/details/15578/" TargetMode="External"/><Relationship Id="rId2097" Type="http://schemas.openxmlformats.org/officeDocument/2006/relationships/hyperlink" Target="https://crm.infosis.tech/crm/deal/details/15672/" TargetMode="External"/><Relationship Id="rId2098" Type="http://schemas.openxmlformats.org/officeDocument/2006/relationships/hyperlink" Target="https://crm.infosis.tech/crm/deal/details/15328/" TargetMode="External"/><Relationship Id="rId2099" Type="http://schemas.openxmlformats.org/officeDocument/2006/relationships/hyperlink" Target="https://crm.infosis.tech/crm/deal/details/15626/" TargetMode="External"/><Relationship Id="rId2060" Type="http://schemas.openxmlformats.org/officeDocument/2006/relationships/hyperlink" Target="https://crm.infosis.tech/crm/deal/details/15130/?any=details%2F15130%2F" TargetMode="External"/><Relationship Id="rId2061" Type="http://schemas.openxmlformats.org/officeDocument/2006/relationships/hyperlink" Target="https://crm.infosis.tech/crm/deal/details/14874/?any=details%2F14874%2F" TargetMode="External"/><Relationship Id="rId2062" Type="http://schemas.openxmlformats.org/officeDocument/2006/relationships/hyperlink" Target="https://crm.infosis.tech/crm/deal/details/15192/" TargetMode="External"/><Relationship Id="rId2063" Type="http://schemas.openxmlformats.org/officeDocument/2006/relationships/hyperlink" Target="https://crm.infosis.tech/crm/deal/details/14476/" TargetMode="External"/><Relationship Id="rId2064" Type="http://schemas.openxmlformats.org/officeDocument/2006/relationships/hyperlink" Target="https://crm.infosis.tech/crm/deal/details/15160/" TargetMode="External"/><Relationship Id="rId2065" Type="http://schemas.openxmlformats.org/officeDocument/2006/relationships/hyperlink" Target="https://crm.infosis.tech/crm/deal/details/15160/" TargetMode="External"/><Relationship Id="rId2066" Type="http://schemas.openxmlformats.org/officeDocument/2006/relationships/hyperlink" Target="https://crm.infosis.tech/crm/deal/details/14978" TargetMode="External"/><Relationship Id="rId2067" Type="http://schemas.openxmlformats.org/officeDocument/2006/relationships/hyperlink" Target="https://crm.infosis.tech/crm/deal/details/15330/" TargetMode="External"/><Relationship Id="rId2068" Type="http://schemas.openxmlformats.org/officeDocument/2006/relationships/hyperlink" Target="https://crm.infosis.tech/crm/deal/details/15210/" TargetMode="External"/><Relationship Id="rId2069" Type="http://schemas.openxmlformats.org/officeDocument/2006/relationships/hyperlink" Target="https://crm.infosis.tech/crm/deal/details/15348/" TargetMode="External"/><Relationship Id="rId2050" Type="http://schemas.openxmlformats.org/officeDocument/2006/relationships/hyperlink" Target="https://crm.infosis.tech/crm/deal/details/15036/" TargetMode="External"/><Relationship Id="rId2051" Type="http://schemas.openxmlformats.org/officeDocument/2006/relationships/hyperlink" Target="https://crm.infosis.tech/crm/deal/details/14828/" TargetMode="External"/><Relationship Id="rId495" Type="http://schemas.openxmlformats.org/officeDocument/2006/relationships/hyperlink" Target="http://clientes.infosis-arg.com:8090/display/IMP/MAGLIANO+CLAUDIA+MARIA+DE+LAS+MERCEDES_OC" TargetMode="External"/><Relationship Id="rId2052" Type="http://schemas.openxmlformats.org/officeDocument/2006/relationships/hyperlink" Target="https://crm.infosis.tech/crm/deal/details/14802/" TargetMode="External"/><Relationship Id="rId494" Type="http://schemas.openxmlformats.org/officeDocument/2006/relationships/hyperlink" Target="https://crm.infosis.tech/crm/deal/details/4249/" TargetMode="External"/><Relationship Id="rId2053" Type="http://schemas.openxmlformats.org/officeDocument/2006/relationships/hyperlink" Target="https://crm.infosis.tech/crm/deal/details/14930/" TargetMode="External"/><Relationship Id="rId493" Type="http://schemas.openxmlformats.org/officeDocument/2006/relationships/hyperlink" Target="http://clientes.infosis-arg.com:8090/display/IMP/Amplia+BOSSA+NECO+SRL" TargetMode="External"/><Relationship Id="rId2054" Type="http://schemas.openxmlformats.org/officeDocument/2006/relationships/hyperlink" Target="https://crm.infosis.tech/crm/deal/details/14674/?any=details%2F14674%2F" TargetMode="External"/><Relationship Id="rId492" Type="http://schemas.openxmlformats.org/officeDocument/2006/relationships/hyperlink" Target="https://crm.infosis.tech/crm/deal/details/4247/" TargetMode="External"/><Relationship Id="rId2055" Type="http://schemas.openxmlformats.org/officeDocument/2006/relationships/hyperlink" Target="https://crm.infosis.tech/crm/deal/details/15050/" TargetMode="External"/><Relationship Id="rId499" Type="http://schemas.openxmlformats.org/officeDocument/2006/relationships/hyperlink" Target="http://clientes.infosis-arg.com:8090/pages/viewpage.action?pageId=27623745" TargetMode="External"/><Relationship Id="rId2056" Type="http://schemas.openxmlformats.org/officeDocument/2006/relationships/hyperlink" Target="https://crm.infosis.tech/crm/deal/details/15118/?any=details%2F15118%2F" TargetMode="External"/><Relationship Id="rId498" Type="http://schemas.openxmlformats.org/officeDocument/2006/relationships/hyperlink" Target="https://crm.infosis.tech/crm/deal/details/4255/" TargetMode="External"/><Relationship Id="rId2057" Type="http://schemas.openxmlformats.org/officeDocument/2006/relationships/hyperlink" Target="https://crm.infosis.tech/crm/deal/details/15122/" TargetMode="External"/><Relationship Id="rId497" Type="http://schemas.openxmlformats.org/officeDocument/2006/relationships/hyperlink" Target="http://clientes.infosis-arg.com:8090/display/IMP/GAZZE+JORGE+LUIS_OC" TargetMode="External"/><Relationship Id="rId2058" Type="http://schemas.openxmlformats.org/officeDocument/2006/relationships/hyperlink" Target="https://crm.infosis.tech/crm/deal/details/15140/" TargetMode="External"/><Relationship Id="rId496" Type="http://schemas.openxmlformats.org/officeDocument/2006/relationships/hyperlink" Target="https://crm.infosis.tech/crm/deal/details/4115/" TargetMode="External"/><Relationship Id="rId2059" Type="http://schemas.openxmlformats.org/officeDocument/2006/relationships/hyperlink" Target="https://crm.infosis.tech/crm/deal/details/15148/?any=details%2F15148%2F" TargetMode="External"/><Relationship Id="rId2080" Type="http://schemas.openxmlformats.org/officeDocument/2006/relationships/hyperlink" Target="https://crm.infosis.tech/crm/deal/details/15478/" TargetMode="External"/><Relationship Id="rId2081" Type="http://schemas.openxmlformats.org/officeDocument/2006/relationships/hyperlink" Target="https://crm.infosis.tech/crm/deal/details/15456/" TargetMode="External"/><Relationship Id="rId2082" Type="http://schemas.openxmlformats.org/officeDocument/2006/relationships/hyperlink" Target="https://crm.infosis.tech/crm/deal/details/15424/" TargetMode="External"/><Relationship Id="rId2083" Type="http://schemas.openxmlformats.org/officeDocument/2006/relationships/hyperlink" Target="https://crm.infosis.tech/crm/deal/details/15514/" TargetMode="External"/><Relationship Id="rId2084" Type="http://schemas.openxmlformats.org/officeDocument/2006/relationships/hyperlink" Target="https://crm.infosis.tech/crm/deal/details/15522/" TargetMode="External"/><Relationship Id="rId2085" Type="http://schemas.openxmlformats.org/officeDocument/2006/relationships/hyperlink" Target="https://crm.infosis.tech/crm/deal/details/15536/" TargetMode="External"/><Relationship Id="rId2086" Type="http://schemas.openxmlformats.org/officeDocument/2006/relationships/hyperlink" Target="https://crm.infosis.tech/crm/deal/details/15536/" TargetMode="External"/><Relationship Id="rId2087" Type="http://schemas.openxmlformats.org/officeDocument/2006/relationships/hyperlink" Target="https://crm.infosis.tech/crm/deal/details/15400/" TargetMode="External"/><Relationship Id="rId2088" Type="http://schemas.openxmlformats.org/officeDocument/2006/relationships/hyperlink" Target="https://crm.infosis.tech/crm/deal/details/10174/" TargetMode="External"/><Relationship Id="rId2089" Type="http://schemas.openxmlformats.org/officeDocument/2006/relationships/hyperlink" Target="https://crm.infosis.tech/crm/deal/details/15516/" TargetMode="External"/><Relationship Id="rId2070" Type="http://schemas.openxmlformats.org/officeDocument/2006/relationships/hyperlink" Target="https://crm.infosis.tech/crm/deal/details/15294/" TargetMode="External"/><Relationship Id="rId2071" Type="http://schemas.openxmlformats.org/officeDocument/2006/relationships/hyperlink" Target="https://crm.infosis.tech/crm/deal/details/15162/" TargetMode="External"/><Relationship Id="rId2072" Type="http://schemas.openxmlformats.org/officeDocument/2006/relationships/hyperlink" Target="https://crm.infosis.tech/crm/deal/details/15162/" TargetMode="External"/><Relationship Id="rId2073" Type="http://schemas.openxmlformats.org/officeDocument/2006/relationships/hyperlink" Target="https://crm.infosis.tech/crm/deal/details/15196" TargetMode="External"/><Relationship Id="rId2074" Type="http://schemas.openxmlformats.org/officeDocument/2006/relationships/hyperlink" Target="https://crm.infosis.tech/crm/deal/details/15390/" TargetMode="External"/><Relationship Id="rId2075" Type="http://schemas.openxmlformats.org/officeDocument/2006/relationships/hyperlink" Target="https://crm.infosis.tech/crm/deal/details/15402/" TargetMode="External"/><Relationship Id="rId2076" Type="http://schemas.openxmlformats.org/officeDocument/2006/relationships/hyperlink" Target="https://crm.infosis.tech/crm/deal/details/15384/" TargetMode="External"/><Relationship Id="rId2077" Type="http://schemas.openxmlformats.org/officeDocument/2006/relationships/hyperlink" Target="https://crm.infosis.tech/crm/deal/details/15272/" TargetMode="External"/><Relationship Id="rId2078" Type="http://schemas.openxmlformats.org/officeDocument/2006/relationships/hyperlink" Target="https://crm.infosis.tech/crm/deal/details/15454/" TargetMode="External"/><Relationship Id="rId2079" Type="http://schemas.openxmlformats.org/officeDocument/2006/relationships/hyperlink" Target="https://crm.infosis.tech/crm/deal/details/15306/" TargetMode="External"/><Relationship Id="rId1610" Type="http://schemas.openxmlformats.org/officeDocument/2006/relationships/hyperlink" Target="https://crm.infosis.tech/crm/deal/details/8626/" TargetMode="External"/><Relationship Id="rId1611" Type="http://schemas.openxmlformats.org/officeDocument/2006/relationships/hyperlink" Target="https://crm.infosis.tech/crm/deal/details/8618/" TargetMode="External"/><Relationship Id="rId1612" Type="http://schemas.openxmlformats.org/officeDocument/2006/relationships/hyperlink" Target="https://crm.infosis.tech/crm/deal/details/8626/" TargetMode="External"/><Relationship Id="rId1613" Type="http://schemas.openxmlformats.org/officeDocument/2006/relationships/hyperlink" Target="https://crm.infosis.tech/crm/deal/details/8616/" TargetMode="External"/><Relationship Id="rId1614" Type="http://schemas.openxmlformats.org/officeDocument/2006/relationships/hyperlink" Target="https://crm.infosis.tech/crm/deal/details/8668/" TargetMode="External"/><Relationship Id="rId1615" Type="http://schemas.openxmlformats.org/officeDocument/2006/relationships/hyperlink" Target="https://crm.infosis.tech/crm/deal/details/8664/" TargetMode="External"/><Relationship Id="rId1616" Type="http://schemas.openxmlformats.org/officeDocument/2006/relationships/hyperlink" Target="https://crm.infosis.tech/crm/deal/details/8646/" TargetMode="External"/><Relationship Id="rId907" Type="http://schemas.openxmlformats.org/officeDocument/2006/relationships/hyperlink" Target="https://crm.infosis.tech/crm/deal/details/4627/" TargetMode="External"/><Relationship Id="rId1617" Type="http://schemas.openxmlformats.org/officeDocument/2006/relationships/hyperlink" Target="https://crm.infosis.tech/crm/deal/details/8414/" TargetMode="External"/><Relationship Id="rId906" Type="http://schemas.openxmlformats.org/officeDocument/2006/relationships/hyperlink" Target="http://clientes.infosis-arg.com:8090/display/IMP/MORELLI+ERIC+ALAN+-+BORDOLI+INSUMOS+Y+HERRAMIENTAS+%28Ampl%29+4673" TargetMode="External"/><Relationship Id="rId1618" Type="http://schemas.openxmlformats.org/officeDocument/2006/relationships/hyperlink" Target="https://crm.infosis.tech/crm/deal/details/8738/" TargetMode="External"/><Relationship Id="rId905" Type="http://schemas.openxmlformats.org/officeDocument/2006/relationships/hyperlink" Target="https://crm.infosis.tech/crm/deal/details/4673/" TargetMode="External"/><Relationship Id="rId1619" Type="http://schemas.openxmlformats.org/officeDocument/2006/relationships/hyperlink" Target="https://crm.infosis.tech/crm/deal/details/8684/" TargetMode="External"/><Relationship Id="rId904" Type="http://schemas.openxmlformats.org/officeDocument/2006/relationships/hyperlink" Target="http://clientes.infosis-arg.com:8090/pages/viewpage.action?pageId=28049871" TargetMode="External"/><Relationship Id="rId909" Type="http://schemas.openxmlformats.org/officeDocument/2006/relationships/hyperlink" Target="https://crm.infosis.tech/crm/deal/details/4675/" TargetMode="External"/><Relationship Id="rId908" Type="http://schemas.openxmlformats.org/officeDocument/2006/relationships/hyperlink" Target="http://clientes.infosis-arg.com:8090/pages/viewpage.action?pageId=28049897" TargetMode="External"/><Relationship Id="rId903" Type="http://schemas.openxmlformats.org/officeDocument/2006/relationships/hyperlink" Target="https://crm.infosis.tech/crm/deal/details/4659/" TargetMode="External"/><Relationship Id="rId902" Type="http://schemas.openxmlformats.org/officeDocument/2006/relationships/hyperlink" Target="http://clientes.infosis-arg.com:8090/pages/viewpage.action?pageId=28049891" TargetMode="External"/><Relationship Id="rId901" Type="http://schemas.openxmlformats.org/officeDocument/2006/relationships/hyperlink" Target="https://crm.infosis.tech/crm/deal/details/4671/" TargetMode="External"/><Relationship Id="rId900" Type="http://schemas.openxmlformats.org/officeDocument/2006/relationships/hyperlink" Target="http://clientes.infosis-arg.com:8090/pages/viewpage.action?pageId=28049889" TargetMode="External"/><Relationship Id="rId1600" Type="http://schemas.openxmlformats.org/officeDocument/2006/relationships/hyperlink" Target="https://crm.infosis.tech/crm/deal/details/8478/" TargetMode="External"/><Relationship Id="rId1601" Type="http://schemas.openxmlformats.org/officeDocument/2006/relationships/hyperlink" Target="https://crm.infosis.tech/crm/deal/details/8436/" TargetMode="External"/><Relationship Id="rId1602" Type="http://schemas.openxmlformats.org/officeDocument/2006/relationships/hyperlink" Target="https://crm.infosis.tech/crm/deal/details/8400/" TargetMode="External"/><Relationship Id="rId1603" Type="http://schemas.openxmlformats.org/officeDocument/2006/relationships/hyperlink" Target="https://crm.infosis.tech/crm/deal/details/8458/" TargetMode="External"/><Relationship Id="rId1604" Type="http://schemas.openxmlformats.org/officeDocument/2006/relationships/hyperlink" Target="https://crm.infosis.tech/crm/deal/details/8524/" TargetMode="External"/><Relationship Id="rId1605" Type="http://schemas.openxmlformats.org/officeDocument/2006/relationships/hyperlink" Target="https://crm.infosis.tech/crm/deal/details/8504/" TargetMode="External"/><Relationship Id="rId1606" Type="http://schemas.openxmlformats.org/officeDocument/2006/relationships/hyperlink" Target="https://crm.infosis.tech/crm/deal/details/8552/" TargetMode="External"/><Relationship Id="rId1607" Type="http://schemas.openxmlformats.org/officeDocument/2006/relationships/hyperlink" Target="https://crm.infosis.tech/crm/deal/details/8554/" TargetMode="External"/><Relationship Id="rId1608" Type="http://schemas.openxmlformats.org/officeDocument/2006/relationships/hyperlink" Target="https://crm.infosis.tech/crm/deal/details/8484/" TargetMode="External"/><Relationship Id="rId1609" Type="http://schemas.openxmlformats.org/officeDocument/2006/relationships/hyperlink" Target="https://crm.infosis.tech/crm/deal/details/8578/" TargetMode="External"/><Relationship Id="rId1631" Type="http://schemas.openxmlformats.org/officeDocument/2006/relationships/hyperlink" Target="https://crm.infosis.tech/crm/deal/details/8712/" TargetMode="External"/><Relationship Id="rId1632" Type="http://schemas.openxmlformats.org/officeDocument/2006/relationships/hyperlink" Target="https://crm.infosis.tech/crm/deal/details/8872/" TargetMode="External"/><Relationship Id="rId1633" Type="http://schemas.openxmlformats.org/officeDocument/2006/relationships/hyperlink" Target="https://crm.infosis.tech/crm/deal/details/8396/" TargetMode="External"/><Relationship Id="rId1634" Type="http://schemas.openxmlformats.org/officeDocument/2006/relationships/hyperlink" Target="https://crm.infosis.tech/crm/deal/details/8878/" TargetMode="External"/><Relationship Id="rId1635" Type="http://schemas.openxmlformats.org/officeDocument/2006/relationships/hyperlink" Target="https://crm.infosis.tech/crm/deal/details/8852/" TargetMode="External"/><Relationship Id="rId1636" Type="http://schemas.openxmlformats.org/officeDocument/2006/relationships/hyperlink" Target="https://crm.infosis.tech/crm/deal/details/8924/" TargetMode="External"/><Relationship Id="rId1637" Type="http://schemas.openxmlformats.org/officeDocument/2006/relationships/hyperlink" Target="https://crm.infosis.tech/crm/deal/details/8948/" TargetMode="External"/><Relationship Id="rId1638" Type="http://schemas.openxmlformats.org/officeDocument/2006/relationships/hyperlink" Target="https://crm.infosis.tech/crm/deal/details/8904/" TargetMode="External"/><Relationship Id="rId929" Type="http://schemas.openxmlformats.org/officeDocument/2006/relationships/hyperlink" Target="https://crm.infosis.tech/crm/deal/details/4701/" TargetMode="External"/><Relationship Id="rId1639" Type="http://schemas.openxmlformats.org/officeDocument/2006/relationships/hyperlink" Target="https://crm.infosis.tech/crm/deal/details/8960/" TargetMode="External"/><Relationship Id="rId928" Type="http://schemas.openxmlformats.org/officeDocument/2006/relationships/hyperlink" Target="http://clientes.infosis-arg.com:8090/display/IMP/ROVETTO+GABRIELA+ALEJANDRA_OC" TargetMode="External"/><Relationship Id="rId927" Type="http://schemas.openxmlformats.org/officeDocument/2006/relationships/hyperlink" Target="https://crm.infosis.tech/crm/deal/details/4703/" TargetMode="External"/><Relationship Id="rId926" Type="http://schemas.openxmlformats.org/officeDocument/2006/relationships/hyperlink" Target="http://clientes.infosis-arg.com:8090/pages/viewpage.action?pageId=28049932" TargetMode="External"/><Relationship Id="rId921" Type="http://schemas.openxmlformats.org/officeDocument/2006/relationships/hyperlink" Target="https://crm.infosis.tech/crm/deal/details/4695/" TargetMode="External"/><Relationship Id="rId920" Type="http://schemas.openxmlformats.org/officeDocument/2006/relationships/hyperlink" Target="http://clientes.infosis-arg.com:8090/display/IMP/Bazar+Mandarin+SRL+-+Ampl+-+4693" TargetMode="External"/><Relationship Id="rId925" Type="http://schemas.openxmlformats.org/officeDocument/2006/relationships/hyperlink" Target="https://crm.infosis.tech/crm/deal/details/4699/" TargetMode="External"/><Relationship Id="rId924" Type="http://schemas.openxmlformats.org/officeDocument/2006/relationships/hyperlink" Target="http://clientes.infosis-arg.com:8090/pages/viewpage.action?pageId=28049925" TargetMode="External"/><Relationship Id="rId923" Type="http://schemas.openxmlformats.org/officeDocument/2006/relationships/hyperlink" Target="https://crm.infosis.tech/crm/deal/details/4697/" TargetMode="External"/><Relationship Id="rId922" Type="http://schemas.openxmlformats.org/officeDocument/2006/relationships/hyperlink" Target="http://clientes.infosis-arg.com:8090/display/IMP/VELTI+S.A.+4695" TargetMode="External"/><Relationship Id="rId1630" Type="http://schemas.openxmlformats.org/officeDocument/2006/relationships/hyperlink" Target="https://crm.infosis.tech/crm/deal/details/8860/" TargetMode="External"/><Relationship Id="rId1620" Type="http://schemas.openxmlformats.org/officeDocument/2006/relationships/hyperlink" Target="https://crm.infosis.tech/crm/deal/details/8644/" TargetMode="External"/><Relationship Id="rId1621" Type="http://schemas.openxmlformats.org/officeDocument/2006/relationships/hyperlink" Target="https://crm.infosis.tech/crm/deal/details/8670/" TargetMode="External"/><Relationship Id="rId1622" Type="http://schemas.openxmlformats.org/officeDocument/2006/relationships/hyperlink" Target="https://crm.infosis.tech/crm/deal/details/8756/" TargetMode="External"/><Relationship Id="rId1623" Type="http://schemas.openxmlformats.org/officeDocument/2006/relationships/hyperlink" Target="https://crm.infosis.tech/crm/deal/details/8696/" TargetMode="External"/><Relationship Id="rId1624" Type="http://schemas.openxmlformats.org/officeDocument/2006/relationships/hyperlink" Target="https://crm.infosis.tech/crm/deal/details/8792/" TargetMode="External"/><Relationship Id="rId1625" Type="http://schemas.openxmlformats.org/officeDocument/2006/relationships/hyperlink" Target="https://crm.infosis.tech/crm/deal/details/8602/" TargetMode="External"/><Relationship Id="rId1626" Type="http://schemas.openxmlformats.org/officeDocument/2006/relationships/hyperlink" Target="https://crm.infosis.tech/crm/deal/details/8798/" TargetMode="External"/><Relationship Id="rId1627" Type="http://schemas.openxmlformats.org/officeDocument/2006/relationships/hyperlink" Target="https://crm.infosis.tech/crm/deal/details/8694/" TargetMode="External"/><Relationship Id="rId918" Type="http://schemas.openxmlformats.org/officeDocument/2006/relationships/hyperlink" Target="http://clientes.infosis-arg.com:8090/pages/editpage.action?pageId=28049908" TargetMode="External"/><Relationship Id="rId1628" Type="http://schemas.openxmlformats.org/officeDocument/2006/relationships/hyperlink" Target="https://crm.infosis.tech/crm/deal/details/8754/" TargetMode="External"/><Relationship Id="rId917" Type="http://schemas.openxmlformats.org/officeDocument/2006/relationships/hyperlink" Target="https://crm.infosis.tech/crm/deal/details/4689/" TargetMode="External"/><Relationship Id="rId1629" Type="http://schemas.openxmlformats.org/officeDocument/2006/relationships/hyperlink" Target="https://crm.infosis.tech/crm/deal/details/8438/" TargetMode="External"/><Relationship Id="rId916" Type="http://schemas.openxmlformats.org/officeDocument/2006/relationships/hyperlink" Target="http://clientes.infosis-arg.com:8090/pages/viewpage.action?pageId=28049911" TargetMode="External"/><Relationship Id="rId915" Type="http://schemas.openxmlformats.org/officeDocument/2006/relationships/hyperlink" Target="https://crm.infosis.tech/crm/lead/details/32847/" TargetMode="External"/><Relationship Id="rId919" Type="http://schemas.openxmlformats.org/officeDocument/2006/relationships/hyperlink" Target="https://crm.infosis.tech/crm/deal/details/4693/" TargetMode="External"/><Relationship Id="rId910" Type="http://schemas.openxmlformats.org/officeDocument/2006/relationships/hyperlink" Target="http://clientes.infosis-arg.com:8090/pages/viewpage.action?pageId=28049900" TargetMode="External"/><Relationship Id="rId914" Type="http://schemas.openxmlformats.org/officeDocument/2006/relationships/hyperlink" Target="http://clientes.infosis-arg.com:8090/pages/viewpage.action?pageId=28049906" TargetMode="External"/><Relationship Id="rId913" Type="http://schemas.openxmlformats.org/officeDocument/2006/relationships/hyperlink" Target="https://crm.infosis.tech/crm/deal/details/4687/" TargetMode="External"/><Relationship Id="rId912" Type="http://schemas.openxmlformats.org/officeDocument/2006/relationships/hyperlink" Target="http://clientes.infosis-arg.com:8090/pages/viewpage.action?pageId=28049903" TargetMode="External"/><Relationship Id="rId911" Type="http://schemas.openxmlformats.org/officeDocument/2006/relationships/hyperlink" Target="https://crm.infosis.tech/crm/deal/details/4677/" TargetMode="External"/><Relationship Id="rId1213" Type="http://schemas.openxmlformats.org/officeDocument/2006/relationships/hyperlink" Target="https://crm.infosis.tech/crm/deal/details/5425/" TargetMode="External"/><Relationship Id="rId1697" Type="http://schemas.openxmlformats.org/officeDocument/2006/relationships/hyperlink" Target="https://crm.infosis.tech/crm/deal/details/9556/" TargetMode="External"/><Relationship Id="rId2544" Type="http://schemas.openxmlformats.org/officeDocument/2006/relationships/hyperlink" Target="https://crm.infosis.tech/crm/deal/details/23270/?any=details%2F23270%2F" TargetMode="External"/><Relationship Id="rId1214" Type="http://schemas.openxmlformats.org/officeDocument/2006/relationships/hyperlink" Target="https://crm.infosis.tech/crm/deal/details/5437/" TargetMode="External"/><Relationship Id="rId1698" Type="http://schemas.openxmlformats.org/officeDocument/2006/relationships/hyperlink" Target="https://crm.infosis.tech/crm/deal/details/9574/" TargetMode="External"/><Relationship Id="rId2545" Type="http://schemas.openxmlformats.org/officeDocument/2006/relationships/hyperlink" Target="https://crm.infosis.tech/crm/deal/details/23392/" TargetMode="External"/><Relationship Id="rId1215" Type="http://schemas.openxmlformats.org/officeDocument/2006/relationships/hyperlink" Target="https://crm.infosis.tech/crm/deal/details/5441/" TargetMode="External"/><Relationship Id="rId1699" Type="http://schemas.openxmlformats.org/officeDocument/2006/relationships/hyperlink" Target="https://crm.infosis.tech/crm/deal/details/9526/" TargetMode="External"/><Relationship Id="rId2546" Type="http://schemas.openxmlformats.org/officeDocument/2006/relationships/hyperlink" Target="https://crm.infosis.tech/crm/deal/details/23416/" TargetMode="External"/><Relationship Id="rId1216" Type="http://schemas.openxmlformats.org/officeDocument/2006/relationships/hyperlink" Target="https://crm.infosis.tech/crm/deal/details/5449/" TargetMode="External"/><Relationship Id="rId2547" Type="http://schemas.openxmlformats.org/officeDocument/2006/relationships/hyperlink" Target="https://crm.infosis.tech/crm/deal/details/23438/" TargetMode="External"/><Relationship Id="rId1217" Type="http://schemas.openxmlformats.org/officeDocument/2006/relationships/hyperlink" Target="https://crm.infosis.tech/crm/deal/details/5453/" TargetMode="External"/><Relationship Id="rId2548" Type="http://schemas.openxmlformats.org/officeDocument/2006/relationships/hyperlink" Target="https://crm.infosis.tech/crm/deal/details/23430/?any=details%2F23430%2F" TargetMode="External"/><Relationship Id="rId1218" Type="http://schemas.openxmlformats.org/officeDocument/2006/relationships/hyperlink" Target="https://crm.infosis.tech/crm/deal/details/5461/" TargetMode="External"/><Relationship Id="rId2549" Type="http://schemas.openxmlformats.org/officeDocument/2006/relationships/hyperlink" Target="https://crm.infosis.tech/crm/deal/details/23382/" TargetMode="External"/><Relationship Id="rId1219" Type="http://schemas.openxmlformats.org/officeDocument/2006/relationships/hyperlink" Target="https://crm.infosis.tech/crm/deal/details/5465/" TargetMode="External"/><Relationship Id="rId866" Type="http://schemas.openxmlformats.org/officeDocument/2006/relationships/hyperlink" Target="http://clientes.infosis-arg.com:8090/pages/viewpage.action?pageId=28049826" TargetMode="External"/><Relationship Id="rId865" Type="http://schemas.openxmlformats.org/officeDocument/2006/relationships/hyperlink" Target="https://crm.infosis.tech/crm/deal/details/4633/" TargetMode="External"/><Relationship Id="rId864" Type="http://schemas.openxmlformats.org/officeDocument/2006/relationships/hyperlink" Target="http://clientes.infosis-arg.com:8090/pages/viewpage.action?pageId=28049823" TargetMode="External"/><Relationship Id="rId863" Type="http://schemas.openxmlformats.org/officeDocument/2006/relationships/hyperlink" Target="https://crm.infosis.tech/crm/deal/details/4631/" TargetMode="External"/><Relationship Id="rId869" Type="http://schemas.openxmlformats.org/officeDocument/2006/relationships/hyperlink" Target="https://crm.infosis.tech/crm/deal/details/4641/" TargetMode="External"/><Relationship Id="rId868" Type="http://schemas.openxmlformats.org/officeDocument/2006/relationships/hyperlink" Target="http://clientes.infosis-arg.com:8090/pages/viewpage.action?pageId=27623898" TargetMode="External"/><Relationship Id="rId867" Type="http://schemas.openxmlformats.org/officeDocument/2006/relationships/hyperlink" Target="https://crm.infosis.tech/crm/deal/details/4367/" TargetMode="External"/><Relationship Id="rId1690" Type="http://schemas.openxmlformats.org/officeDocument/2006/relationships/hyperlink" Target="https://crm.infosis.tech/crm/deal/details/9360/" TargetMode="External"/><Relationship Id="rId1691" Type="http://schemas.openxmlformats.org/officeDocument/2006/relationships/hyperlink" Target="https://crm.infosis.tech/crm/deal/details/9538/" TargetMode="External"/><Relationship Id="rId1692" Type="http://schemas.openxmlformats.org/officeDocument/2006/relationships/hyperlink" Target="https://crm.infosis.tech/crm/deal/details/9482/" TargetMode="External"/><Relationship Id="rId862" Type="http://schemas.openxmlformats.org/officeDocument/2006/relationships/hyperlink" Target="http://clientes.infosis-arg.com:8090/pages/viewpage.action?pageId=28049821" TargetMode="External"/><Relationship Id="rId1693" Type="http://schemas.openxmlformats.org/officeDocument/2006/relationships/hyperlink" Target="https://crm.infosis.tech/crm/deal/details/9296/" TargetMode="External"/><Relationship Id="rId2540" Type="http://schemas.openxmlformats.org/officeDocument/2006/relationships/hyperlink" Target="https://crm.infosis.tech/crm/deal/details/23118/" TargetMode="External"/><Relationship Id="rId861" Type="http://schemas.openxmlformats.org/officeDocument/2006/relationships/hyperlink" Target="https://crm.infosis.tech/crm/deal/details/4629/" TargetMode="External"/><Relationship Id="rId1210" Type="http://schemas.openxmlformats.org/officeDocument/2006/relationships/hyperlink" Target="https://crm.infosis.tech/crm/deal/details/5411/" TargetMode="External"/><Relationship Id="rId1694" Type="http://schemas.openxmlformats.org/officeDocument/2006/relationships/hyperlink" Target="https://crm.infosis.tech/crm/deal/details/9480/" TargetMode="External"/><Relationship Id="rId2541" Type="http://schemas.openxmlformats.org/officeDocument/2006/relationships/hyperlink" Target="https://crm.infosis.tech/crm/deal/details/23342/" TargetMode="External"/><Relationship Id="rId860" Type="http://schemas.openxmlformats.org/officeDocument/2006/relationships/hyperlink" Target="http://clientes.infosis-arg.com:8090/pages/viewpage.action?pageId=28049819" TargetMode="External"/><Relationship Id="rId1211" Type="http://schemas.openxmlformats.org/officeDocument/2006/relationships/hyperlink" Target="https://crm.infosis.tech/crm/deal/details/5419/" TargetMode="External"/><Relationship Id="rId1695" Type="http://schemas.openxmlformats.org/officeDocument/2006/relationships/hyperlink" Target="https://crm.infosis.tech/crm/deal/details/9530/" TargetMode="External"/><Relationship Id="rId2542" Type="http://schemas.openxmlformats.org/officeDocument/2006/relationships/hyperlink" Target="https://crm.infosis.tech/crm/deal/details/23342/" TargetMode="External"/><Relationship Id="rId1212" Type="http://schemas.openxmlformats.org/officeDocument/2006/relationships/hyperlink" Target="https://crm.infosis.tech/crm/deal/details/5427/" TargetMode="External"/><Relationship Id="rId1696" Type="http://schemas.openxmlformats.org/officeDocument/2006/relationships/hyperlink" Target="https://crm.infosis.tech/crm/deal/details/9274/" TargetMode="External"/><Relationship Id="rId2543" Type="http://schemas.openxmlformats.org/officeDocument/2006/relationships/hyperlink" Target="https://crm.infosis.tech/crm/deal/details/23310/" TargetMode="External"/><Relationship Id="rId1202" Type="http://schemas.openxmlformats.org/officeDocument/2006/relationships/hyperlink" Target="https://crm.infosis.tech/crm/deal/details/5363/" TargetMode="External"/><Relationship Id="rId1686" Type="http://schemas.openxmlformats.org/officeDocument/2006/relationships/hyperlink" Target="https://crm.infosis.tech/crm/deal/details/9510/" TargetMode="External"/><Relationship Id="rId2533" Type="http://schemas.openxmlformats.org/officeDocument/2006/relationships/hyperlink" Target="https://crm.infosis.tech/crm/deal/details/22814/?any=details%2F22814%2F" TargetMode="External"/><Relationship Id="rId1203" Type="http://schemas.openxmlformats.org/officeDocument/2006/relationships/hyperlink" Target="https://crm.infosis.tech/crm/deal/details/5366/" TargetMode="External"/><Relationship Id="rId1687" Type="http://schemas.openxmlformats.org/officeDocument/2006/relationships/hyperlink" Target="https://crm.infosis.tech/crm/deal/details/9386/" TargetMode="External"/><Relationship Id="rId2534" Type="http://schemas.openxmlformats.org/officeDocument/2006/relationships/hyperlink" Target="https://crm.infosis.tech/crm/deal/details/23160/" TargetMode="External"/><Relationship Id="rId1204" Type="http://schemas.openxmlformats.org/officeDocument/2006/relationships/hyperlink" Target="https://crm.infosis.tech/crm/deal/details/5371/" TargetMode="External"/><Relationship Id="rId1688" Type="http://schemas.openxmlformats.org/officeDocument/2006/relationships/hyperlink" Target="https://crm.infosis.tech/crm/deal/details/9368/" TargetMode="External"/><Relationship Id="rId2535" Type="http://schemas.openxmlformats.org/officeDocument/2006/relationships/hyperlink" Target="https://crm.infosis.tech/crm/deal/details/23174/" TargetMode="External"/><Relationship Id="rId1205" Type="http://schemas.openxmlformats.org/officeDocument/2006/relationships/hyperlink" Target="https://crm.infosis.tech/crm/deal/details/5377/" TargetMode="External"/><Relationship Id="rId1689" Type="http://schemas.openxmlformats.org/officeDocument/2006/relationships/hyperlink" Target="https://crm.infosis.tech/crm/deal/details/9550/" TargetMode="External"/><Relationship Id="rId2536" Type="http://schemas.openxmlformats.org/officeDocument/2006/relationships/hyperlink" Target="https://crm.infosis.tech/crm/deal/details/21846/" TargetMode="External"/><Relationship Id="rId1206" Type="http://schemas.openxmlformats.org/officeDocument/2006/relationships/hyperlink" Target="https://crm.infosis.tech/crm/deal/details/5385/" TargetMode="External"/><Relationship Id="rId2537" Type="http://schemas.openxmlformats.org/officeDocument/2006/relationships/hyperlink" Target="https://crm.infosis.tech/crm/deal/details/21846/" TargetMode="External"/><Relationship Id="rId1207" Type="http://schemas.openxmlformats.org/officeDocument/2006/relationships/hyperlink" Target="https://crm.infosis.tech/crm/deal/details/5397/" TargetMode="External"/><Relationship Id="rId2538" Type="http://schemas.openxmlformats.org/officeDocument/2006/relationships/hyperlink" Target="https://crm.infosis.tech/crm/deal/details/23010/" TargetMode="External"/><Relationship Id="rId1208" Type="http://schemas.openxmlformats.org/officeDocument/2006/relationships/hyperlink" Target="https://crm.infosis.tech/crm/deal/details/5391/" TargetMode="External"/><Relationship Id="rId2539" Type="http://schemas.openxmlformats.org/officeDocument/2006/relationships/hyperlink" Target="https://crm.infosis.tech/crm/deal/details/23250/" TargetMode="External"/><Relationship Id="rId1209" Type="http://schemas.openxmlformats.org/officeDocument/2006/relationships/hyperlink" Target="https://crm.infosis.tech/crm/deal/details/4855/" TargetMode="External"/><Relationship Id="rId855" Type="http://schemas.openxmlformats.org/officeDocument/2006/relationships/hyperlink" Target="https://crm.infosis.tech/crm/deal/details/4599/" TargetMode="External"/><Relationship Id="rId854" Type="http://schemas.openxmlformats.org/officeDocument/2006/relationships/hyperlink" Target="http://clientes.infosis-arg.com:8090/display/IMP/ARGENTINA+PAINT+CAR+-+Ampl+-+4621" TargetMode="External"/><Relationship Id="rId853" Type="http://schemas.openxmlformats.org/officeDocument/2006/relationships/hyperlink" Target="https://crm.infosis.tech/crm/lead/details/32437/" TargetMode="External"/><Relationship Id="rId852" Type="http://schemas.openxmlformats.org/officeDocument/2006/relationships/hyperlink" Target="http://clientes.infosis-arg.com:8090/pages/viewpage.action?pageId=28049809" TargetMode="External"/><Relationship Id="rId859" Type="http://schemas.openxmlformats.org/officeDocument/2006/relationships/hyperlink" Target="https://crm.infosis.tech/crm/deal/details/4625/" TargetMode="External"/><Relationship Id="rId858" Type="http://schemas.openxmlformats.org/officeDocument/2006/relationships/hyperlink" Target="http://clientes.infosis-arg.com:8090/pages/viewpage.action?pageId=28049817" TargetMode="External"/><Relationship Id="rId857" Type="http://schemas.openxmlformats.org/officeDocument/2006/relationships/hyperlink" Target="https://crm.infosis.tech/crm/deal/details/4623/" TargetMode="External"/><Relationship Id="rId856" Type="http://schemas.openxmlformats.org/officeDocument/2006/relationships/hyperlink" Target="http://clientes.infosis-arg.com:8090/pages/viewpage.action?pageId=27852835" TargetMode="External"/><Relationship Id="rId1680" Type="http://schemas.openxmlformats.org/officeDocument/2006/relationships/hyperlink" Target="https://crm.infosis.tech/crm/deal/details/9364/" TargetMode="External"/><Relationship Id="rId1681" Type="http://schemas.openxmlformats.org/officeDocument/2006/relationships/hyperlink" Target="https://crm.infosis.tech/crm/deal/details/9314/" TargetMode="External"/><Relationship Id="rId851" Type="http://schemas.openxmlformats.org/officeDocument/2006/relationships/hyperlink" Target="https://crm.infosis.tech/crm/deal/details/4619/" TargetMode="External"/><Relationship Id="rId1682" Type="http://schemas.openxmlformats.org/officeDocument/2006/relationships/hyperlink" Target="https://crm.infosis.tech/crm/deal/details/9244/" TargetMode="External"/><Relationship Id="rId850" Type="http://schemas.openxmlformats.org/officeDocument/2006/relationships/hyperlink" Target="http://clientes.infosis-arg.com:8090/display/IMP/TOP+CLASS+PASTRY+SRL+-+4309" TargetMode="External"/><Relationship Id="rId1683" Type="http://schemas.openxmlformats.org/officeDocument/2006/relationships/hyperlink" Target="https://crm.infosis.tech/crm/deal/details/9344/" TargetMode="External"/><Relationship Id="rId2530" Type="http://schemas.openxmlformats.org/officeDocument/2006/relationships/hyperlink" Target="https://crm.infosis.tech/crm/deal/details/22636/" TargetMode="External"/><Relationship Id="rId1200" Type="http://schemas.openxmlformats.org/officeDocument/2006/relationships/hyperlink" Target="https://crm.infosis.tech/crm/deal/details/5345/" TargetMode="External"/><Relationship Id="rId1684" Type="http://schemas.openxmlformats.org/officeDocument/2006/relationships/hyperlink" Target="https://crm.infosis.tech/crm/deal/details/9428/" TargetMode="External"/><Relationship Id="rId2531" Type="http://schemas.openxmlformats.org/officeDocument/2006/relationships/hyperlink" Target="https://crm.infosis.tech/crm/deal/details/22636/" TargetMode="External"/><Relationship Id="rId1201" Type="http://schemas.openxmlformats.org/officeDocument/2006/relationships/hyperlink" Target="https://crm.infosis.tech/crm/deal/details/5357/" TargetMode="External"/><Relationship Id="rId1685" Type="http://schemas.openxmlformats.org/officeDocument/2006/relationships/hyperlink" Target="https://crm.infosis.tech/crm/deal/details/9356/" TargetMode="External"/><Relationship Id="rId2532" Type="http://schemas.openxmlformats.org/officeDocument/2006/relationships/hyperlink" Target="https://crm.infosis.tech/crm/deal/details/22740/" TargetMode="External"/><Relationship Id="rId1235" Type="http://schemas.openxmlformats.org/officeDocument/2006/relationships/hyperlink" Target="https://crm.infosis.tech/crm/deal/details/5565/" TargetMode="External"/><Relationship Id="rId2566" Type="http://schemas.openxmlformats.org/officeDocument/2006/relationships/hyperlink" Target="https://crm.infosis.tech/crm/deal/details/23484/" TargetMode="External"/><Relationship Id="rId1236" Type="http://schemas.openxmlformats.org/officeDocument/2006/relationships/hyperlink" Target="https://crm.infosis.tech/crm/deal/details/5569/" TargetMode="External"/><Relationship Id="rId2567" Type="http://schemas.openxmlformats.org/officeDocument/2006/relationships/hyperlink" Target="https://crm.infosis.tech/crm/deal/details/23484/" TargetMode="External"/><Relationship Id="rId1237" Type="http://schemas.openxmlformats.org/officeDocument/2006/relationships/hyperlink" Target="https://crm.infosis.tech/crm/deal/details/5047/" TargetMode="External"/><Relationship Id="rId2568" Type="http://schemas.openxmlformats.org/officeDocument/2006/relationships/hyperlink" Target="https://crm.infosis.tech/crm/deal/details/23760/?any=details%2F23760%2F" TargetMode="External"/><Relationship Id="rId1238" Type="http://schemas.openxmlformats.org/officeDocument/2006/relationships/hyperlink" Target="https://crm.infosis.tech/crm/deal/details/5589/" TargetMode="External"/><Relationship Id="rId2569" Type="http://schemas.openxmlformats.org/officeDocument/2006/relationships/hyperlink" Target="https://crm.infosis.tech/crm/deal/details/23788/" TargetMode="External"/><Relationship Id="rId1239" Type="http://schemas.openxmlformats.org/officeDocument/2006/relationships/hyperlink" Target="https://crm.infosis.tech/crm/deal/details/5593/" TargetMode="External"/><Relationship Id="rId409" Type="http://schemas.openxmlformats.org/officeDocument/2006/relationships/hyperlink" Target="https://crm.infosis.tech/crm/deal/details/4107/" TargetMode="External"/><Relationship Id="rId404" Type="http://schemas.openxmlformats.org/officeDocument/2006/relationships/hyperlink" Target="http://clientes.infosis-arg.com:8090/pages/viewpage.action?pageId=27623497" TargetMode="External"/><Relationship Id="rId888" Type="http://schemas.openxmlformats.org/officeDocument/2006/relationships/hyperlink" Target="http://clientes.infosis-arg.com:8090/pages/viewpage.action?pageId=28049861" TargetMode="External"/><Relationship Id="rId403" Type="http://schemas.openxmlformats.org/officeDocument/2006/relationships/hyperlink" Target="https://crm.infosis.tech/crm/deal/details/4099/" TargetMode="External"/><Relationship Id="rId887" Type="http://schemas.openxmlformats.org/officeDocument/2006/relationships/hyperlink" Target="https://crm.infosis.tech/crm/lead/details/32671/" TargetMode="External"/><Relationship Id="rId402" Type="http://schemas.openxmlformats.org/officeDocument/2006/relationships/hyperlink" Target="http://clientes.infosis-arg.com:8090/pages/viewpage.action?pageId=27623485" TargetMode="External"/><Relationship Id="rId886" Type="http://schemas.openxmlformats.org/officeDocument/2006/relationships/hyperlink" Target="http://clientes.infosis-arg.com:8090/pages/viewpage.action?pageId=28049860" TargetMode="External"/><Relationship Id="rId401" Type="http://schemas.openxmlformats.org/officeDocument/2006/relationships/hyperlink" Target="https://crm.infosis.tech/crm/deal/details/4085/" TargetMode="External"/><Relationship Id="rId885" Type="http://schemas.openxmlformats.org/officeDocument/2006/relationships/hyperlink" Target="https://crm.infosis.tech/crm/deal/details/4653/" TargetMode="External"/><Relationship Id="rId408" Type="http://schemas.openxmlformats.org/officeDocument/2006/relationships/hyperlink" Target="http://clientes.infosis-arg.com:8090/display/IMP/FERRAMENTA+HNOS+SRL" TargetMode="External"/><Relationship Id="rId407" Type="http://schemas.openxmlformats.org/officeDocument/2006/relationships/hyperlink" Target="https://crm.infosis.tech/crm/deal/details/4095/" TargetMode="External"/><Relationship Id="rId406" Type="http://schemas.openxmlformats.org/officeDocument/2006/relationships/hyperlink" Target="http://clientes.infosis-arg.com:8090/pages/viewpage.action?pageId=27427140" TargetMode="External"/><Relationship Id="rId405" Type="http://schemas.openxmlformats.org/officeDocument/2006/relationships/hyperlink" Target="https://crm.infosis.tech/crm/deal/details/4047/" TargetMode="External"/><Relationship Id="rId889" Type="http://schemas.openxmlformats.org/officeDocument/2006/relationships/hyperlink" Target="https://crm.infosis.tech/crm/deal/details/4639/?IFRAME_TYPE=SIDE_SLIDER&amp;any=details%2F4639%2F" TargetMode="External"/><Relationship Id="rId880" Type="http://schemas.openxmlformats.org/officeDocument/2006/relationships/hyperlink" Target="https://crm.infosis.com.ar/crm/deal/details/4647/" TargetMode="External"/><Relationship Id="rId2560" Type="http://schemas.openxmlformats.org/officeDocument/2006/relationships/hyperlink" Target="https://crm.infosis.tech/crm/deal/details/23670/" TargetMode="External"/><Relationship Id="rId1230" Type="http://schemas.openxmlformats.org/officeDocument/2006/relationships/hyperlink" Target="https://crm.infosis.tech/crm/deal/details/5525/" TargetMode="External"/><Relationship Id="rId2561" Type="http://schemas.openxmlformats.org/officeDocument/2006/relationships/hyperlink" Target="https://crm.infosis.tech/crm/deal/details/23702/" TargetMode="External"/><Relationship Id="rId400" Type="http://schemas.openxmlformats.org/officeDocument/2006/relationships/hyperlink" Target="http://clientes.infosis-arg.com:8090/pages/viewpage.action?pageId=27623471" TargetMode="External"/><Relationship Id="rId884" Type="http://schemas.openxmlformats.org/officeDocument/2006/relationships/hyperlink" Target="http://clientes.infosis-arg.com:8090/pages/viewpage.action?pageId=28049856" TargetMode="External"/><Relationship Id="rId1231" Type="http://schemas.openxmlformats.org/officeDocument/2006/relationships/hyperlink" Target="https://crm.infosis.tech/crm/deal/details/5533/" TargetMode="External"/><Relationship Id="rId2562" Type="http://schemas.openxmlformats.org/officeDocument/2006/relationships/hyperlink" Target="https://crm.infosis.tech/crm/deal/details/23572/" TargetMode="External"/><Relationship Id="rId883" Type="http://schemas.openxmlformats.org/officeDocument/2006/relationships/hyperlink" Target="https://crm.infosis.tech/crm/deal/details/4651/" TargetMode="External"/><Relationship Id="rId1232" Type="http://schemas.openxmlformats.org/officeDocument/2006/relationships/hyperlink" Target="https://crm.infosis.tech/crm/deal/details/5547/" TargetMode="External"/><Relationship Id="rId2563" Type="http://schemas.openxmlformats.org/officeDocument/2006/relationships/hyperlink" Target="https://crm.infosis.tech/crm/deal/details/23530/" TargetMode="External"/><Relationship Id="rId882" Type="http://schemas.openxmlformats.org/officeDocument/2006/relationships/hyperlink" Target="http://clientes.infosis-arg.com:8090/pages/viewpage.action?pageId=28049854" TargetMode="External"/><Relationship Id="rId1233" Type="http://schemas.openxmlformats.org/officeDocument/2006/relationships/hyperlink" Target="https://crm.infosis.tech/crm/deal/details/5549/" TargetMode="External"/><Relationship Id="rId2564" Type="http://schemas.openxmlformats.org/officeDocument/2006/relationships/hyperlink" Target="https://crm.infosis.tech/crm/deal/details/23454/" TargetMode="External"/><Relationship Id="rId881" Type="http://schemas.openxmlformats.org/officeDocument/2006/relationships/hyperlink" Target="https://crm.infosis.tech/crm/deal/details/4649/" TargetMode="External"/><Relationship Id="rId1234" Type="http://schemas.openxmlformats.org/officeDocument/2006/relationships/hyperlink" Target="https://crm.infosis.tech/crm/deal/details/5559/" TargetMode="External"/><Relationship Id="rId2565" Type="http://schemas.openxmlformats.org/officeDocument/2006/relationships/hyperlink" Target="https://crm.infosis.tech/crm/deal/details/23426/" TargetMode="External"/><Relationship Id="rId1224" Type="http://schemas.openxmlformats.org/officeDocument/2006/relationships/hyperlink" Target="https://crm.infosis.tech/crm/deal/details/5491/" TargetMode="External"/><Relationship Id="rId2555" Type="http://schemas.openxmlformats.org/officeDocument/2006/relationships/hyperlink" Target="https://crm.infosis.tech/crm/deal/details/23638/?any=details%2F23638%2F" TargetMode="External"/><Relationship Id="rId1225" Type="http://schemas.openxmlformats.org/officeDocument/2006/relationships/hyperlink" Target="https://crm.infosis.tech/crm/deal/details/5503/" TargetMode="External"/><Relationship Id="rId2556" Type="http://schemas.openxmlformats.org/officeDocument/2006/relationships/hyperlink" Target="https://crm.infosis.tech/crm/deal/details/23636/" TargetMode="External"/><Relationship Id="rId1226" Type="http://schemas.openxmlformats.org/officeDocument/2006/relationships/hyperlink" Target="https://crm.infosis.tech/crm/deal/details/5511/" TargetMode="External"/><Relationship Id="rId2557" Type="http://schemas.openxmlformats.org/officeDocument/2006/relationships/hyperlink" Target="https://crm.infosis.tech/crm/deal/details/23358/" TargetMode="External"/><Relationship Id="rId1227" Type="http://schemas.openxmlformats.org/officeDocument/2006/relationships/hyperlink" Target="https://crm.infosis.tech/crm/deal/details/5517/" TargetMode="External"/><Relationship Id="rId2558" Type="http://schemas.openxmlformats.org/officeDocument/2006/relationships/hyperlink" Target="https://crm.infosis.tech/crm/deal/details/23560/" TargetMode="External"/><Relationship Id="rId1228" Type="http://schemas.openxmlformats.org/officeDocument/2006/relationships/hyperlink" Target="https://crm.infosis.tech/crm/deal/details/5523/" TargetMode="External"/><Relationship Id="rId2559" Type="http://schemas.openxmlformats.org/officeDocument/2006/relationships/hyperlink" Target="https://crm.infosis.tech/crm/deal/details/23686/" TargetMode="External"/><Relationship Id="rId1229" Type="http://schemas.openxmlformats.org/officeDocument/2006/relationships/hyperlink" Target="https://crm.infosis.tech/crm/deal/details/5531/" TargetMode="External"/><Relationship Id="rId877" Type="http://schemas.openxmlformats.org/officeDocument/2006/relationships/hyperlink" Target="http://clientes.infosis-arg.com:8090/pages/viewpage.action?pageId=28049848" TargetMode="External"/><Relationship Id="rId876" Type="http://schemas.openxmlformats.org/officeDocument/2006/relationships/hyperlink" Target="http://clientes.infosis-arg.com:8090/pages/viewpage.action?pageId=28049845" TargetMode="External"/><Relationship Id="rId875" Type="http://schemas.openxmlformats.org/officeDocument/2006/relationships/hyperlink" Target="https://crm.infosis.tech/crm/deal/details/4643/" TargetMode="External"/><Relationship Id="rId874" Type="http://schemas.openxmlformats.org/officeDocument/2006/relationships/hyperlink" Target="http://clientes.infosis-arg.com:8090/pages/viewpage.action?pageId=28049836" TargetMode="External"/><Relationship Id="rId879" Type="http://schemas.openxmlformats.org/officeDocument/2006/relationships/hyperlink" Target="http://clientes.infosis-arg.com:8090/pages/viewpage.action?pageId=28049850" TargetMode="External"/><Relationship Id="rId878" Type="http://schemas.openxmlformats.org/officeDocument/2006/relationships/hyperlink" Target="https://crm.infosis.com.ar/crm/deal/details/4645/" TargetMode="External"/><Relationship Id="rId2550" Type="http://schemas.openxmlformats.org/officeDocument/2006/relationships/hyperlink" Target="https://crm.infosis.tech/crm/deal/details/23464/" TargetMode="External"/><Relationship Id="rId873" Type="http://schemas.openxmlformats.org/officeDocument/2006/relationships/hyperlink" Target="https://crm.infosis.tech/crm/deal/details/4637/" TargetMode="External"/><Relationship Id="rId1220" Type="http://schemas.openxmlformats.org/officeDocument/2006/relationships/hyperlink" Target="https://crm.infosis.tech/crm/deal/details/5473/" TargetMode="External"/><Relationship Id="rId2551" Type="http://schemas.openxmlformats.org/officeDocument/2006/relationships/hyperlink" Target="https://crm.infosis.tech/crm/deal/details/23496/" TargetMode="External"/><Relationship Id="rId872" Type="http://schemas.openxmlformats.org/officeDocument/2006/relationships/hyperlink" Target="http://clientes.infosis-arg.com:8090/pages/viewpage.action?pageId=28049833" TargetMode="External"/><Relationship Id="rId1221" Type="http://schemas.openxmlformats.org/officeDocument/2006/relationships/hyperlink" Target="https://crm.infosis.tech/crm/deal/details/5481/" TargetMode="External"/><Relationship Id="rId2552" Type="http://schemas.openxmlformats.org/officeDocument/2006/relationships/hyperlink" Target="https://crm.infosis.tech/crm/deal/details/23242/" TargetMode="External"/><Relationship Id="rId871" Type="http://schemas.openxmlformats.org/officeDocument/2006/relationships/hyperlink" Target="https://crm.infosis.tech/crm/deal/details/4635/" TargetMode="External"/><Relationship Id="rId1222" Type="http://schemas.openxmlformats.org/officeDocument/2006/relationships/hyperlink" Target="https://crm.infosis.tech/crm/deal/details/5487/" TargetMode="External"/><Relationship Id="rId2553" Type="http://schemas.openxmlformats.org/officeDocument/2006/relationships/hyperlink" Target="https://crm.infosis.tech/crm/deal/details/23594/" TargetMode="External"/><Relationship Id="rId870" Type="http://schemas.openxmlformats.org/officeDocument/2006/relationships/hyperlink" Target="http://clientes.infosis-arg.com:8090/pages/viewpage.action?pageId=28049828" TargetMode="External"/><Relationship Id="rId1223" Type="http://schemas.openxmlformats.org/officeDocument/2006/relationships/hyperlink" Target="https://crm.infosis.tech/crm/deal/details/5489/" TargetMode="External"/><Relationship Id="rId2554" Type="http://schemas.openxmlformats.org/officeDocument/2006/relationships/hyperlink" Target="https://crm.infosis.tech/crm/deal/details/23536/" TargetMode="External"/><Relationship Id="rId1653" Type="http://schemas.openxmlformats.org/officeDocument/2006/relationships/hyperlink" Target="https://crm.infosis.tech/crm/deal/details/9178/" TargetMode="External"/><Relationship Id="rId2500" Type="http://schemas.openxmlformats.org/officeDocument/2006/relationships/hyperlink" Target="https://crm.infosis.tech/crm/deal/details/22580/?any=details%2F22580%2F" TargetMode="External"/><Relationship Id="rId1654" Type="http://schemas.openxmlformats.org/officeDocument/2006/relationships/hyperlink" Target="https://crm.infosis.tech/crm/deal/details/9058/" TargetMode="External"/><Relationship Id="rId2501" Type="http://schemas.openxmlformats.org/officeDocument/2006/relationships/hyperlink" Target="https://crm.infosis.tech/crm/deal/details/22576/" TargetMode="External"/><Relationship Id="rId1655" Type="http://schemas.openxmlformats.org/officeDocument/2006/relationships/hyperlink" Target="https://crm.infosis.tech/crm/deal/details/9116/" TargetMode="External"/><Relationship Id="rId2502" Type="http://schemas.openxmlformats.org/officeDocument/2006/relationships/hyperlink" Target="https://crm.infosis.tech/crm/deal/details/21846/" TargetMode="External"/><Relationship Id="rId1656" Type="http://schemas.openxmlformats.org/officeDocument/2006/relationships/hyperlink" Target="https://crm.infosis.tech/crm/deal/details/9182/" TargetMode="External"/><Relationship Id="rId2503" Type="http://schemas.openxmlformats.org/officeDocument/2006/relationships/hyperlink" Target="https://crm.infosis.tech/crm/deal/details/22568/?any=details%2F22568%2F" TargetMode="External"/><Relationship Id="rId1657" Type="http://schemas.openxmlformats.org/officeDocument/2006/relationships/hyperlink" Target="https://crm.infosis.tech/crm/deal/details/9184/" TargetMode="External"/><Relationship Id="rId2504" Type="http://schemas.openxmlformats.org/officeDocument/2006/relationships/hyperlink" Target="https://crm.infosis.tech/crm/deal/details/22148/" TargetMode="External"/><Relationship Id="rId1658" Type="http://schemas.openxmlformats.org/officeDocument/2006/relationships/hyperlink" Target="https://crm.infosis.tech/crm/deal/details/9080/" TargetMode="External"/><Relationship Id="rId2505" Type="http://schemas.openxmlformats.org/officeDocument/2006/relationships/hyperlink" Target="https://crm.infosis.tech/crm/deal/details/22454/" TargetMode="External"/><Relationship Id="rId1659" Type="http://schemas.openxmlformats.org/officeDocument/2006/relationships/hyperlink" Target="https://crm.infosis.tech/crm/deal/details/9140/" TargetMode="External"/><Relationship Id="rId2506" Type="http://schemas.openxmlformats.org/officeDocument/2006/relationships/hyperlink" Target="https://crm.infosis.tech/crm/deal/details/22650/" TargetMode="External"/><Relationship Id="rId2507" Type="http://schemas.openxmlformats.org/officeDocument/2006/relationships/hyperlink" Target="https://crm.infosis.tech/crm/deal/details/22502/" TargetMode="External"/><Relationship Id="rId2508" Type="http://schemas.openxmlformats.org/officeDocument/2006/relationships/hyperlink" Target="https://crm.infosis.tech/crm/deal/details/22676/" TargetMode="External"/><Relationship Id="rId829" Type="http://schemas.openxmlformats.org/officeDocument/2006/relationships/hyperlink" Target="https://crm.infosis.tech/crm/deal/details/4397/" TargetMode="External"/><Relationship Id="rId2509" Type="http://schemas.openxmlformats.org/officeDocument/2006/relationships/hyperlink" Target="https://crm.infosis.tech/crm/deal/details/22730/" TargetMode="External"/><Relationship Id="rId828" Type="http://schemas.openxmlformats.org/officeDocument/2006/relationships/hyperlink" Target="http://clientes.infosis-arg.com:8090/display/IMP/REVESTIMIENTOS+MODENA+S.+A.+-+PINTURERIAS+MODENA+-+4607" TargetMode="External"/><Relationship Id="rId827" Type="http://schemas.openxmlformats.org/officeDocument/2006/relationships/hyperlink" Target="https://crm.infosis.tech/crm/deal/details/4607/" TargetMode="External"/><Relationship Id="rId822" Type="http://schemas.openxmlformats.org/officeDocument/2006/relationships/hyperlink" Target="http://clientes.infosis-arg.com:8090/pages/viewpage.action?pageId=28049738" TargetMode="External"/><Relationship Id="rId821" Type="http://schemas.openxmlformats.org/officeDocument/2006/relationships/hyperlink" Target="https://crm.infosis.tech/crm/lead/details/31679/" TargetMode="External"/><Relationship Id="rId820" Type="http://schemas.openxmlformats.org/officeDocument/2006/relationships/hyperlink" Target="http://clientes.infosis-arg.com:8090/pages/viewpage.action?pageId=28049725" TargetMode="External"/><Relationship Id="rId826" Type="http://schemas.openxmlformats.org/officeDocument/2006/relationships/hyperlink" Target="http://clientes.infosis-arg.com:8090/pages/viewpage.action?pageId=28049667" TargetMode="External"/><Relationship Id="rId825" Type="http://schemas.openxmlformats.org/officeDocument/2006/relationships/hyperlink" Target="https://crm.infosis.tech/crm/lead/details/30427/" TargetMode="External"/><Relationship Id="rId824" Type="http://schemas.openxmlformats.org/officeDocument/2006/relationships/hyperlink" Target="http://clientes.infosis-arg.com:8090/display/IMP/GIRGOLAS+DE+LA+GRANJA+SS" TargetMode="External"/><Relationship Id="rId823" Type="http://schemas.openxmlformats.org/officeDocument/2006/relationships/hyperlink" Target="https://crm.infosis.tech/crm/deal/details/4581/" TargetMode="External"/><Relationship Id="rId1650" Type="http://schemas.openxmlformats.org/officeDocument/2006/relationships/hyperlink" Target="https://crm.infosis.tech/crm/deal/details/9020/" TargetMode="External"/><Relationship Id="rId1651" Type="http://schemas.openxmlformats.org/officeDocument/2006/relationships/hyperlink" Target="https://crm.infosis.tech/crm/deal/details/9078/" TargetMode="External"/><Relationship Id="rId1652" Type="http://schemas.openxmlformats.org/officeDocument/2006/relationships/hyperlink" Target="https://crm.infosis.tech/crm/deal/details/9136/" TargetMode="External"/><Relationship Id="rId1642" Type="http://schemas.openxmlformats.org/officeDocument/2006/relationships/hyperlink" Target="https://crm.infosis.tech/crm/deal/details/8938/" TargetMode="External"/><Relationship Id="rId1643" Type="http://schemas.openxmlformats.org/officeDocument/2006/relationships/hyperlink" Target="https://crm.infosis.tech/crm/deal/details/9012/" TargetMode="External"/><Relationship Id="rId1644" Type="http://schemas.openxmlformats.org/officeDocument/2006/relationships/hyperlink" Target="https://crm.infosis.tech/crm/deal/details/8864/" TargetMode="External"/><Relationship Id="rId1645" Type="http://schemas.openxmlformats.org/officeDocument/2006/relationships/hyperlink" Target="https://crm.infosis.tech/crm/deal/details/8920/" TargetMode="External"/><Relationship Id="rId1646" Type="http://schemas.openxmlformats.org/officeDocument/2006/relationships/hyperlink" Target="https://crm.infosis.tech/crm/deal/details/8910/" TargetMode="External"/><Relationship Id="rId1647" Type="http://schemas.openxmlformats.org/officeDocument/2006/relationships/hyperlink" Target="https://crm.infosis.tech/crm/deal/details/9084/" TargetMode="External"/><Relationship Id="rId1648" Type="http://schemas.openxmlformats.org/officeDocument/2006/relationships/hyperlink" Target="https://crm.infosis.tech/crm/deal/details/9090/" TargetMode="External"/><Relationship Id="rId1649" Type="http://schemas.openxmlformats.org/officeDocument/2006/relationships/hyperlink" Target="https://crm.infosis.tech/crm/deal/details/9106/" TargetMode="External"/><Relationship Id="rId819" Type="http://schemas.openxmlformats.org/officeDocument/2006/relationships/hyperlink" Target="https://crm.infosis.tech/crm/deal/details/4577/" TargetMode="External"/><Relationship Id="rId818" Type="http://schemas.openxmlformats.org/officeDocument/2006/relationships/hyperlink" Target="http://clientes.infosis-arg.com:8090/pages/viewpage.action?pageId=28049725" TargetMode="External"/><Relationship Id="rId817" Type="http://schemas.openxmlformats.org/officeDocument/2006/relationships/hyperlink" Target="https://crm.infosis.tech/crm/deal/details/4577/" TargetMode="External"/><Relationship Id="rId816" Type="http://schemas.openxmlformats.org/officeDocument/2006/relationships/hyperlink" Target="http://clientes.infosis-arg.com:8090/pages/viewpage.action?pageId=28049736" TargetMode="External"/><Relationship Id="rId811" Type="http://schemas.openxmlformats.org/officeDocument/2006/relationships/hyperlink" Target="https://crm.infosis.tech/crm/deal/details/4573/" TargetMode="External"/><Relationship Id="rId810" Type="http://schemas.openxmlformats.org/officeDocument/2006/relationships/hyperlink" Target="http://clientes.infosis-arg.com:8090/display/IMP/Distribuidora+Jade+Takem+S.A.+-+E-Commerce+ISHOP+ROLLPIX+%234557" TargetMode="External"/><Relationship Id="rId815" Type="http://schemas.openxmlformats.org/officeDocument/2006/relationships/hyperlink" Target="https://crm.infosis.tech/crm/deal/details/4575/" TargetMode="External"/><Relationship Id="rId814" Type="http://schemas.openxmlformats.org/officeDocument/2006/relationships/hyperlink" Target="http://clientes.infosis-arg.com:8090/pages/viewpage.action?pageId=28049731" TargetMode="External"/><Relationship Id="rId813" Type="http://schemas.openxmlformats.org/officeDocument/2006/relationships/hyperlink" Target="https://crm.infosis.tech/crm/lead/details/31905/" TargetMode="External"/><Relationship Id="rId812" Type="http://schemas.openxmlformats.org/officeDocument/2006/relationships/hyperlink" Target="http://clientes.infosis-arg.com:8090/pages/viewpage.action?pageId=28049723" TargetMode="External"/><Relationship Id="rId1640" Type="http://schemas.openxmlformats.org/officeDocument/2006/relationships/hyperlink" Target="https://crm.infosis.tech/crm/deal/details/8692/" TargetMode="External"/><Relationship Id="rId1641" Type="http://schemas.openxmlformats.org/officeDocument/2006/relationships/hyperlink" Target="https://crm.infosis.tech/crm/deal/details/8928/" TargetMode="External"/><Relationship Id="rId1675" Type="http://schemas.openxmlformats.org/officeDocument/2006/relationships/hyperlink" Target="https://crm.infosis.tech/crm/deal/details/9376/" TargetMode="External"/><Relationship Id="rId2522" Type="http://schemas.openxmlformats.org/officeDocument/2006/relationships/hyperlink" Target="https://crm.infosis.tech/crm/deal/details/22900/" TargetMode="External"/><Relationship Id="rId1676" Type="http://schemas.openxmlformats.org/officeDocument/2006/relationships/hyperlink" Target="https://crm.infosis.tech/crm/deal/details/9384/" TargetMode="External"/><Relationship Id="rId2523" Type="http://schemas.openxmlformats.org/officeDocument/2006/relationships/hyperlink" Target="https://crm.infosis.tech/crm/deal/details/22786/?any=details%2F22786%2F" TargetMode="External"/><Relationship Id="rId1677" Type="http://schemas.openxmlformats.org/officeDocument/2006/relationships/hyperlink" Target="https://crm.infosis.tech/crm/deal/details/9366/" TargetMode="External"/><Relationship Id="rId2524" Type="http://schemas.openxmlformats.org/officeDocument/2006/relationships/hyperlink" Target="https://crm.infosis.tech/crm/deal/details/23042/" TargetMode="External"/><Relationship Id="rId1678" Type="http://schemas.openxmlformats.org/officeDocument/2006/relationships/hyperlink" Target="https://crm.infosis.tech/crm/deal/details/9380/" TargetMode="External"/><Relationship Id="rId2525" Type="http://schemas.openxmlformats.org/officeDocument/2006/relationships/hyperlink" Target="https://crm.infosis.tech/crm/deal/details/23058/" TargetMode="External"/><Relationship Id="rId1679" Type="http://schemas.openxmlformats.org/officeDocument/2006/relationships/hyperlink" Target="https://crm.infosis.tech/crm/deal/details/9398/" TargetMode="External"/><Relationship Id="rId2526" Type="http://schemas.openxmlformats.org/officeDocument/2006/relationships/hyperlink" Target="https://crm.infosis.tech/crm/deal/details/23058/" TargetMode="External"/><Relationship Id="rId2527" Type="http://schemas.openxmlformats.org/officeDocument/2006/relationships/hyperlink" Target="https://crm.infosis.tech/crm/deal/details/23066/" TargetMode="External"/><Relationship Id="rId2528" Type="http://schemas.openxmlformats.org/officeDocument/2006/relationships/hyperlink" Target="https://crm.infosis.tech/crm/deal/details/22934/" TargetMode="External"/><Relationship Id="rId2529" Type="http://schemas.openxmlformats.org/officeDocument/2006/relationships/hyperlink" Target="https://crm.infosis.tech/crm/deal/details/23006/" TargetMode="External"/><Relationship Id="rId849" Type="http://schemas.openxmlformats.org/officeDocument/2006/relationships/hyperlink" Target="https://crm.infosis.tech/crm/deal/details/4311/" TargetMode="External"/><Relationship Id="rId844" Type="http://schemas.openxmlformats.org/officeDocument/2006/relationships/hyperlink" Target="http://clientes.infosis-arg.com:8090/display/IMP/Megamix+-+Bazar+y+Cia+-+Ampl+-+4613" TargetMode="External"/><Relationship Id="rId843" Type="http://schemas.openxmlformats.org/officeDocument/2006/relationships/hyperlink" Target="https://crm.infosis.tech/crm/deal/details/4613/" TargetMode="External"/><Relationship Id="rId842" Type="http://schemas.openxmlformats.org/officeDocument/2006/relationships/hyperlink" Target="http://clientes.infosis-arg.com:8090/pages/viewpage.action?pageId=28049785" TargetMode="External"/><Relationship Id="rId841" Type="http://schemas.openxmlformats.org/officeDocument/2006/relationships/hyperlink" Target="https://crm.infosis.tech/crm/deal/details/4615/?IFRAME_TYPE=SIDE_SLIDER&amp;any=details%2F4615%2F" TargetMode="External"/><Relationship Id="rId848" Type="http://schemas.openxmlformats.org/officeDocument/2006/relationships/hyperlink" Target="http://clientes.infosis-arg.com:8090/pages/viewpage.action?pageId=27623879" TargetMode="External"/><Relationship Id="rId847" Type="http://schemas.openxmlformats.org/officeDocument/2006/relationships/hyperlink" Target="https://crm.infosis.tech/crm/deal/details/4601/" TargetMode="External"/><Relationship Id="rId846" Type="http://schemas.openxmlformats.org/officeDocument/2006/relationships/hyperlink" Target="http://clientes.infosis-arg.com:8090/pages/viewpage.action?pageId=28049807" TargetMode="External"/><Relationship Id="rId845" Type="http://schemas.openxmlformats.org/officeDocument/2006/relationships/hyperlink" Target="https://crm.infosis.tech/crm/deal/details/4617/?IFRAME_TYPE=SIDE_SLIDER&amp;any=details%2F4617%2F" TargetMode="External"/><Relationship Id="rId1670" Type="http://schemas.openxmlformats.org/officeDocument/2006/relationships/hyperlink" Target="https://crm.infosis.tech/crm/deal/details/9280/" TargetMode="External"/><Relationship Id="rId840" Type="http://schemas.openxmlformats.org/officeDocument/2006/relationships/hyperlink" Target="http://clientes.infosis-arg.com:8090/pages/viewpage.action?pageId=28049789" TargetMode="External"/><Relationship Id="rId1671" Type="http://schemas.openxmlformats.org/officeDocument/2006/relationships/hyperlink" Target="https://crm.infosis.tech/crm/deal/details/9220/" TargetMode="External"/><Relationship Id="rId1672" Type="http://schemas.openxmlformats.org/officeDocument/2006/relationships/hyperlink" Target="https://crm.infosis.tech/crm/deal/details/9278/" TargetMode="External"/><Relationship Id="rId1673" Type="http://schemas.openxmlformats.org/officeDocument/2006/relationships/hyperlink" Target="https://crm.infosis.tech/crm/deal/details/9338/" TargetMode="External"/><Relationship Id="rId2520" Type="http://schemas.openxmlformats.org/officeDocument/2006/relationships/hyperlink" Target="https://crm.infosis.tech/crm/deal/details/22790/?any=details%2F22790%2F&amp;current_fieldset=SOCSERV" TargetMode="External"/><Relationship Id="rId1674" Type="http://schemas.openxmlformats.org/officeDocument/2006/relationships/hyperlink" Target="https://crm.infosis.tech/crm/deal/details/9326/" TargetMode="External"/><Relationship Id="rId2521" Type="http://schemas.openxmlformats.org/officeDocument/2006/relationships/hyperlink" Target="https://crm.infosis.tech/crm/deal/details/22948/" TargetMode="External"/><Relationship Id="rId1664" Type="http://schemas.openxmlformats.org/officeDocument/2006/relationships/hyperlink" Target="https://crm.infosis.tech/crm/deal/details/9226/" TargetMode="External"/><Relationship Id="rId2511" Type="http://schemas.openxmlformats.org/officeDocument/2006/relationships/hyperlink" Target="https://crm.infosis.tech/crm/deal/details/22694/" TargetMode="External"/><Relationship Id="rId1665" Type="http://schemas.openxmlformats.org/officeDocument/2006/relationships/hyperlink" Target="https://crm.infosis.tech/crm/deal/details/9252/" TargetMode="External"/><Relationship Id="rId2512" Type="http://schemas.openxmlformats.org/officeDocument/2006/relationships/hyperlink" Target="https://crm.infosis.tech/crm/deal/details/22780/" TargetMode="External"/><Relationship Id="rId1666" Type="http://schemas.openxmlformats.org/officeDocument/2006/relationships/hyperlink" Target="https://crm.infosis.tech/crm/deal/details/9234/" TargetMode="External"/><Relationship Id="rId2513" Type="http://schemas.openxmlformats.org/officeDocument/2006/relationships/hyperlink" Target="https://crm.infosis.tech/crm/deal/details/21188/" TargetMode="External"/><Relationship Id="rId1667" Type="http://schemas.openxmlformats.org/officeDocument/2006/relationships/hyperlink" Target="https://crm.infosis.tech/crm/deal/details/9302/" TargetMode="External"/><Relationship Id="rId2514" Type="http://schemas.openxmlformats.org/officeDocument/2006/relationships/hyperlink" Target="https://crm.infosis.tech/crm/deal/details/22092/" TargetMode="External"/><Relationship Id="rId1668" Type="http://schemas.openxmlformats.org/officeDocument/2006/relationships/hyperlink" Target="https://crm.infosis.tech/crm/deal/details/9316/" TargetMode="External"/><Relationship Id="rId2515" Type="http://schemas.openxmlformats.org/officeDocument/2006/relationships/hyperlink" Target="https://crm.infosis.tech/crm/deal/details/22092/" TargetMode="External"/><Relationship Id="rId1669" Type="http://schemas.openxmlformats.org/officeDocument/2006/relationships/hyperlink" Target="https://crm.infosis.tech/crm/deal/details/9328/" TargetMode="External"/><Relationship Id="rId2516" Type="http://schemas.openxmlformats.org/officeDocument/2006/relationships/hyperlink" Target="https://crm.infosis.tech/crm/deal/details/22686/" TargetMode="External"/><Relationship Id="rId2517" Type="http://schemas.openxmlformats.org/officeDocument/2006/relationships/hyperlink" Target="https://crm.infosis.tech/crm/deal/details/22808/" TargetMode="External"/><Relationship Id="rId2518" Type="http://schemas.openxmlformats.org/officeDocument/2006/relationships/hyperlink" Target="https://crm.infosis.tech/crm/deal/details/20408/?any=details%2F20408%2F" TargetMode="External"/><Relationship Id="rId2519" Type="http://schemas.openxmlformats.org/officeDocument/2006/relationships/hyperlink" Target="https://crm.infosis.tech/crm/deal/details/21504/?any=details%2F21504%2F" TargetMode="External"/><Relationship Id="rId839" Type="http://schemas.openxmlformats.org/officeDocument/2006/relationships/hyperlink" Target="https://crm.infosis.tech/crm/deal/details/4611/" TargetMode="External"/><Relationship Id="rId838" Type="http://schemas.openxmlformats.org/officeDocument/2006/relationships/hyperlink" Target="http://clientes.infosis-arg.com:8090/pages/viewpage.action?pageId=28049787" TargetMode="External"/><Relationship Id="rId833" Type="http://schemas.openxmlformats.org/officeDocument/2006/relationships/hyperlink" Target="https://crm.infosis.tech/crm/deal/details/4585/" TargetMode="External"/><Relationship Id="rId832" Type="http://schemas.openxmlformats.org/officeDocument/2006/relationships/hyperlink" Target="http://clientes.infosis-arg.com:8090/display/IMP/Diego+German+Sauco_OC" TargetMode="External"/><Relationship Id="rId831" Type="http://schemas.openxmlformats.org/officeDocument/2006/relationships/hyperlink" Target="https://crm.infosis.tech/crm/deal/details/4333/" TargetMode="External"/><Relationship Id="rId830" Type="http://schemas.openxmlformats.org/officeDocument/2006/relationships/hyperlink" Target="http://clientes.infosis-arg.com:8090/display/IMP/Campelo+Mario+Alberto_OC" TargetMode="External"/><Relationship Id="rId837" Type="http://schemas.openxmlformats.org/officeDocument/2006/relationships/hyperlink" Target="https://crm.infosis.tech/crm/deal/details/4609/" TargetMode="External"/><Relationship Id="rId836" Type="http://schemas.openxmlformats.org/officeDocument/2006/relationships/hyperlink" Target="http://clientes.infosis-arg.com:8090/pages/viewpage.action?pageId=28049729" TargetMode="External"/><Relationship Id="rId835" Type="http://schemas.openxmlformats.org/officeDocument/2006/relationships/hyperlink" Target="https://crm.infosis.tech/crm/deal/details/4569/" TargetMode="External"/><Relationship Id="rId834" Type="http://schemas.openxmlformats.org/officeDocument/2006/relationships/hyperlink" Target="http://clientes.infosis-arg.com:8090/display/IMP/FELITERE+ARG+SA+-+GIANTOYS+-+4585" TargetMode="External"/><Relationship Id="rId1660" Type="http://schemas.openxmlformats.org/officeDocument/2006/relationships/hyperlink" Target="https://crm.infosis.tech/crm/deal/details/9160/" TargetMode="External"/><Relationship Id="rId1661" Type="http://schemas.openxmlformats.org/officeDocument/2006/relationships/hyperlink" Target="https://crm.infosis.tech/crm/deal/details/9054/" TargetMode="External"/><Relationship Id="rId1662" Type="http://schemas.openxmlformats.org/officeDocument/2006/relationships/hyperlink" Target="https://crm.infosis.tech/crm/deal/details/9222/" TargetMode="External"/><Relationship Id="rId1663" Type="http://schemas.openxmlformats.org/officeDocument/2006/relationships/hyperlink" Target="https://crm.infosis.tech/crm/deal/details/9114/" TargetMode="External"/><Relationship Id="rId2510" Type="http://schemas.openxmlformats.org/officeDocument/2006/relationships/hyperlink" Target="https://crm.infosis.tech/crm/deal/details/22674/" TargetMode="External"/><Relationship Id="rId2148" Type="http://schemas.openxmlformats.org/officeDocument/2006/relationships/hyperlink" Target="https://crm.infosis.tech/crm/deal/details/16256/" TargetMode="External"/><Relationship Id="rId2149" Type="http://schemas.openxmlformats.org/officeDocument/2006/relationships/hyperlink" Target="https://crm.infosis.tech/crm/deal/details/10644/" TargetMode="External"/><Relationship Id="rId469" Type="http://schemas.openxmlformats.org/officeDocument/2006/relationships/hyperlink" Target="http://clientes.infosis-arg.com:8090/display/IMP/FRANFELIRENU+S.R.L.+%234209" TargetMode="External"/><Relationship Id="rId468" Type="http://schemas.openxmlformats.org/officeDocument/2006/relationships/hyperlink" Target="https://crm.infosis.tech/crm/deal/details/4209/" TargetMode="External"/><Relationship Id="rId467" Type="http://schemas.openxmlformats.org/officeDocument/2006/relationships/hyperlink" Target="http://clientes.infosis-arg.com:8090/display/IMP/BONANNI+MARIA+DEL+CARMEN" TargetMode="External"/><Relationship Id="rId1290" Type="http://schemas.openxmlformats.org/officeDocument/2006/relationships/hyperlink" Target="https://crm.infosis.tech/crm/deal/details/5968/" TargetMode="External"/><Relationship Id="rId1291" Type="http://schemas.openxmlformats.org/officeDocument/2006/relationships/hyperlink" Target="https://crm.infosis.tech/crm/deal/details/5976/" TargetMode="External"/><Relationship Id="rId1292" Type="http://schemas.openxmlformats.org/officeDocument/2006/relationships/hyperlink" Target="https://crm.infosis.tech/crm/deal/details/5982/" TargetMode="External"/><Relationship Id="rId462" Type="http://schemas.openxmlformats.org/officeDocument/2006/relationships/hyperlink" Target="https://crm.infosis.tech/crm/deal/details/4189/" TargetMode="External"/><Relationship Id="rId1293" Type="http://schemas.openxmlformats.org/officeDocument/2006/relationships/hyperlink" Target="https://crm.infosis.tech/crm/deal/details/5986/" TargetMode="External"/><Relationship Id="rId2140" Type="http://schemas.openxmlformats.org/officeDocument/2006/relationships/hyperlink" Target="https://crm.infosis.tech/crm/deal/details/16126/" TargetMode="External"/><Relationship Id="rId461" Type="http://schemas.openxmlformats.org/officeDocument/2006/relationships/hyperlink" Target="http://clientes.infosis-arg.com:8090/display/IMP/Ronde+SRL" TargetMode="External"/><Relationship Id="rId1294" Type="http://schemas.openxmlformats.org/officeDocument/2006/relationships/hyperlink" Target="https://crm.infosis.tech/crm/deal/details/5984/" TargetMode="External"/><Relationship Id="rId2141" Type="http://schemas.openxmlformats.org/officeDocument/2006/relationships/hyperlink" Target="https://crm.infosis.tech/crm/deal/details/16138/" TargetMode="External"/><Relationship Id="rId460" Type="http://schemas.openxmlformats.org/officeDocument/2006/relationships/hyperlink" Target="https://crm.infosis.tech/crm/deal/details/4187/" TargetMode="External"/><Relationship Id="rId1295" Type="http://schemas.openxmlformats.org/officeDocument/2006/relationships/hyperlink" Target="https://crm.infosis.tech/crm/deal/details/5992/" TargetMode="External"/><Relationship Id="rId2142" Type="http://schemas.openxmlformats.org/officeDocument/2006/relationships/hyperlink" Target="https://crm.infosis.tech/crm/deal/details/16138/" TargetMode="External"/><Relationship Id="rId1296" Type="http://schemas.openxmlformats.org/officeDocument/2006/relationships/hyperlink" Target="https://crm.infosis.tech/crm/deal/details/5998/" TargetMode="External"/><Relationship Id="rId2143" Type="http://schemas.openxmlformats.org/officeDocument/2006/relationships/hyperlink" Target="https://crm.infosis.tech/crm/deal/details/16134/" TargetMode="External"/><Relationship Id="rId466" Type="http://schemas.openxmlformats.org/officeDocument/2006/relationships/hyperlink" Target="https://crm.infosis.tech/crm/deal/details/4203/" TargetMode="External"/><Relationship Id="rId1297" Type="http://schemas.openxmlformats.org/officeDocument/2006/relationships/hyperlink" Target="https://crm.infosis.tech/crm/deal/details/6010/" TargetMode="External"/><Relationship Id="rId2144" Type="http://schemas.openxmlformats.org/officeDocument/2006/relationships/hyperlink" Target="https://crm.infosis.tech/crm/deal/details/16172/" TargetMode="External"/><Relationship Id="rId465" Type="http://schemas.openxmlformats.org/officeDocument/2006/relationships/hyperlink" Target="http://clientes.infosis-arg.com:8090/display/IMP/LEAEL+S.R.L.+-+%23+4199" TargetMode="External"/><Relationship Id="rId1298" Type="http://schemas.openxmlformats.org/officeDocument/2006/relationships/hyperlink" Target="https://crm.infosis.tech/crm/deal/details/6014/" TargetMode="External"/><Relationship Id="rId2145" Type="http://schemas.openxmlformats.org/officeDocument/2006/relationships/hyperlink" Target="https://crm.infosis.tech/crm/deal/details/15682/" TargetMode="External"/><Relationship Id="rId464" Type="http://schemas.openxmlformats.org/officeDocument/2006/relationships/hyperlink" Target="https://crm.infosis.tech/crm/deal/details/4199/" TargetMode="External"/><Relationship Id="rId1299" Type="http://schemas.openxmlformats.org/officeDocument/2006/relationships/hyperlink" Target="https://crm.infosis.tech/crm/deal/details/6016/" TargetMode="External"/><Relationship Id="rId2146" Type="http://schemas.openxmlformats.org/officeDocument/2006/relationships/hyperlink" Target="https://crm.infosis.tech/crm/deal/details/16212/" TargetMode="External"/><Relationship Id="rId463" Type="http://schemas.openxmlformats.org/officeDocument/2006/relationships/hyperlink" Target="http://clientes.infosis-arg.com:8090/display/IMP/KCE+LOPEZ+ARIEL+HERNAN" TargetMode="External"/><Relationship Id="rId2147" Type="http://schemas.openxmlformats.org/officeDocument/2006/relationships/hyperlink" Target="https://crm.infosis.tech/crm/deal/details/16068/" TargetMode="External"/><Relationship Id="rId2137" Type="http://schemas.openxmlformats.org/officeDocument/2006/relationships/hyperlink" Target="https://crm.infosis.tech/crm/deal/details/16136/" TargetMode="External"/><Relationship Id="rId2138" Type="http://schemas.openxmlformats.org/officeDocument/2006/relationships/hyperlink" Target="https://crm.infosis.tech/crm/deal/details/15996/" TargetMode="External"/><Relationship Id="rId2139" Type="http://schemas.openxmlformats.org/officeDocument/2006/relationships/hyperlink" Target="https://crm.infosis.tech/crm/deal/details/16024/" TargetMode="External"/><Relationship Id="rId459" Type="http://schemas.openxmlformats.org/officeDocument/2006/relationships/hyperlink" Target="http://clientes.infosis-arg.com:8090/pages/viewpage.action?pageId=27623650" TargetMode="External"/><Relationship Id="rId458" Type="http://schemas.openxmlformats.org/officeDocument/2006/relationships/hyperlink" Target="https://crm.infosis.tech/crm/deal/details/3887/" TargetMode="External"/><Relationship Id="rId457" Type="http://schemas.openxmlformats.org/officeDocument/2006/relationships/hyperlink" Target="http://clientes.infosis-arg.com:8090/pages/viewpage.action?pageId=27623640" TargetMode="External"/><Relationship Id="rId456" Type="http://schemas.openxmlformats.org/officeDocument/2006/relationships/hyperlink" Target="https://crm.infosis.tech/crm/deal/details/4153/" TargetMode="External"/><Relationship Id="rId1280" Type="http://schemas.openxmlformats.org/officeDocument/2006/relationships/hyperlink" Target="https://crm.infosis.tech/crm/deal/details/5872/" TargetMode="External"/><Relationship Id="rId1281" Type="http://schemas.openxmlformats.org/officeDocument/2006/relationships/hyperlink" Target="https://crm.infosis.tech/crm/deal/details/5876/" TargetMode="External"/><Relationship Id="rId451" Type="http://schemas.openxmlformats.org/officeDocument/2006/relationships/hyperlink" Target="http://clientes.infosis-arg.com:8090/display/IMP/Ampliacion+King+Bed" TargetMode="External"/><Relationship Id="rId1282" Type="http://schemas.openxmlformats.org/officeDocument/2006/relationships/hyperlink" Target="https://crm.infosis.tech/crm/deal/details/5888/" TargetMode="External"/><Relationship Id="rId450" Type="http://schemas.openxmlformats.org/officeDocument/2006/relationships/hyperlink" Target="https://crm.infosis.tech/crm/deal/details/4141/" TargetMode="External"/><Relationship Id="rId1283" Type="http://schemas.openxmlformats.org/officeDocument/2006/relationships/hyperlink" Target="https://crm.infosis.tech/crm/deal/details/5894/" TargetMode="External"/><Relationship Id="rId2130" Type="http://schemas.openxmlformats.org/officeDocument/2006/relationships/hyperlink" Target="https://crm.infosis.tech/crm/deal/details/16060/" TargetMode="External"/><Relationship Id="rId1284" Type="http://schemas.openxmlformats.org/officeDocument/2006/relationships/hyperlink" Target="https://crm.infosis.tech/crm/deal/details/5900/" TargetMode="External"/><Relationship Id="rId2131" Type="http://schemas.openxmlformats.org/officeDocument/2006/relationships/hyperlink" Target="https://crm.infosis.tech/crm/deal/details/16060/" TargetMode="External"/><Relationship Id="rId1285" Type="http://schemas.openxmlformats.org/officeDocument/2006/relationships/hyperlink" Target="https://crm.infosis.tech/crm/deal/details/5906/" TargetMode="External"/><Relationship Id="rId2132" Type="http://schemas.openxmlformats.org/officeDocument/2006/relationships/hyperlink" Target="https://crm.infosis.tech/crm/deal/details/15976/" TargetMode="External"/><Relationship Id="rId455" Type="http://schemas.openxmlformats.org/officeDocument/2006/relationships/hyperlink" Target="http://clientes.infosis-arg.com:8090/pages/viewpage.action?pageId=27623634" TargetMode="External"/><Relationship Id="rId1286" Type="http://schemas.openxmlformats.org/officeDocument/2006/relationships/hyperlink" Target="https://crm.infosis.tech/crm/deal/details/5912/" TargetMode="External"/><Relationship Id="rId2133" Type="http://schemas.openxmlformats.org/officeDocument/2006/relationships/hyperlink" Target="https://crm.infosis.tech/crm/deal/details/16086/" TargetMode="External"/><Relationship Id="rId454" Type="http://schemas.openxmlformats.org/officeDocument/2006/relationships/hyperlink" Target="https://crm.infosis.tech/crm/deal/details/4145/" TargetMode="External"/><Relationship Id="rId1287" Type="http://schemas.openxmlformats.org/officeDocument/2006/relationships/hyperlink" Target="https://crm.infosis.tech/crm/deal/details/5914/" TargetMode="External"/><Relationship Id="rId2134" Type="http://schemas.openxmlformats.org/officeDocument/2006/relationships/hyperlink" Target="https://crm.infosis.tech/crm/deal/details/15820/" TargetMode="External"/><Relationship Id="rId453" Type="http://schemas.openxmlformats.org/officeDocument/2006/relationships/hyperlink" Target="http://clientes.infosis-arg.com:8090/pages/viewpage.action?pageId=27623626" TargetMode="External"/><Relationship Id="rId1288" Type="http://schemas.openxmlformats.org/officeDocument/2006/relationships/hyperlink" Target="https://crm.infosis.tech/crm/deal/details/5958/" TargetMode="External"/><Relationship Id="rId2135" Type="http://schemas.openxmlformats.org/officeDocument/2006/relationships/hyperlink" Target="https://crm.infosis.tech/crm/deal/details/15962/" TargetMode="External"/><Relationship Id="rId452" Type="http://schemas.openxmlformats.org/officeDocument/2006/relationships/hyperlink" Target="https://crm.infosis.tech/crm/deal/details/4143/" TargetMode="External"/><Relationship Id="rId1289" Type="http://schemas.openxmlformats.org/officeDocument/2006/relationships/hyperlink" Target="https://crm.infosis.tech/crm/deal/details/5964/" TargetMode="External"/><Relationship Id="rId2136" Type="http://schemas.openxmlformats.org/officeDocument/2006/relationships/hyperlink" Target="https://crm.infosis.tech/crm/deal/details/16034/" TargetMode="External"/><Relationship Id="rId491" Type="http://schemas.openxmlformats.org/officeDocument/2006/relationships/hyperlink" Target="http://clientes.infosis-arg.com:8090/display/IMP/LEAEL+S.R.L.+-+%234245" TargetMode="External"/><Relationship Id="rId490" Type="http://schemas.openxmlformats.org/officeDocument/2006/relationships/hyperlink" Target="https://crm.infosis.tech/crm/deal/details/4245/" TargetMode="External"/><Relationship Id="rId489" Type="http://schemas.openxmlformats.org/officeDocument/2006/relationships/hyperlink" Target="http://clientes.infosis-arg.com:8090/pages/viewpage.action?pageId=27623734" TargetMode="External"/><Relationship Id="rId2160" Type="http://schemas.openxmlformats.org/officeDocument/2006/relationships/hyperlink" Target="https://crm.infosis.tech/crm/deal/details/16398/" TargetMode="External"/><Relationship Id="rId2161" Type="http://schemas.openxmlformats.org/officeDocument/2006/relationships/hyperlink" Target="https://crm.infosis.tech/crm/deal/details/16370/" TargetMode="External"/><Relationship Id="rId484" Type="http://schemas.openxmlformats.org/officeDocument/2006/relationships/hyperlink" Target="https://crm.infosis.tech/crm/deal/details/4237/" TargetMode="External"/><Relationship Id="rId2162" Type="http://schemas.openxmlformats.org/officeDocument/2006/relationships/hyperlink" Target="https://crm.infosis.tech/crm/deal/details/16468/" TargetMode="External"/><Relationship Id="rId483" Type="http://schemas.openxmlformats.org/officeDocument/2006/relationships/hyperlink" Target="http://clientes.infosis-arg.com:8090/pages/viewpage.action?pageId=27623724" TargetMode="External"/><Relationship Id="rId2163" Type="http://schemas.openxmlformats.org/officeDocument/2006/relationships/hyperlink" Target="https://crm.infosis.tech/crm/deal/details/16146/" TargetMode="External"/><Relationship Id="rId482" Type="http://schemas.openxmlformats.org/officeDocument/2006/relationships/hyperlink" Target="https://crm.infosis.tech/crm/deal/details/4235/" TargetMode="External"/><Relationship Id="rId2164" Type="http://schemas.openxmlformats.org/officeDocument/2006/relationships/hyperlink" Target="https://crm.infosis.tech/crm/deal/details/16504/" TargetMode="External"/><Relationship Id="rId481" Type="http://schemas.openxmlformats.org/officeDocument/2006/relationships/hyperlink" Target="http://clientes.infosis-arg.com:8090/pages/viewpage.action?pageId=27623715" TargetMode="External"/><Relationship Id="rId2165" Type="http://schemas.openxmlformats.org/officeDocument/2006/relationships/hyperlink" Target="https://crm.infosis.tech/crm/deal/details/16506/" TargetMode="External"/><Relationship Id="rId488" Type="http://schemas.openxmlformats.org/officeDocument/2006/relationships/hyperlink" Target="https://crm.infosis.tech/crm/deal/details/4243/" TargetMode="External"/><Relationship Id="rId2166" Type="http://schemas.openxmlformats.org/officeDocument/2006/relationships/hyperlink" Target="https://crm.infosis.tech/crm/deal/details/16454/" TargetMode="External"/><Relationship Id="rId487" Type="http://schemas.openxmlformats.org/officeDocument/2006/relationships/hyperlink" Target="http://clientes.infosis-arg.com:8090/pages/viewpage.action?pageId=27623732" TargetMode="External"/><Relationship Id="rId2167" Type="http://schemas.openxmlformats.org/officeDocument/2006/relationships/hyperlink" Target="https://crm.infosis.tech/crm/deal/details/15148/" TargetMode="External"/><Relationship Id="rId486" Type="http://schemas.openxmlformats.org/officeDocument/2006/relationships/hyperlink" Target="https://crm.infosis.tech/crm/deal/details/4241/" TargetMode="External"/><Relationship Id="rId2168" Type="http://schemas.openxmlformats.org/officeDocument/2006/relationships/hyperlink" Target="https://crm.infosis.tech/crm/deal/details/16362/?any=details%2F16362%2F" TargetMode="External"/><Relationship Id="rId485" Type="http://schemas.openxmlformats.org/officeDocument/2006/relationships/hyperlink" Target="http://clientes.infosis-arg.com:8090/display/IMP/Bertoia+Claudio+-+Lactiques+-+%234237" TargetMode="External"/><Relationship Id="rId2169" Type="http://schemas.openxmlformats.org/officeDocument/2006/relationships/hyperlink" Target="https://crm.infosis.tech/crm/deal/details/16552/" TargetMode="External"/><Relationship Id="rId2159" Type="http://schemas.openxmlformats.org/officeDocument/2006/relationships/hyperlink" Target="https://crm.infosis.tech/crm/deal/details/11912/" TargetMode="External"/><Relationship Id="rId480" Type="http://schemas.openxmlformats.org/officeDocument/2006/relationships/hyperlink" Target="https://crm.infosis.tech/crm/deal/details/4233/" TargetMode="External"/><Relationship Id="rId479" Type="http://schemas.openxmlformats.org/officeDocument/2006/relationships/hyperlink" Target="http://clientes.infosis-arg.com:8090/display/IMP/La+Quesera+del+Sur+-+MENDIZABAL+JUAN+FRANCISCO" TargetMode="External"/><Relationship Id="rId478" Type="http://schemas.openxmlformats.org/officeDocument/2006/relationships/hyperlink" Target="https://crm.infosis.tech/crm/deal/details/4229/" TargetMode="External"/><Relationship Id="rId2150" Type="http://schemas.openxmlformats.org/officeDocument/2006/relationships/hyperlink" Target="https://crm.infosis.tech/crm/deal/details/16262/" TargetMode="External"/><Relationship Id="rId473" Type="http://schemas.openxmlformats.org/officeDocument/2006/relationships/hyperlink" Target="http://clientes.infosis-arg.com:8090/pages/viewpage.action?pageId=27623677" TargetMode="External"/><Relationship Id="rId2151" Type="http://schemas.openxmlformats.org/officeDocument/2006/relationships/hyperlink" Target="https://crm.infosis.tech/crm/deal/details/16260/" TargetMode="External"/><Relationship Id="rId472" Type="http://schemas.openxmlformats.org/officeDocument/2006/relationships/hyperlink" Target="https://crm.infosis.tech/crm/deal/details/4207/" TargetMode="External"/><Relationship Id="rId2152" Type="http://schemas.openxmlformats.org/officeDocument/2006/relationships/hyperlink" Target="https://crm.infosis.tech/crm/deal/details/16104/" TargetMode="External"/><Relationship Id="rId471" Type="http://schemas.openxmlformats.org/officeDocument/2006/relationships/hyperlink" Target="http://clientes.infosis-arg.com:8090/display/IMP/KAL+SRL_OC" TargetMode="External"/><Relationship Id="rId2153" Type="http://schemas.openxmlformats.org/officeDocument/2006/relationships/hyperlink" Target="https://crm.infosis.tech/crm/deal/details/16316/" TargetMode="External"/><Relationship Id="rId470" Type="http://schemas.openxmlformats.org/officeDocument/2006/relationships/hyperlink" Target="https://crm.infosis.tech/crm/lead/details/26247/" TargetMode="External"/><Relationship Id="rId2154" Type="http://schemas.openxmlformats.org/officeDocument/2006/relationships/hyperlink" Target="https://crm.infosis.tech/crm/deal/details/16272/" TargetMode="External"/><Relationship Id="rId477" Type="http://schemas.openxmlformats.org/officeDocument/2006/relationships/hyperlink" Target="http://clientes.infosis-arg.com:8090/display/IMP/VICENTE+FACUNDO+ALBERTO_OC" TargetMode="External"/><Relationship Id="rId2155" Type="http://schemas.openxmlformats.org/officeDocument/2006/relationships/hyperlink" Target="https://crm.infosis.tech/crm/deal/details/16322/" TargetMode="External"/><Relationship Id="rId476" Type="http://schemas.openxmlformats.org/officeDocument/2006/relationships/hyperlink" Target="https://crm.infosis.tech/crm/deal/details/4227/" TargetMode="External"/><Relationship Id="rId2156" Type="http://schemas.openxmlformats.org/officeDocument/2006/relationships/hyperlink" Target="https://crm.infosis.tech/crm/deal/details/16308/" TargetMode="External"/><Relationship Id="rId475" Type="http://schemas.openxmlformats.org/officeDocument/2006/relationships/hyperlink" Target="http://clientes.infosis-arg.com:8090/display/IMP/PCP+DE+LEON+MEDINA+SRL" TargetMode="External"/><Relationship Id="rId2157" Type="http://schemas.openxmlformats.org/officeDocument/2006/relationships/hyperlink" Target="https://crm.infosis.tech/crm/deal/details/16410/?any=details%2F16410%2F" TargetMode="External"/><Relationship Id="rId474" Type="http://schemas.openxmlformats.org/officeDocument/2006/relationships/hyperlink" Target="https://crm.infosis.tech/crm/deal/details/2126/" TargetMode="External"/><Relationship Id="rId2158" Type="http://schemas.openxmlformats.org/officeDocument/2006/relationships/hyperlink" Target="https://crm.infosis.tech/crm/deal/details/16364/." TargetMode="External"/><Relationship Id="rId1257" Type="http://schemas.openxmlformats.org/officeDocument/2006/relationships/hyperlink" Target="https://crm.infosis.tech/crm/deal/details/5708/" TargetMode="External"/><Relationship Id="rId2104" Type="http://schemas.openxmlformats.org/officeDocument/2006/relationships/hyperlink" Target="https://crm.infosis.tech/crm/deal/details/15684/" TargetMode="External"/><Relationship Id="rId2588" Type="http://schemas.openxmlformats.org/officeDocument/2006/relationships/hyperlink" Target="https://crm.infosis.tech/crm/deal/details/23946/" TargetMode="External"/><Relationship Id="rId1258" Type="http://schemas.openxmlformats.org/officeDocument/2006/relationships/hyperlink" Target="https://crm.infosis.tech/crm/lead/details/36233/" TargetMode="External"/><Relationship Id="rId2105" Type="http://schemas.openxmlformats.org/officeDocument/2006/relationships/hyperlink" Target="https://crm.infosis.tech/crm/deal/details/13992/" TargetMode="External"/><Relationship Id="rId2589" Type="http://schemas.openxmlformats.org/officeDocument/2006/relationships/hyperlink" Target="https://crm.infosis.tech/crm/deal/details/24090/" TargetMode="External"/><Relationship Id="rId1259" Type="http://schemas.openxmlformats.org/officeDocument/2006/relationships/hyperlink" Target="https://crm.infosis.tech/crm/deal/details/5714/" TargetMode="External"/><Relationship Id="rId2106" Type="http://schemas.openxmlformats.org/officeDocument/2006/relationships/hyperlink" Target="https://crm.infosis.tech/crm/deal/details/13992/" TargetMode="External"/><Relationship Id="rId2107" Type="http://schemas.openxmlformats.org/officeDocument/2006/relationships/hyperlink" Target="https://crm.infosis.tech/crm/deal/details/13992/" TargetMode="External"/><Relationship Id="rId2108" Type="http://schemas.openxmlformats.org/officeDocument/2006/relationships/hyperlink" Target="https://crm.infosis.tech/crm/deal/details/15796/" TargetMode="External"/><Relationship Id="rId2109" Type="http://schemas.openxmlformats.org/officeDocument/2006/relationships/hyperlink" Target="https://crm.infosis.tech/crm/deal/details/15718/" TargetMode="External"/><Relationship Id="rId426" Type="http://schemas.openxmlformats.org/officeDocument/2006/relationships/hyperlink" Target="https://crm.infosis.tech/crm/deal/details/4099/" TargetMode="External"/><Relationship Id="rId425" Type="http://schemas.openxmlformats.org/officeDocument/2006/relationships/hyperlink" Target="http://clientes.infosis-arg.com:8090/display/IMP/De+Blasis+Luis+S.%2C+Segura+Dario+A.+Y+Costa+Gustavo+S.H+%234119" TargetMode="External"/><Relationship Id="rId424" Type="http://schemas.openxmlformats.org/officeDocument/2006/relationships/hyperlink" Target="https://crm.infosis.tech/crm/deal/details/4119/" TargetMode="External"/><Relationship Id="rId423" Type="http://schemas.openxmlformats.org/officeDocument/2006/relationships/hyperlink" Target="http://clientes.infosis-arg.com:8090/display/IMP/REYNOSO+MARCELA+ESTER_OC" TargetMode="External"/><Relationship Id="rId429" Type="http://schemas.openxmlformats.org/officeDocument/2006/relationships/hyperlink" Target="http://clientes.infosis-arg.com:8090/display/IMP/Pinturerias+del+Maestro+%234121" TargetMode="External"/><Relationship Id="rId428" Type="http://schemas.openxmlformats.org/officeDocument/2006/relationships/hyperlink" Target="https://crm.infosis.tech/crm/deal/details/4121/" TargetMode="External"/><Relationship Id="rId427" Type="http://schemas.openxmlformats.org/officeDocument/2006/relationships/hyperlink" Target="http://clientes.infosis-arg.com:8090/pages/viewpage.action?pageId=27623578" TargetMode="External"/><Relationship Id="rId2580" Type="http://schemas.openxmlformats.org/officeDocument/2006/relationships/hyperlink" Target="https://crm.infosis.tech/crm/deal/details/23950/" TargetMode="External"/><Relationship Id="rId1250" Type="http://schemas.openxmlformats.org/officeDocument/2006/relationships/hyperlink" Target="https://crm.infosis.tech/crm/deal/details/5658/" TargetMode="External"/><Relationship Id="rId2581" Type="http://schemas.openxmlformats.org/officeDocument/2006/relationships/hyperlink" Target="https://crm.infosis.tech/crm/deal/details/23878/" TargetMode="External"/><Relationship Id="rId1251" Type="http://schemas.openxmlformats.org/officeDocument/2006/relationships/hyperlink" Target="https://crm.infosis.tech/crm/deal/details/5662/" TargetMode="External"/><Relationship Id="rId2582" Type="http://schemas.openxmlformats.org/officeDocument/2006/relationships/hyperlink" Target="https://crm.infosis.tech/crm/deal/details/23990/" TargetMode="External"/><Relationship Id="rId1252" Type="http://schemas.openxmlformats.org/officeDocument/2006/relationships/hyperlink" Target="https://crm.infosis.tech/crm/deal/details/5674/" TargetMode="External"/><Relationship Id="rId2583" Type="http://schemas.openxmlformats.org/officeDocument/2006/relationships/hyperlink" Target="https://crm.infosis.tech/crm/deal/details/23964/" TargetMode="External"/><Relationship Id="rId422" Type="http://schemas.openxmlformats.org/officeDocument/2006/relationships/hyperlink" Target="http://clientes.infosis-arg.com:8090/pages/viewpage.action?pageId=27623558" TargetMode="External"/><Relationship Id="rId1253" Type="http://schemas.openxmlformats.org/officeDocument/2006/relationships/hyperlink" Target="https://crm.infosis.tech/crm/deal/details/5670/" TargetMode="External"/><Relationship Id="rId2100" Type="http://schemas.openxmlformats.org/officeDocument/2006/relationships/hyperlink" Target="https://crm.infosis.tech/crm/deal/details/15642/" TargetMode="External"/><Relationship Id="rId2584" Type="http://schemas.openxmlformats.org/officeDocument/2006/relationships/hyperlink" Target="https://crm.infosis.tech/crm/deal/details/24036/" TargetMode="External"/><Relationship Id="rId421" Type="http://schemas.openxmlformats.org/officeDocument/2006/relationships/hyperlink" Target="https://crm.infosis.tech/crm/deal/details/4113/" TargetMode="External"/><Relationship Id="rId1254" Type="http://schemas.openxmlformats.org/officeDocument/2006/relationships/hyperlink" Target="https://crm.infosis.tech/crm/deal/details/5686/" TargetMode="External"/><Relationship Id="rId2101" Type="http://schemas.openxmlformats.org/officeDocument/2006/relationships/hyperlink" Target="https://crm.infosis.tech/crm/deal/details/15512" TargetMode="External"/><Relationship Id="rId2585" Type="http://schemas.openxmlformats.org/officeDocument/2006/relationships/hyperlink" Target="https://crm.infosis.tech/crm/deal/details/23494/" TargetMode="External"/><Relationship Id="rId420" Type="http://schemas.openxmlformats.org/officeDocument/2006/relationships/hyperlink" Target="http://clientes.infosis-arg.com:8090/display/IMP/Bike+Networks+srl+%28Canaglia+Bicicletas%29+%234111" TargetMode="External"/><Relationship Id="rId1255" Type="http://schemas.openxmlformats.org/officeDocument/2006/relationships/hyperlink" Target="https://crm.infosis.tech/crm/deal/details/5690/" TargetMode="External"/><Relationship Id="rId2102" Type="http://schemas.openxmlformats.org/officeDocument/2006/relationships/hyperlink" Target="https://crm.infosis.tech/crm/deal/details/15716/" TargetMode="External"/><Relationship Id="rId2586" Type="http://schemas.openxmlformats.org/officeDocument/2006/relationships/hyperlink" Target="https://crm.infosis.tech/crm/deal/details/24040/" TargetMode="External"/><Relationship Id="rId1256" Type="http://schemas.openxmlformats.org/officeDocument/2006/relationships/hyperlink" Target="https://crm.infosis.tech/crm/deal/details/5700/" TargetMode="External"/><Relationship Id="rId2103" Type="http://schemas.openxmlformats.org/officeDocument/2006/relationships/hyperlink" Target="https://crm.infosis.tech/crm/deal/details/15684/" TargetMode="External"/><Relationship Id="rId2587" Type="http://schemas.openxmlformats.org/officeDocument/2006/relationships/hyperlink" Target="https://crm.infosis.tech/crm/deal/details/24084/" TargetMode="External"/><Relationship Id="rId1246" Type="http://schemas.openxmlformats.org/officeDocument/2006/relationships/hyperlink" Target="https://crm.infosis.tech/crm/deal/details/5637/" TargetMode="External"/><Relationship Id="rId2577" Type="http://schemas.openxmlformats.org/officeDocument/2006/relationships/hyperlink" Target="https://crm.infosis.tech/crm/deal/details/23378/" TargetMode="External"/><Relationship Id="rId1247" Type="http://schemas.openxmlformats.org/officeDocument/2006/relationships/hyperlink" Target="https://crm.infosis.tech/crm/deal/details/5644/" TargetMode="External"/><Relationship Id="rId2578" Type="http://schemas.openxmlformats.org/officeDocument/2006/relationships/hyperlink" Target="https://crm.infosis.tech/crm/deal/details/23908/" TargetMode="External"/><Relationship Id="rId1248" Type="http://schemas.openxmlformats.org/officeDocument/2006/relationships/hyperlink" Target="https://crm.infosis.tech/crm/deal/details/5642/" TargetMode="External"/><Relationship Id="rId2579" Type="http://schemas.openxmlformats.org/officeDocument/2006/relationships/hyperlink" Target="https://crm.infosis.tech/crm/deal/details/23798/" TargetMode="External"/><Relationship Id="rId1249" Type="http://schemas.openxmlformats.org/officeDocument/2006/relationships/hyperlink" Target="https://crm.infosis.tech/crm/deal/details/5650/" TargetMode="External"/><Relationship Id="rId415" Type="http://schemas.openxmlformats.org/officeDocument/2006/relationships/hyperlink" Target="https://crm.infosis.tech/crm/deal/details/4105/" TargetMode="External"/><Relationship Id="rId899" Type="http://schemas.openxmlformats.org/officeDocument/2006/relationships/hyperlink" Target="https://crm.infosis.tech/crm/deal/details/4669/" TargetMode="External"/><Relationship Id="rId414" Type="http://schemas.openxmlformats.org/officeDocument/2006/relationships/hyperlink" Target="http://clientes.infosis-arg.com:8090/display/IMP/ADJENA+S.R.L_OC" TargetMode="External"/><Relationship Id="rId898" Type="http://schemas.openxmlformats.org/officeDocument/2006/relationships/hyperlink" Target="http://clientes.infosis-arg.com:8090/pages/viewpage.action?pageId=28049886" TargetMode="External"/><Relationship Id="rId413" Type="http://schemas.openxmlformats.org/officeDocument/2006/relationships/hyperlink" Target="https://crm.infosis.tech/crm/deal/details/4103/" TargetMode="External"/><Relationship Id="rId897" Type="http://schemas.openxmlformats.org/officeDocument/2006/relationships/hyperlink" Target="https://crm.infosis.tech/crm/deal/details/4667/" TargetMode="External"/><Relationship Id="rId412" Type="http://schemas.openxmlformats.org/officeDocument/2006/relationships/hyperlink" Target="http://clientes.infosis-arg.com:8090/pages/viewpage.action?pageId=27623527" TargetMode="External"/><Relationship Id="rId896" Type="http://schemas.openxmlformats.org/officeDocument/2006/relationships/hyperlink" Target="http://clientes.infosis-arg.com:8090/pages/viewpage.action?pageId=28049881" TargetMode="External"/><Relationship Id="rId419" Type="http://schemas.openxmlformats.org/officeDocument/2006/relationships/hyperlink" Target="https://crm.infosis.tech/crm/deal/details/4111/" TargetMode="External"/><Relationship Id="rId418" Type="http://schemas.openxmlformats.org/officeDocument/2006/relationships/hyperlink" Target="http://clientes.infosis-arg.com:8090/display/IMP/Sarako+SRL_OC" TargetMode="External"/><Relationship Id="rId417" Type="http://schemas.openxmlformats.org/officeDocument/2006/relationships/hyperlink" Target="https://crm.infosis.tech/crm/lead/details/18863/" TargetMode="External"/><Relationship Id="rId416" Type="http://schemas.openxmlformats.org/officeDocument/2006/relationships/hyperlink" Target="http://clientes.infosis-arg.com:8090/pages/editpage.action?pageId=27623540" TargetMode="External"/><Relationship Id="rId891" Type="http://schemas.openxmlformats.org/officeDocument/2006/relationships/hyperlink" Target="https://crm.infosis.tech/crm/deal/details/4657/" TargetMode="External"/><Relationship Id="rId890" Type="http://schemas.openxmlformats.org/officeDocument/2006/relationships/hyperlink" Target="http://clientes.infosis-arg.com:8090/pages/viewpage.action?pageId=28049840" TargetMode="External"/><Relationship Id="rId2570" Type="http://schemas.openxmlformats.org/officeDocument/2006/relationships/hyperlink" Target="https://crm.infosis.tech/crm/deal/details/23436/?any=details%2F23436%2F" TargetMode="External"/><Relationship Id="rId1240" Type="http://schemas.openxmlformats.org/officeDocument/2006/relationships/hyperlink" Target="https://crm.infosis.tech/crm/deal/details/5597/" TargetMode="External"/><Relationship Id="rId2571" Type="http://schemas.openxmlformats.org/officeDocument/2006/relationships/hyperlink" Target="https://crm.infosis.tech/crm/deal/details/23806/" TargetMode="External"/><Relationship Id="rId1241" Type="http://schemas.openxmlformats.org/officeDocument/2006/relationships/hyperlink" Target="https://crm.infosis.tech/crm/deal/details/5595/" TargetMode="External"/><Relationship Id="rId2572" Type="http://schemas.openxmlformats.org/officeDocument/2006/relationships/hyperlink" Target="https://crm.infosis.tech/crm/deal/details/23824/" TargetMode="External"/><Relationship Id="rId411" Type="http://schemas.openxmlformats.org/officeDocument/2006/relationships/hyperlink" Target="https://crm.infosis.tech/crm/deal/details/4109/" TargetMode="External"/><Relationship Id="rId895" Type="http://schemas.openxmlformats.org/officeDocument/2006/relationships/hyperlink" Target="https://crm.infosis.tech/crm/deal/details/4665/" TargetMode="External"/><Relationship Id="rId1242" Type="http://schemas.openxmlformats.org/officeDocument/2006/relationships/hyperlink" Target="https://crm.infosis.tech/crm/deal/details/5613/" TargetMode="External"/><Relationship Id="rId2573" Type="http://schemas.openxmlformats.org/officeDocument/2006/relationships/hyperlink" Target="https://crm.infosis.tech/crm/deal/details/23824/" TargetMode="External"/><Relationship Id="rId410" Type="http://schemas.openxmlformats.org/officeDocument/2006/relationships/hyperlink" Target="http://clientes.infosis-arg.com:8090/pages/viewpage.action?pageId=27623529" TargetMode="External"/><Relationship Id="rId894" Type="http://schemas.openxmlformats.org/officeDocument/2006/relationships/hyperlink" Target="http://clientes.infosis-arg.com:8090/display/IMP/Amplia+LA+FRANCO+HELENICA+SRL" TargetMode="External"/><Relationship Id="rId1243" Type="http://schemas.openxmlformats.org/officeDocument/2006/relationships/hyperlink" Target="https://crm.infosis.tech/crm/deal/details/5619/" TargetMode="External"/><Relationship Id="rId2574" Type="http://schemas.openxmlformats.org/officeDocument/2006/relationships/hyperlink" Target="https://crm.infosis.tech/crm/deal/details/23562/" TargetMode="External"/><Relationship Id="rId893" Type="http://schemas.openxmlformats.org/officeDocument/2006/relationships/hyperlink" Target="https://crm.infosis.tech/crm/deal/details/4663/" TargetMode="External"/><Relationship Id="rId1244" Type="http://schemas.openxmlformats.org/officeDocument/2006/relationships/hyperlink" Target="https://crm.infosis.tech/crm/deal/details/5625/" TargetMode="External"/><Relationship Id="rId2575" Type="http://schemas.openxmlformats.org/officeDocument/2006/relationships/hyperlink" Target="https://crm.infosis.tech/crm/deal/details/22480/" TargetMode="External"/><Relationship Id="rId892" Type="http://schemas.openxmlformats.org/officeDocument/2006/relationships/hyperlink" Target="http://clientes.infosis-arg.com:8090/display/IMP/GAMACOR+S.R.L.+-+%28AMPL%29+4657" TargetMode="External"/><Relationship Id="rId1245" Type="http://schemas.openxmlformats.org/officeDocument/2006/relationships/hyperlink" Target="https://crm.infosis.tech/crm/deal/details/5631/" TargetMode="External"/><Relationship Id="rId2576" Type="http://schemas.openxmlformats.org/officeDocument/2006/relationships/hyperlink" Target="https://crm.infosis.tech/crm/deal/details/23378/" TargetMode="External"/><Relationship Id="rId1279" Type="http://schemas.openxmlformats.org/officeDocument/2006/relationships/hyperlink" Target="https://crm.infosis.tech/crm/deal/details/5866/" TargetMode="External"/><Relationship Id="rId2126" Type="http://schemas.openxmlformats.org/officeDocument/2006/relationships/hyperlink" Target="https://crm.infosis.tech/crm/deal/details/15864/" TargetMode="External"/><Relationship Id="rId2127" Type="http://schemas.openxmlformats.org/officeDocument/2006/relationships/hyperlink" Target="https://crm.infosis.tech/crm/deal/details/15922/" TargetMode="External"/><Relationship Id="rId2128" Type="http://schemas.openxmlformats.org/officeDocument/2006/relationships/hyperlink" Target="https://crm.infosis.tech/crm/deal/details/16028/" TargetMode="External"/><Relationship Id="rId2129" Type="http://schemas.openxmlformats.org/officeDocument/2006/relationships/hyperlink" Target="https://crm.infosis.tech/crm/deal/details/16058/" TargetMode="External"/><Relationship Id="rId448" Type="http://schemas.openxmlformats.org/officeDocument/2006/relationships/hyperlink" Target="https://crm.infosis.tech/crm/deal/details/4139/" TargetMode="External"/><Relationship Id="rId447" Type="http://schemas.openxmlformats.org/officeDocument/2006/relationships/hyperlink" Target="http://clientes.infosis-arg.com:8090/display/IMP/KARUWA+S.A.S._OC" TargetMode="External"/><Relationship Id="rId446" Type="http://schemas.openxmlformats.org/officeDocument/2006/relationships/hyperlink" Target="https://crm.infosis.tech/crm/deal/details/4137/" TargetMode="External"/><Relationship Id="rId445" Type="http://schemas.openxmlformats.org/officeDocument/2006/relationships/hyperlink" Target="http://clientes.infosis-arg.com:8090/display/IMP/Pinturerias+Mafer+SA+%234135" TargetMode="External"/><Relationship Id="rId449" Type="http://schemas.openxmlformats.org/officeDocument/2006/relationships/hyperlink" Target="http://clientes.infosis-arg.com:8090/pages/viewpage.action?pageId=27623622" TargetMode="External"/><Relationship Id="rId1270" Type="http://schemas.openxmlformats.org/officeDocument/2006/relationships/hyperlink" Target="https://crm.infosis.tech/crm/deal/details/5812/" TargetMode="External"/><Relationship Id="rId440" Type="http://schemas.openxmlformats.org/officeDocument/2006/relationships/hyperlink" Target="https://crm.infosis.tech/crm/deal/details/4023/" TargetMode="External"/><Relationship Id="rId1271" Type="http://schemas.openxmlformats.org/officeDocument/2006/relationships/hyperlink" Target="https://crm.infosis.tech/crm/deal/details/5818/" TargetMode="External"/><Relationship Id="rId1272" Type="http://schemas.openxmlformats.org/officeDocument/2006/relationships/hyperlink" Target="https://crm.infosis.tech/crm/deal/details/5826/" TargetMode="External"/><Relationship Id="rId1273" Type="http://schemas.openxmlformats.org/officeDocument/2006/relationships/hyperlink" Target="https://crm.infosis.tech/crm/deal/details/5814/" TargetMode="External"/><Relationship Id="rId2120" Type="http://schemas.openxmlformats.org/officeDocument/2006/relationships/hyperlink" Target="https://crm.infosis.tech/crm/deal/details/15890/" TargetMode="External"/><Relationship Id="rId1274" Type="http://schemas.openxmlformats.org/officeDocument/2006/relationships/hyperlink" Target="https://crm.infosis.tech/crm/deal/details/5834/" TargetMode="External"/><Relationship Id="rId2121" Type="http://schemas.openxmlformats.org/officeDocument/2006/relationships/hyperlink" Target="https://crm.infosis.tech/crm/deal/details/15892/" TargetMode="External"/><Relationship Id="rId444" Type="http://schemas.openxmlformats.org/officeDocument/2006/relationships/hyperlink" Target="https://crm.infosis.tech/crm/deal/details/4135/" TargetMode="External"/><Relationship Id="rId1275" Type="http://schemas.openxmlformats.org/officeDocument/2006/relationships/hyperlink" Target="https://crm.infosis.tech/crm/deal/details/5836/" TargetMode="External"/><Relationship Id="rId2122" Type="http://schemas.openxmlformats.org/officeDocument/2006/relationships/hyperlink" Target="https://crm.infosis.tech/crm/deal/details/15592/" TargetMode="External"/><Relationship Id="rId443" Type="http://schemas.openxmlformats.org/officeDocument/2006/relationships/hyperlink" Target="http://clientes.infosis-arg.com:8090/display/IMP/SERES+SRL_OC" TargetMode="External"/><Relationship Id="rId1276" Type="http://schemas.openxmlformats.org/officeDocument/2006/relationships/hyperlink" Target="https://crm.infosis.tech/crm/deal/details/5844/" TargetMode="External"/><Relationship Id="rId2123" Type="http://schemas.openxmlformats.org/officeDocument/2006/relationships/hyperlink" Target="https://crm.infosis.tech/crm/deal/details/15932/" TargetMode="External"/><Relationship Id="rId442" Type="http://schemas.openxmlformats.org/officeDocument/2006/relationships/hyperlink" Target="https://crm.infosis.tech/crm/deal/details/4133/" TargetMode="External"/><Relationship Id="rId1277" Type="http://schemas.openxmlformats.org/officeDocument/2006/relationships/hyperlink" Target="https://crm.infosis.tech/crm/deal/details/5846/" TargetMode="External"/><Relationship Id="rId2124" Type="http://schemas.openxmlformats.org/officeDocument/2006/relationships/hyperlink" Target="https://crm.infosis.tech/crm/deal/details/15978/" TargetMode="External"/><Relationship Id="rId441" Type="http://schemas.openxmlformats.org/officeDocument/2006/relationships/hyperlink" Target="http://clientes.infosis-arg.com:8090/pages/viewpage.action?pageId=27623606" TargetMode="External"/><Relationship Id="rId1278" Type="http://schemas.openxmlformats.org/officeDocument/2006/relationships/hyperlink" Target="https://crm.infosis.tech/crm/deal/details/5850/" TargetMode="External"/><Relationship Id="rId2125" Type="http://schemas.openxmlformats.org/officeDocument/2006/relationships/hyperlink" Target="https://crm.infosis.tech/crm/deal/details/15920/" TargetMode="External"/><Relationship Id="rId1268" Type="http://schemas.openxmlformats.org/officeDocument/2006/relationships/hyperlink" Target="https://crm.infosis.tech/crm/deal/details/5794/" TargetMode="External"/><Relationship Id="rId2115" Type="http://schemas.openxmlformats.org/officeDocument/2006/relationships/hyperlink" Target="https://crm.infosis.tech/crm/deal/details/15742/" TargetMode="External"/><Relationship Id="rId2599" Type="http://schemas.openxmlformats.org/officeDocument/2006/relationships/hyperlink" Target="https://crm.infosis.tech/crm/deal/details/24128/" TargetMode="External"/><Relationship Id="rId1269" Type="http://schemas.openxmlformats.org/officeDocument/2006/relationships/hyperlink" Target="https://crm.infosis.tech/crm/deal/details/5806/" TargetMode="External"/><Relationship Id="rId2116" Type="http://schemas.openxmlformats.org/officeDocument/2006/relationships/hyperlink" Target="https://crm.infosis.tech/crm/deal/details/15594/" TargetMode="External"/><Relationship Id="rId2117" Type="http://schemas.openxmlformats.org/officeDocument/2006/relationships/hyperlink" Target="https://crm.infosis.tech/crm/deal/details/15894/" TargetMode="External"/><Relationship Id="rId2118" Type="http://schemas.openxmlformats.org/officeDocument/2006/relationships/hyperlink" Target="https://crm.infosis.tech/crm/deal/details/15884/" TargetMode="External"/><Relationship Id="rId2119" Type="http://schemas.openxmlformats.org/officeDocument/2006/relationships/hyperlink" Target="https://crm.infosis.tech/crm/deal/details/15786/" TargetMode="External"/><Relationship Id="rId437" Type="http://schemas.openxmlformats.org/officeDocument/2006/relationships/hyperlink" Target="http://clientes.infosis-arg.com:8090/pages/viewpage.action?pageId=27623562" TargetMode="External"/><Relationship Id="rId436" Type="http://schemas.openxmlformats.org/officeDocument/2006/relationships/hyperlink" Target="https://crm.infosis.tech/crm/deal/details/4131/" TargetMode="External"/><Relationship Id="rId435" Type="http://schemas.openxmlformats.org/officeDocument/2006/relationships/hyperlink" Target="http://clientes.infosis-arg.com:8090/display/IMP/Scott+Concept+Store+Gorriti+%234129" TargetMode="External"/><Relationship Id="rId434" Type="http://schemas.openxmlformats.org/officeDocument/2006/relationships/hyperlink" Target="https://crm.infosis.tech/crm/deal/details/4129/" TargetMode="External"/><Relationship Id="rId439" Type="http://schemas.openxmlformats.org/officeDocument/2006/relationships/hyperlink" Target="http://clientes.infosis-arg.com:8090/pages/viewpage.action?pageId=27623544" TargetMode="External"/><Relationship Id="rId438" Type="http://schemas.openxmlformats.org/officeDocument/2006/relationships/hyperlink" Target="https://crm.infosis.tech/crm/deal/details/4045/" TargetMode="External"/><Relationship Id="rId2590" Type="http://schemas.openxmlformats.org/officeDocument/2006/relationships/hyperlink" Target="https://crm.infosis.tech/crm/deal/details/23910/?any=details%2F23910%2F" TargetMode="External"/><Relationship Id="rId1260" Type="http://schemas.openxmlformats.org/officeDocument/2006/relationships/hyperlink" Target="https://crm.infosis.tech/crm/deal/details/5688/" TargetMode="External"/><Relationship Id="rId2591" Type="http://schemas.openxmlformats.org/officeDocument/2006/relationships/hyperlink" Target="https://crm.infosis.tech/crm/deal/details/23958/" TargetMode="External"/><Relationship Id="rId1261" Type="http://schemas.openxmlformats.org/officeDocument/2006/relationships/hyperlink" Target="https://crm.infosis.tech/crm/deal/details/5726/" TargetMode="External"/><Relationship Id="rId2592" Type="http://schemas.openxmlformats.org/officeDocument/2006/relationships/hyperlink" Target="https://crm.infosis.tech/crm/deal/details/23970/" TargetMode="External"/><Relationship Id="rId1262" Type="http://schemas.openxmlformats.org/officeDocument/2006/relationships/hyperlink" Target="https://crm.infosis.tech/crm/deal/details/5734/" TargetMode="External"/><Relationship Id="rId2593" Type="http://schemas.openxmlformats.org/officeDocument/2006/relationships/hyperlink" Target="https://crm.infosis.tech/crm/deal/details/24042/" TargetMode="External"/><Relationship Id="rId1263" Type="http://schemas.openxmlformats.org/officeDocument/2006/relationships/hyperlink" Target="https://crm.infosis.tech/crm/deal/details/5754/" TargetMode="External"/><Relationship Id="rId2110" Type="http://schemas.openxmlformats.org/officeDocument/2006/relationships/hyperlink" Target="https://crm.infosis.tech/crm/deal/details/15688/" TargetMode="External"/><Relationship Id="rId2594" Type="http://schemas.openxmlformats.org/officeDocument/2006/relationships/hyperlink" Target="https://crm.infosis.tech/crm/deal/details/24142/" TargetMode="External"/><Relationship Id="rId433" Type="http://schemas.openxmlformats.org/officeDocument/2006/relationships/hyperlink" Target="http://clientes.infosis-arg.com:8090/pages/viewpage.action?pageId=27623571" TargetMode="External"/><Relationship Id="rId1264" Type="http://schemas.openxmlformats.org/officeDocument/2006/relationships/hyperlink" Target="https://crm.infosis.tech/crm/deal/details/5760/" TargetMode="External"/><Relationship Id="rId2111" Type="http://schemas.openxmlformats.org/officeDocument/2006/relationships/hyperlink" Target="https://crm.infosis.tech/crm/deal/details/15506/?any=details%2F15506%2F" TargetMode="External"/><Relationship Id="rId2595" Type="http://schemas.openxmlformats.org/officeDocument/2006/relationships/hyperlink" Target="https://crm.infosis.tech/crm/deal/details/23940/" TargetMode="External"/><Relationship Id="rId432" Type="http://schemas.openxmlformats.org/officeDocument/2006/relationships/hyperlink" Target="https://crm.infosis.tech/crm/deal/details/4117/" TargetMode="External"/><Relationship Id="rId1265" Type="http://schemas.openxmlformats.org/officeDocument/2006/relationships/hyperlink" Target="https://crm.infosis.tech/crm/deal/details/5762/" TargetMode="External"/><Relationship Id="rId2112" Type="http://schemas.openxmlformats.org/officeDocument/2006/relationships/hyperlink" Target="https://crm.infosis.tech/crm/deal/details/15670/" TargetMode="External"/><Relationship Id="rId2596" Type="http://schemas.openxmlformats.org/officeDocument/2006/relationships/hyperlink" Target="https://crm.infosis.tech/crm/deal/details/23434/" TargetMode="External"/><Relationship Id="rId431" Type="http://schemas.openxmlformats.org/officeDocument/2006/relationships/hyperlink" Target="http://clientes.infosis-arg.com:8090/display/IMP/Danilandia+%234127" TargetMode="External"/><Relationship Id="rId1266" Type="http://schemas.openxmlformats.org/officeDocument/2006/relationships/hyperlink" Target="https://crm.infosis.tech/crm/deal/details/5778/" TargetMode="External"/><Relationship Id="rId2113" Type="http://schemas.openxmlformats.org/officeDocument/2006/relationships/hyperlink" Target="https://crm.infosis.tech/crm/deal/details/15834/" TargetMode="External"/><Relationship Id="rId2597" Type="http://schemas.openxmlformats.org/officeDocument/2006/relationships/hyperlink" Target="https://crm.infosis.tech/crm/deal/details/23434/" TargetMode="External"/><Relationship Id="rId430" Type="http://schemas.openxmlformats.org/officeDocument/2006/relationships/hyperlink" Target="https://crm.infosis.tech/crm/deal/details/4127/" TargetMode="External"/><Relationship Id="rId1267" Type="http://schemas.openxmlformats.org/officeDocument/2006/relationships/hyperlink" Target="https://crm.infosis.tech/crm/deal/details/5788/" TargetMode="External"/><Relationship Id="rId2114" Type="http://schemas.openxmlformats.org/officeDocument/2006/relationships/hyperlink" Target="https://crm.infosis.tech/crm/deal/details/15742/" TargetMode="External"/><Relationship Id="rId2598" Type="http://schemas.openxmlformats.org/officeDocument/2006/relationships/hyperlink" Target="https://crm.infosis.tech/crm/deal/details/243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8" t="s">
        <v>22</v>
      </c>
      <c r="X1" s="8" t="s">
        <v>23</v>
      </c>
      <c r="Y1" s="9" t="s">
        <v>24</v>
      </c>
      <c r="Z1" s="9" t="s">
        <v>25</v>
      </c>
      <c r="AA1" s="10" t="s">
        <v>26</v>
      </c>
      <c r="AB1" s="10" t="s">
        <v>27</v>
      </c>
      <c r="AC1" s="11" t="s">
        <v>28</v>
      </c>
      <c r="AD1" s="11" t="s">
        <v>29</v>
      </c>
      <c r="AE1" s="11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/>
      <c r="AM1" s="14"/>
    </row>
    <row r="2">
      <c r="A2" s="15">
        <v>1.0</v>
      </c>
      <c r="B2" s="16">
        <v>43480.0</v>
      </c>
      <c r="C2" s="17">
        <v>12019.0</v>
      </c>
      <c r="D2" s="18" t="s">
        <v>37</v>
      </c>
      <c r="E2" s="15" t="s">
        <v>38</v>
      </c>
      <c r="F2" s="18" t="s">
        <v>39</v>
      </c>
      <c r="G2" s="15" t="s">
        <v>40</v>
      </c>
      <c r="H2" s="15" t="s">
        <v>41</v>
      </c>
      <c r="I2" s="15" t="s">
        <v>42</v>
      </c>
      <c r="J2" s="19">
        <v>1.0</v>
      </c>
      <c r="K2" s="19">
        <v>2.0</v>
      </c>
      <c r="L2" s="20"/>
      <c r="M2" s="20"/>
      <c r="N2" s="20"/>
      <c r="O2" s="20"/>
      <c r="P2" s="20"/>
      <c r="Q2" s="21"/>
      <c r="R2" s="21"/>
      <c r="S2" s="15" t="s">
        <v>43</v>
      </c>
      <c r="T2" s="15" t="s">
        <v>44</v>
      </c>
      <c r="U2" s="15" t="s">
        <v>45</v>
      </c>
      <c r="V2" s="15" t="s">
        <v>46</v>
      </c>
      <c r="W2" s="22"/>
      <c r="X2" s="22"/>
      <c r="Y2" s="22"/>
      <c r="Z2" s="22"/>
      <c r="AA2" s="23">
        <v>5517.75</v>
      </c>
      <c r="AB2" s="23">
        <v>0.0</v>
      </c>
      <c r="AC2" s="24" t="s">
        <v>47</v>
      </c>
      <c r="AD2" s="17">
        <v>2054.0</v>
      </c>
      <c r="AE2" s="17" t="s">
        <v>48</v>
      </c>
      <c r="AF2" s="15" t="str">
        <f t="shared" ref="AF2:AF2016" si="1">CONCATENATE(T2,", Argentina")</f>
        <v>Mendoza, Argentina</v>
      </c>
      <c r="AG2" s="15">
        <f t="shared" ref="AG2:AG2016" si="2">SUM(J2:P2)</f>
        <v>3</v>
      </c>
      <c r="AH2" s="25">
        <f t="shared" ref="AH2:AH1522" si="3">SUM(W2:X2)</f>
        <v>0</v>
      </c>
      <c r="AI2" s="25">
        <f t="shared" ref="AI2:AI1505" si="4">Y2+Z2</f>
        <v>0</v>
      </c>
      <c r="AJ2" s="23">
        <f t="shared" ref="AJ2:AJ2016" si="5">AA2+AB2</f>
        <v>5517.75</v>
      </c>
      <c r="AK2" s="23">
        <f t="shared" ref="AK2:AK1513" si="6">SUM(AH2:AJ2)</f>
        <v>5517.75</v>
      </c>
      <c r="AL2" s="26"/>
      <c r="AM2" s="26"/>
    </row>
    <row r="3">
      <c r="A3" s="15">
        <v>2.0</v>
      </c>
      <c r="B3" s="16">
        <v>43493.0</v>
      </c>
      <c r="C3" s="17">
        <v>12019.0</v>
      </c>
      <c r="D3" s="18" t="s">
        <v>49</v>
      </c>
      <c r="E3" s="15" t="s">
        <v>38</v>
      </c>
      <c r="F3" s="18" t="s">
        <v>50</v>
      </c>
      <c r="G3" s="15" t="s">
        <v>40</v>
      </c>
      <c r="H3" s="15" t="s">
        <v>41</v>
      </c>
      <c r="I3" s="15" t="s">
        <v>42</v>
      </c>
      <c r="J3" s="19">
        <v>1.0</v>
      </c>
      <c r="K3" s="19">
        <v>3.0</v>
      </c>
      <c r="L3" s="20"/>
      <c r="M3" s="20"/>
      <c r="N3" s="20"/>
      <c r="O3" s="20"/>
      <c r="P3" s="20"/>
      <c r="Q3" s="21"/>
      <c r="R3" s="21"/>
      <c r="S3" s="15" t="s">
        <v>51</v>
      </c>
      <c r="T3" s="15" t="s">
        <v>52</v>
      </c>
      <c r="U3" s="15" t="s">
        <v>53</v>
      </c>
      <c r="V3" s="15" t="s">
        <v>46</v>
      </c>
      <c r="W3" s="22"/>
      <c r="X3" s="22"/>
      <c r="Y3" s="22"/>
      <c r="Z3" s="22"/>
      <c r="AA3" s="23">
        <v>8151.0</v>
      </c>
      <c r="AB3" s="23">
        <v>32604.0</v>
      </c>
      <c r="AC3" s="24" t="s">
        <v>54</v>
      </c>
      <c r="AD3" s="17">
        <v>2176.0</v>
      </c>
      <c r="AE3" s="27" t="s">
        <v>55</v>
      </c>
      <c r="AF3" s="15" t="str">
        <f t="shared" si="1"/>
        <v>San Luis, Argentina</v>
      </c>
      <c r="AG3" s="15">
        <f t="shared" si="2"/>
        <v>4</v>
      </c>
      <c r="AH3" s="25">
        <f t="shared" si="3"/>
        <v>0</v>
      </c>
      <c r="AI3" s="25">
        <f t="shared" si="4"/>
        <v>0</v>
      </c>
      <c r="AJ3" s="23">
        <f t="shared" si="5"/>
        <v>40755</v>
      </c>
      <c r="AK3" s="23">
        <f t="shared" si="6"/>
        <v>40755</v>
      </c>
      <c r="AL3" s="26"/>
      <c r="AM3" s="26"/>
    </row>
    <row r="4">
      <c r="A4" s="15">
        <v>3.0</v>
      </c>
      <c r="B4" s="16">
        <v>43468.0</v>
      </c>
      <c r="C4" s="17">
        <v>12019.0</v>
      </c>
      <c r="D4" s="18" t="s">
        <v>56</v>
      </c>
      <c r="E4" s="15" t="s">
        <v>38</v>
      </c>
      <c r="F4" s="18" t="s">
        <v>57</v>
      </c>
      <c r="G4" s="15" t="s">
        <v>40</v>
      </c>
      <c r="H4" s="15" t="s">
        <v>41</v>
      </c>
      <c r="I4" s="15" t="s">
        <v>42</v>
      </c>
      <c r="J4" s="19">
        <v>2.0</v>
      </c>
      <c r="K4" s="19">
        <v>2.0</v>
      </c>
      <c r="L4" s="20"/>
      <c r="M4" s="19">
        <v>1.0</v>
      </c>
      <c r="N4" s="20"/>
      <c r="O4" s="20"/>
      <c r="P4" s="20"/>
      <c r="Q4" s="21"/>
      <c r="R4" s="21"/>
      <c r="S4" s="15" t="s">
        <v>43</v>
      </c>
      <c r="T4" s="15" t="s">
        <v>58</v>
      </c>
      <c r="U4" s="15" t="s">
        <v>53</v>
      </c>
      <c r="V4" s="15" t="s">
        <v>59</v>
      </c>
      <c r="W4" s="22"/>
      <c r="X4" s="22"/>
      <c r="Y4" s="22"/>
      <c r="Z4" s="22"/>
      <c r="AA4" s="23">
        <v>13078.0</v>
      </c>
      <c r="AB4" s="23">
        <v>39236.0</v>
      </c>
      <c r="AC4" s="24" t="s">
        <v>60</v>
      </c>
      <c r="AD4" s="17">
        <v>1962.0</v>
      </c>
      <c r="AE4" s="27" t="s">
        <v>61</v>
      </c>
      <c r="AF4" s="15" t="str">
        <f t="shared" si="1"/>
        <v>Córdoba, Argentina</v>
      </c>
      <c r="AG4" s="15">
        <f t="shared" si="2"/>
        <v>5</v>
      </c>
      <c r="AH4" s="25">
        <f t="shared" si="3"/>
        <v>0</v>
      </c>
      <c r="AI4" s="25">
        <f t="shared" si="4"/>
        <v>0</v>
      </c>
      <c r="AJ4" s="23">
        <f t="shared" si="5"/>
        <v>52314</v>
      </c>
      <c r="AK4" s="23">
        <f t="shared" si="6"/>
        <v>52314</v>
      </c>
      <c r="AL4" s="26"/>
      <c r="AM4" s="26"/>
    </row>
    <row r="5">
      <c r="A5" s="15">
        <v>4.0</v>
      </c>
      <c r="B5" s="16">
        <v>43466.0</v>
      </c>
      <c r="C5" s="17">
        <v>12019.0</v>
      </c>
      <c r="D5" s="18" t="s">
        <v>62</v>
      </c>
      <c r="E5" s="15" t="s">
        <v>38</v>
      </c>
      <c r="F5" s="18" t="s">
        <v>63</v>
      </c>
      <c r="G5" s="15" t="s">
        <v>64</v>
      </c>
      <c r="H5" s="15" t="s">
        <v>41</v>
      </c>
      <c r="I5" s="15" t="s">
        <v>42</v>
      </c>
      <c r="J5" s="20"/>
      <c r="K5" s="20"/>
      <c r="L5" s="20"/>
      <c r="M5" s="20"/>
      <c r="N5" s="20"/>
      <c r="O5" s="20"/>
      <c r="P5" s="19">
        <v>1.0</v>
      </c>
      <c r="Q5" s="21"/>
      <c r="R5" s="21"/>
      <c r="S5" s="15" t="s">
        <v>65</v>
      </c>
      <c r="T5" s="15" t="s">
        <v>66</v>
      </c>
      <c r="U5" s="15" t="s">
        <v>67</v>
      </c>
      <c r="V5" s="15" t="s">
        <v>59</v>
      </c>
      <c r="W5" s="23">
        <v>478.0</v>
      </c>
      <c r="X5" s="22"/>
      <c r="Y5" s="22"/>
      <c r="Z5" s="22"/>
      <c r="AA5" s="23">
        <v>0.0</v>
      </c>
      <c r="AB5" s="23">
        <v>0.0</v>
      </c>
      <c r="AC5" s="24" t="s">
        <v>68</v>
      </c>
      <c r="AD5" s="17">
        <v>2062.0</v>
      </c>
      <c r="AE5" s="27" t="s">
        <v>69</v>
      </c>
      <c r="AF5" s="15" t="str">
        <f t="shared" si="1"/>
        <v>Buenos Aires, Argentina</v>
      </c>
      <c r="AG5" s="15">
        <f t="shared" si="2"/>
        <v>1</v>
      </c>
      <c r="AH5" s="25">
        <f t="shared" si="3"/>
        <v>478</v>
      </c>
      <c r="AI5" s="25">
        <f t="shared" si="4"/>
        <v>0</v>
      </c>
      <c r="AJ5" s="23">
        <f t="shared" si="5"/>
        <v>0</v>
      </c>
      <c r="AK5" s="23">
        <f t="shared" si="6"/>
        <v>478</v>
      </c>
      <c r="AL5" s="26"/>
      <c r="AM5" s="26"/>
    </row>
    <row r="6">
      <c r="A6" s="15">
        <v>5.0</v>
      </c>
      <c r="B6" s="16">
        <v>43487.0</v>
      </c>
      <c r="C6" s="17">
        <v>12019.0</v>
      </c>
      <c r="D6" s="18" t="s">
        <v>70</v>
      </c>
      <c r="E6" s="15" t="s">
        <v>38</v>
      </c>
      <c r="F6" s="18" t="s">
        <v>71</v>
      </c>
      <c r="G6" s="15" t="s">
        <v>40</v>
      </c>
      <c r="H6" s="15" t="s">
        <v>41</v>
      </c>
      <c r="I6" s="15" t="s">
        <v>42</v>
      </c>
      <c r="J6" s="19">
        <v>1.0</v>
      </c>
      <c r="K6" s="20"/>
      <c r="L6" s="20"/>
      <c r="M6" s="20"/>
      <c r="N6" s="20"/>
      <c r="O6" s="20"/>
      <c r="P6" s="20"/>
      <c r="Q6" s="21"/>
      <c r="R6" s="21"/>
      <c r="S6" s="15" t="s">
        <v>72</v>
      </c>
      <c r="T6" s="15" t="s">
        <v>73</v>
      </c>
      <c r="U6" s="15" t="s">
        <v>67</v>
      </c>
      <c r="V6" s="15" t="s">
        <v>59</v>
      </c>
      <c r="W6" s="22"/>
      <c r="X6" s="22"/>
      <c r="Y6" s="22"/>
      <c r="Z6" s="22"/>
      <c r="AA6" s="23">
        <v>2733.0</v>
      </c>
      <c r="AB6" s="23">
        <v>3826.0</v>
      </c>
      <c r="AC6" s="24" t="s">
        <v>74</v>
      </c>
      <c r="AD6" s="17">
        <v>2252.0</v>
      </c>
      <c r="AE6" s="27" t="s">
        <v>75</v>
      </c>
      <c r="AF6" s="15" t="str">
        <f t="shared" si="1"/>
        <v>Tierra de Fuego, Argentina</v>
      </c>
      <c r="AG6" s="15">
        <f t="shared" si="2"/>
        <v>1</v>
      </c>
      <c r="AH6" s="25">
        <f t="shared" si="3"/>
        <v>0</v>
      </c>
      <c r="AI6" s="25">
        <f t="shared" si="4"/>
        <v>0</v>
      </c>
      <c r="AJ6" s="23">
        <f t="shared" si="5"/>
        <v>6559</v>
      </c>
      <c r="AK6" s="23">
        <f t="shared" si="6"/>
        <v>6559</v>
      </c>
      <c r="AL6" s="26"/>
      <c r="AM6" s="26"/>
    </row>
    <row r="7">
      <c r="A7" s="15">
        <v>6.0</v>
      </c>
      <c r="B7" s="16">
        <v>43488.0</v>
      </c>
      <c r="C7" s="17">
        <v>12019.0</v>
      </c>
      <c r="D7" s="18" t="s">
        <v>76</v>
      </c>
      <c r="E7" s="15" t="s">
        <v>38</v>
      </c>
      <c r="F7" s="18" t="s">
        <v>77</v>
      </c>
      <c r="G7" s="15" t="s">
        <v>64</v>
      </c>
      <c r="H7" s="15" t="s">
        <v>41</v>
      </c>
      <c r="I7" s="15" t="s">
        <v>42</v>
      </c>
      <c r="J7" s="20"/>
      <c r="K7" s="19">
        <v>1.0</v>
      </c>
      <c r="L7" s="20"/>
      <c r="M7" s="20"/>
      <c r="N7" s="20"/>
      <c r="O7" s="20"/>
      <c r="P7" s="20"/>
      <c r="Q7" s="21"/>
      <c r="R7" s="21"/>
      <c r="S7" s="15" t="s">
        <v>51</v>
      </c>
      <c r="T7" s="15" t="s">
        <v>66</v>
      </c>
      <c r="U7" s="15" t="s">
        <v>67</v>
      </c>
      <c r="V7" s="15" t="s">
        <v>78</v>
      </c>
      <c r="W7" s="22"/>
      <c r="X7" s="22"/>
      <c r="Y7" s="22"/>
      <c r="Z7" s="22"/>
      <c r="AA7" s="23">
        <v>1806.0</v>
      </c>
      <c r="AB7" s="23">
        <v>3612.0</v>
      </c>
      <c r="AC7" s="24" t="s">
        <v>79</v>
      </c>
      <c r="AD7" s="17">
        <v>1850.0</v>
      </c>
      <c r="AE7" s="27" t="s">
        <v>80</v>
      </c>
      <c r="AF7" s="15" t="str">
        <f t="shared" si="1"/>
        <v>Buenos Aires, Argentina</v>
      </c>
      <c r="AG7" s="15">
        <f t="shared" si="2"/>
        <v>1</v>
      </c>
      <c r="AH7" s="25">
        <f t="shared" si="3"/>
        <v>0</v>
      </c>
      <c r="AI7" s="25">
        <f t="shared" si="4"/>
        <v>0</v>
      </c>
      <c r="AJ7" s="23">
        <f t="shared" si="5"/>
        <v>5418</v>
      </c>
      <c r="AK7" s="23">
        <f t="shared" si="6"/>
        <v>5418</v>
      </c>
      <c r="AL7" s="26"/>
      <c r="AM7" s="26"/>
    </row>
    <row r="8">
      <c r="A8" s="15">
        <v>7.0</v>
      </c>
      <c r="B8" s="16">
        <v>43469.0</v>
      </c>
      <c r="C8" s="17">
        <v>12019.0</v>
      </c>
      <c r="D8" s="18" t="s">
        <v>81</v>
      </c>
      <c r="E8" s="15" t="s">
        <v>38</v>
      </c>
      <c r="F8" s="18" t="s">
        <v>71</v>
      </c>
      <c r="G8" s="15" t="s">
        <v>40</v>
      </c>
      <c r="H8" s="15" t="s">
        <v>41</v>
      </c>
      <c r="I8" s="15" t="s">
        <v>42</v>
      </c>
      <c r="J8" s="19">
        <v>1.0</v>
      </c>
      <c r="K8" s="20"/>
      <c r="L8" s="20"/>
      <c r="M8" s="20"/>
      <c r="N8" s="20"/>
      <c r="O8" s="20"/>
      <c r="P8" s="20"/>
      <c r="Q8" s="21"/>
      <c r="R8" s="21"/>
      <c r="S8" s="15" t="s">
        <v>82</v>
      </c>
      <c r="T8" s="15" t="s">
        <v>83</v>
      </c>
      <c r="U8" s="15" t="s">
        <v>38</v>
      </c>
      <c r="V8" s="15" t="s">
        <v>84</v>
      </c>
      <c r="W8" s="22"/>
      <c r="X8" s="22"/>
      <c r="Y8" s="22"/>
      <c r="Z8" s="22"/>
      <c r="AA8" s="23">
        <v>2377.0</v>
      </c>
      <c r="AB8" s="23">
        <v>9507.0</v>
      </c>
      <c r="AC8" s="24" t="s">
        <v>85</v>
      </c>
      <c r="AD8" s="17">
        <v>2028.0</v>
      </c>
      <c r="AE8" s="27" t="s">
        <v>86</v>
      </c>
      <c r="AF8" s="15" t="str">
        <f t="shared" si="1"/>
        <v>Capital Federal, Argentina</v>
      </c>
      <c r="AG8" s="15">
        <f t="shared" si="2"/>
        <v>1</v>
      </c>
      <c r="AH8" s="25">
        <f t="shared" si="3"/>
        <v>0</v>
      </c>
      <c r="AI8" s="25">
        <f t="shared" si="4"/>
        <v>0</v>
      </c>
      <c r="AJ8" s="23">
        <f t="shared" si="5"/>
        <v>11884</v>
      </c>
      <c r="AK8" s="23">
        <f t="shared" si="6"/>
        <v>11884</v>
      </c>
      <c r="AL8" s="26"/>
      <c r="AM8" s="26"/>
    </row>
    <row r="9">
      <c r="A9" s="15">
        <v>8.0</v>
      </c>
      <c r="B9" s="16">
        <v>43489.0</v>
      </c>
      <c r="C9" s="17">
        <v>12019.0</v>
      </c>
      <c r="D9" s="18" t="s">
        <v>87</v>
      </c>
      <c r="E9" s="15" t="s">
        <v>38</v>
      </c>
      <c r="F9" s="18" t="s">
        <v>88</v>
      </c>
      <c r="G9" s="15" t="s">
        <v>40</v>
      </c>
      <c r="H9" s="15" t="s">
        <v>41</v>
      </c>
      <c r="I9" s="15" t="s">
        <v>42</v>
      </c>
      <c r="J9" s="19">
        <v>1.0</v>
      </c>
      <c r="K9" s="20"/>
      <c r="L9" s="20"/>
      <c r="M9" s="19">
        <v>1.0</v>
      </c>
      <c r="N9" s="20"/>
      <c r="O9" s="20"/>
      <c r="P9" s="20"/>
      <c r="Q9" s="21"/>
      <c r="R9" s="21"/>
      <c r="S9" s="15" t="s">
        <v>89</v>
      </c>
      <c r="T9" s="15" t="s">
        <v>66</v>
      </c>
      <c r="U9" s="15" t="s">
        <v>53</v>
      </c>
      <c r="V9" s="15" t="s">
        <v>84</v>
      </c>
      <c r="W9" s="22"/>
      <c r="X9" s="22"/>
      <c r="Y9" s="22"/>
      <c r="Z9" s="22"/>
      <c r="AA9" s="23">
        <v>5714.0</v>
      </c>
      <c r="AB9" s="23">
        <v>0.0</v>
      </c>
      <c r="AC9" s="24" t="s">
        <v>90</v>
      </c>
      <c r="AD9" s="17">
        <v>2160.0</v>
      </c>
      <c r="AE9" s="27" t="s">
        <v>91</v>
      </c>
      <c r="AF9" s="15" t="str">
        <f t="shared" si="1"/>
        <v>Buenos Aires, Argentina</v>
      </c>
      <c r="AG9" s="15">
        <f t="shared" si="2"/>
        <v>2</v>
      </c>
      <c r="AH9" s="25">
        <f t="shared" si="3"/>
        <v>0</v>
      </c>
      <c r="AI9" s="25">
        <f t="shared" si="4"/>
        <v>0</v>
      </c>
      <c r="AJ9" s="23">
        <f t="shared" si="5"/>
        <v>5714</v>
      </c>
      <c r="AK9" s="23">
        <f t="shared" si="6"/>
        <v>5714</v>
      </c>
      <c r="AL9" s="26"/>
      <c r="AM9" s="26"/>
    </row>
    <row r="10">
      <c r="A10" s="28">
        <v>9.0</v>
      </c>
      <c r="B10" s="29">
        <v>43509.0</v>
      </c>
      <c r="C10" s="17">
        <v>22019.0</v>
      </c>
      <c r="D10" s="30" t="s">
        <v>92</v>
      </c>
      <c r="E10" s="28" t="s">
        <v>38</v>
      </c>
      <c r="F10" s="30" t="s">
        <v>93</v>
      </c>
      <c r="G10" s="28" t="s">
        <v>40</v>
      </c>
      <c r="H10" s="28" t="s">
        <v>41</v>
      </c>
      <c r="I10" s="28" t="s">
        <v>42</v>
      </c>
      <c r="J10" s="31">
        <v>2.0</v>
      </c>
      <c r="K10" s="32"/>
      <c r="L10" s="32"/>
      <c r="M10" s="31">
        <v>1.0</v>
      </c>
      <c r="N10" s="32"/>
      <c r="O10" s="32"/>
      <c r="P10" s="32"/>
      <c r="Q10" s="33"/>
      <c r="R10" s="33"/>
      <c r="S10" s="28" t="s">
        <v>72</v>
      </c>
      <c r="T10" s="28" t="s">
        <v>83</v>
      </c>
      <c r="U10" s="28" t="s">
        <v>53</v>
      </c>
      <c r="V10" s="28" t="s">
        <v>59</v>
      </c>
      <c r="W10" s="34"/>
      <c r="X10" s="34"/>
      <c r="Y10" s="34"/>
      <c r="Z10" s="34"/>
      <c r="AA10" s="35">
        <v>8447.0</v>
      </c>
      <c r="AB10" s="35">
        <v>34283.0</v>
      </c>
      <c r="AC10" s="24" t="s">
        <v>94</v>
      </c>
      <c r="AD10" s="17">
        <v>2302.0</v>
      </c>
      <c r="AE10" s="27" t="s">
        <v>95</v>
      </c>
      <c r="AF10" s="28" t="str">
        <f t="shared" si="1"/>
        <v>Capital Federal, Argentina</v>
      </c>
      <c r="AG10" s="28">
        <f t="shared" si="2"/>
        <v>3</v>
      </c>
      <c r="AH10" s="36">
        <f t="shared" si="3"/>
        <v>0</v>
      </c>
      <c r="AI10" s="36">
        <f t="shared" si="4"/>
        <v>0</v>
      </c>
      <c r="AJ10" s="35">
        <f t="shared" si="5"/>
        <v>42730</v>
      </c>
      <c r="AK10" s="35">
        <f t="shared" si="6"/>
        <v>42730</v>
      </c>
      <c r="AL10" s="37"/>
      <c r="AM10" s="37"/>
    </row>
    <row r="11">
      <c r="A11" s="28">
        <v>10.0</v>
      </c>
      <c r="B11" s="29">
        <v>43522.0</v>
      </c>
      <c r="C11" s="17">
        <v>22019.0</v>
      </c>
      <c r="D11" s="30" t="s">
        <v>96</v>
      </c>
      <c r="E11" s="28" t="s">
        <v>38</v>
      </c>
      <c r="F11" s="30" t="s">
        <v>97</v>
      </c>
      <c r="G11" s="28" t="s">
        <v>40</v>
      </c>
      <c r="H11" s="28" t="s">
        <v>41</v>
      </c>
      <c r="I11" s="28" t="s">
        <v>42</v>
      </c>
      <c r="J11" s="31">
        <v>4.0</v>
      </c>
      <c r="K11" s="32"/>
      <c r="L11" s="32"/>
      <c r="M11" s="32"/>
      <c r="N11" s="32"/>
      <c r="O11" s="32"/>
      <c r="P11" s="32"/>
      <c r="Q11" s="33"/>
      <c r="R11" s="33"/>
      <c r="S11" s="28" t="s">
        <v>98</v>
      </c>
      <c r="T11" s="28" t="s">
        <v>66</v>
      </c>
      <c r="U11" s="28" t="s">
        <v>99</v>
      </c>
      <c r="V11" s="28" t="s">
        <v>59</v>
      </c>
      <c r="W11" s="34"/>
      <c r="X11" s="34"/>
      <c r="Y11" s="34"/>
      <c r="Z11" s="34"/>
      <c r="AA11" s="35">
        <v>8746.0</v>
      </c>
      <c r="AB11" s="35">
        <v>32796.0</v>
      </c>
      <c r="AC11" s="24" t="s">
        <v>100</v>
      </c>
      <c r="AD11" s="17">
        <v>2425.0</v>
      </c>
      <c r="AE11" s="27" t="s">
        <v>101</v>
      </c>
      <c r="AF11" s="28" t="str">
        <f t="shared" si="1"/>
        <v>Buenos Aires, Argentina</v>
      </c>
      <c r="AG11" s="28">
        <f t="shared" si="2"/>
        <v>4</v>
      </c>
      <c r="AH11" s="36">
        <f t="shared" si="3"/>
        <v>0</v>
      </c>
      <c r="AI11" s="36">
        <f t="shared" si="4"/>
        <v>0</v>
      </c>
      <c r="AJ11" s="35">
        <f t="shared" si="5"/>
        <v>41542</v>
      </c>
      <c r="AK11" s="35">
        <f t="shared" si="6"/>
        <v>41542</v>
      </c>
      <c r="AL11" s="37"/>
      <c r="AM11" s="37"/>
    </row>
    <row r="12">
      <c r="A12" s="28">
        <v>11.0</v>
      </c>
      <c r="B12" s="29">
        <v>43524.0</v>
      </c>
      <c r="C12" s="17">
        <v>22019.0</v>
      </c>
      <c r="D12" s="30" t="s">
        <v>102</v>
      </c>
      <c r="E12" s="28" t="s">
        <v>103</v>
      </c>
      <c r="F12" s="30" t="s">
        <v>104</v>
      </c>
      <c r="G12" s="28" t="s">
        <v>64</v>
      </c>
      <c r="H12" s="28" t="s">
        <v>41</v>
      </c>
      <c r="I12" s="28" t="s">
        <v>42</v>
      </c>
      <c r="J12" s="32"/>
      <c r="K12" s="32"/>
      <c r="L12" s="32"/>
      <c r="M12" s="32"/>
      <c r="N12" s="32"/>
      <c r="O12" s="32"/>
      <c r="P12" s="32"/>
      <c r="Q12" s="33"/>
      <c r="R12" s="28">
        <v>3.0</v>
      </c>
      <c r="S12" s="28" t="s">
        <v>105</v>
      </c>
      <c r="T12" s="28" t="s">
        <v>66</v>
      </c>
      <c r="U12" s="28" t="s">
        <v>67</v>
      </c>
      <c r="V12" s="28" t="s">
        <v>59</v>
      </c>
      <c r="W12" s="34"/>
      <c r="X12" s="34"/>
      <c r="Y12" s="34"/>
      <c r="Z12" s="35">
        <v>5733.0</v>
      </c>
      <c r="AA12" s="35">
        <v>0.0</v>
      </c>
      <c r="AB12" s="35">
        <v>0.0</v>
      </c>
      <c r="AC12" s="24" t="s">
        <v>106</v>
      </c>
      <c r="AD12" s="17">
        <v>4038.0</v>
      </c>
      <c r="AE12" s="27" t="s">
        <v>107</v>
      </c>
      <c r="AF12" s="28" t="str">
        <f t="shared" si="1"/>
        <v>Buenos Aires, Argentina</v>
      </c>
      <c r="AG12" s="28">
        <f t="shared" si="2"/>
        <v>0</v>
      </c>
      <c r="AH12" s="36">
        <f t="shared" si="3"/>
        <v>0</v>
      </c>
      <c r="AI12" s="36">
        <f t="shared" si="4"/>
        <v>5733</v>
      </c>
      <c r="AJ12" s="35">
        <f t="shared" si="5"/>
        <v>0</v>
      </c>
      <c r="AK12" s="35">
        <f t="shared" si="6"/>
        <v>5733</v>
      </c>
      <c r="AL12" s="37"/>
      <c r="AM12" s="37"/>
    </row>
    <row r="13">
      <c r="A13" s="28">
        <v>12.0</v>
      </c>
      <c r="B13" s="29">
        <v>43497.0</v>
      </c>
      <c r="C13" s="17">
        <v>22019.0</v>
      </c>
      <c r="D13" s="30" t="s">
        <v>108</v>
      </c>
      <c r="E13" s="28" t="s">
        <v>38</v>
      </c>
      <c r="F13" s="30" t="s">
        <v>88</v>
      </c>
      <c r="G13" s="28" t="s">
        <v>40</v>
      </c>
      <c r="H13" s="28" t="s">
        <v>41</v>
      </c>
      <c r="I13" s="28" t="s">
        <v>42</v>
      </c>
      <c r="J13" s="31">
        <v>1.0</v>
      </c>
      <c r="K13" s="32"/>
      <c r="L13" s="32"/>
      <c r="M13" s="31">
        <v>1.0</v>
      </c>
      <c r="N13" s="32"/>
      <c r="O13" s="32"/>
      <c r="P13" s="32"/>
      <c r="Q13" s="33"/>
      <c r="R13" s="33"/>
      <c r="S13" s="28" t="s">
        <v>109</v>
      </c>
      <c r="T13" s="28" t="s">
        <v>83</v>
      </c>
      <c r="U13" s="28" t="s">
        <v>53</v>
      </c>
      <c r="V13" s="28" t="s">
        <v>84</v>
      </c>
      <c r="W13" s="34"/>
      <c r="X13" s="34"/>
      <c r="Y13" s="34"/>
      <c r="Z13" s="34"/>
      <c r="AA13" s="35">
        <v>2377.0</v>
      </c>
      <c r="AB13" s="35">
        <v>10932.0</v>
      </c>
      <c r="AC13" s="24" t="s">
        <v>110</v>
      </c>
      <c r="AD13" s="17">
        <v>1958.0</v>
      </c>
      <c r="AE13" s="27" t="s">
        <v>111</v>
      </c>
      <c r="AF13" s="28" t="str">
        <f t="shared" si="1"/>
        <v>Capital Federal, Argentina</v>
      </c>
      <c r="AG13" s="28">
        <f t="shared" si="2"/>
        <v>2</v>
      </c>
      <c r="AH13" s="36">
        <f t="shared" si="3"/>
        <v>0</v>
      </c>
      <c r="AI13" s="36">
        <f t="shared" si="4"/>
        <v>0</v>
      </c>
      <c r="AJ13" s="35">
        <f t="shared" si="5"/>
        <v>13309</v>
      </c>
      <c r="AK13" s="35">
        <f t="shared" si="6"/>
        <v>13309</v>
      </c>
      <c r="AL13" s="37"/>
      <c r="AM13" s="37"/>
    </row>
    <row r="14">
      <c r="A14" s="28">
        <v>13.0</v>
      </c>
      <c r="B14" s="29">
        <v>43497.0</v>
      </c>
      <c r="C14" s="17">
        <v>22019.0</v>
      </c>
      <c r="D14" s="30" t="s">
        <v>112</v>
      </c>
      <c r="E14" s="28" t="s">
        <v>38</v>
      </c>
      <c r="F14" s="30" t="s">
        <v>113</v>
      </c>
      <c r="G14" s="28" t="s">
        <v>40</v>
      </c>
      <c r="H14" s="28" t="s">
        <v>41</v>
      </c>
      <c r="I14" s="28" t="s">
        <v>42</v>
      </c>
      <c r="J14" s="31">
        <v>1.0</v>
      </c>
      <c r="K14" s="31">
        <v>2.0</v>
      </c>
      <c r="L14" s="32"/>
      <c r="M14" s="32"/>
      <c r="N14" s="32"/>
      <c r="O14" s="32"/>
      <c r="P14" s="32"/>
      <c r="Q14" s="33"/>
      <c r="R14" s="33"/>
      <c r="S14" s="28" t="s">
        <v>114</v>
      </c>
      <c r="T14" s="28" t="s">
        <v>115</v>
      </c>
      <c r="U14" s="28" t="s">
        <v>38</v>
      </c>
      <c r="V14" s="28" t="s">
        <v>84</v>
      </c>
      <c r="W14" s="34"/>
      <c r="X14" s="34"/>
      <c r="Y14" s="34"/>
      <c r="Z14" s="34"/>
      <c r="AA14" s="35">
        <v>6345.0</v>
      </c>
      <c r="AB14" s="35">
        <v>0.0</v>
      </c>
      <c r="AC14" s="24" t="s">
        <v>116</v>
      </c>
      <c r="AD14" s="17">
        <v>2276.0</v>
      </c>
      <c r="AE14" s="27" t="s">
        <v>117</v>
      </c>
      <c r="AF14" s="28" t="str">
        <f t="shared" si="1"/>
        <v>Jujuy, Argentina</v>
      </c>
      <c r="AG14" s="28">
        <f t="shared" si="2"/>
        <v>3</v>
      </c>
      <c r="AH14" s="36">
        <f t="shared" si="3"/>
        <v>0</v>
      </c>
      <c r="AI14" s="36">
        <f t="shared" si="4"/>
        <v>0</v>
      </c>
      <c r="AJ14" s="35">
        <f t="shared" si="5"/>
        <v>6345</v>
      </c>
      <c r="AK14" s="35">
        <f t="shared" si="6"/>
        <v>6345</v>
      </c>
      <c r="AL14" s="37"/>
      <c r="AM14" s="37"/>
    </row>
    <row r="15">
      <c r="A15" s="28">
        <v>14.0</v>
      </c>
      <c r="B15" s="29">
        <v>43497.0</v>
      </c>
      <c r="C15" s="17">
        <v>22019.0</v>
      </c>
      <c r="D15" s="30" t="s">
        <v>118</v>
      </c>
      <c r="E15" s="28" t="s">
        <v>38</v>
      </c>
      <c r="F15" s="30" t="s">
        <v>119</v>
      </c>
      <c r="G15" s="28" t="s">
        <v>64</v>
      </c>
      <c r="H15" s="28" t="s">
        <v>41</v>
      </c>
      <c r="I15" s="28" t="s">
        <v>42</v>
      </c>
      <c r="J15" s="32"/>
      <c r="K15" s="32"/>
      <c r="L15" s="32"/>
      <c r="M15" s="32"/>
      <c r="N15" s="32"/>
      <c r="O15" s="32"/>
      <c r="P15" s="31">
        <v>1.0</v>
      </c>
      <c r="Q15" s="33"/>
      <c r="R15" s="33"/>
      <c r="S15" s="28" t="s">
        <v>65</v>
      </c>
      <c r="T15" s="28" t="s">
        <v>66</v>
      </c>
      <c r="U15" s="28" t="s">
        <v>67</v>
      </c>
      <c r="V15" s="28" t="s">
        <v>84</v>
      </c>
      <c r="W15" s="35">
        <v>1190.0</v>
      </c>
      <c r="X15" s="34"/>
      <c r="Y15" s="34"/>
      <c r="Z15" s="34"/>
      <c r="AA15" s="35">
        <v>733.0</v>
      </c>
      <c r="AB15" s="35">
        <v>0.0</v>
      </c>
      <c r="AC15" s="24" t="s">
        <v>120</v>
      </c>
      <c r="AD15" s="17">
        <v>2116.0</v>
      </c>
      <c r="AE15" s="27" t="s">
        <v>121</v>
      </c>
      <c r="AF15" s="28" t="str">
        <f t="shared" si="1"/>
        <v>Buenos Aires, Argentina</v>
      </c>
      <c r="AG15" s="28">
        <f t="shared" si="2"/>
        <v>1</v>
      </c>
      <c r="AH15" s="36">
        <f t="shared" si="3"/>
        <v>1190</v>
      </c>
      <c r="AI15" s="36">
        <f t="shared" si="4"/>
        <v>0</v>
      </c>
      <c r="AJ15" s="35">
        <f t="shared" si="5"/>
        <v>733</v>
      </c>
      <c r="AK15" s="35">
        <f t="shared" si="6"/>
        <v>1923</v>
      </c>
      <c r="AL15" s="37"/>
      <c r="AM15" s="37"/>
    </row>
    <row r="16">
      <c r="A16" s="28">
        <v>15.0</v>
      </c>
      <c r="B16" s="29">
        <v>43502.0</v>
      </c>
      <c r="C16" s="17">
        <v>22019.0</v>
      </c>
      <c r="D16" s="30" t="s">
        <v>122</v>
      </c>
      <c r="E16" s="28" t="s">
        <v>38</v>
      </c>
      <c r="F16" s="30" t="s">
        <v>123</v>
      </c>
      <c r="G16" s="28" t="s">
        <v>40</v>
      </c>
      <c r="H16" s="28" t="s">
        <v>41</v>
      </c>
      <c r="I16" s="28" t="s">
        <v>42</v>
      </c>
      <c r="J16" s="31">
        <v>1.0</v>
      </c>
      <c r="K16" s="31">
        <v>1.0</v>
      </c>
      <c r="L16" s="32"/>
      <c r="M16" s="32"/>
      <c r="N16" s="32"/>
      <c r="O16" s="32"/>
      <c r="P16" s="32"/>
      <c r="Q16" s="33"/>
      <c r="R16" s="33"/>
      <c r="S16" s="28" t="s">
        <v>114</v>
      </c>
      <c r="T16" s="28" t="s">
        <v>73</v>
      </c>
      <c r="U16" s="28" t="s">
        <v>38</v>
      </c>
      <c r="V16" s="28" t="s">
        <v>84</v>
      </c>
      <c r="W16" s="34"/>
      <c r="X16" s="34"/>
      <c r="Y16" s="34"/>
      <c r="Z16" s="34"/>
      <c r="AA16" s="35">
        <v>4085.0</v>
      </c>
      <c r="AB16" s="35">
        <v>0.0</v>
      </c>
      <c r="AC16" s="24" t="s">
        <v>124</v>
      </c>
      <c r="AD16" s="17">
        <v>2284.0</v>
      </c>
      <c r="AE16" s="27" t="s">
        <v>125</v>
      </c>
      <c r="AF16" s="28" t="str">
        <f t="shared" si="1"/>
        <v>Tierra de Fuego, Argentina</v>
      </c>
      <c r="AG16" s="28">
        <f t="shared" si="2"/>
        <v>2</v>
      </c>
      <c r="AH16" s="36">
        <f t="shared" si="3"/>
        <v>0</v>
      </c>
      <c r="AI16" s="36">
        <f t="shared" si="4"/>
        <v>0</v>
      </c>
      <c r="AJ16" s="35">
        <f t="shared" si="5"/>
        <v>4085</v>
      </c>
      <c r="AK16" s="35">
        <f t="shared" si="6"/>
        <v>4085</v>
      </c>
      <c r="AL16" s="37"/>
      <c r="AM16" s="37"/>
    </row>
    <row r="17">
      <c r="A17" s="28">
        <v>16.0</v>
      </c>
      <c r="B17" s="29">
        <v>43500.0</v>
      </c>
      <c r="C17" s="17">
        <v>22019.0</v>
      </c>
      <c r="D17" s="30" t="s">
        <v>126</v>
      </c>
      <c r="E17" s="28" t="s">
        <v>38</v>
      </c>
      <c r="F17" s="30" t="s">
        <v>77</v>
      </c>
      <c r="G17" s="28" t="s">
        <v>64</v>
      </c>
      <c r="H17" s="28" t="s">
        <v>41</v>
      </c>
      <c r="I17" s="28" t="s">
        <v>42</v>
      </c>
      <c r="J17" s="32"/>
      <c r="K17" s="31">
        <v>1.0</v>
      </c>
      <c r="L17" s="32"/>
      <c r="M17" s="32"/>
      <c r="N17" s="32"/>
      <c r="O17" s="32"/>
      <c r="P17" s="32"/>
      <c r="Q17" s="33"/>
      <c r="R17" s="33"/>
      <c r="S17" s="28" t="s">
        <v>98</v>
      </c>
      <c r="T17" s="28" t="s">
        <v>66</v>
      </c>
      <c r="U17" s="28" t="s">
        <v>67</v>
      </c>
      <c r="V17" s="28" t="s">
        <v>84</v>
      </c>
      <c r="W17" s="34"/>
      <c r="X17" s="34"/>
      <c r="Y17" s="34"/>
      <c r="Z17" s="34"/>
      <c r="AA17" s="35">
        <v>1806.0</v>
      </c>
      <c r="AB17" s="35">
        <v>3612.0</v>
      </c>
      <c r="AC17" s="24" t="s">
        <v>127</v>
      </c>
      <c r="AD17" s="17">
        <v>2296.0</v>
      </c>
      <c r="AE17" s="27" t="s">
        <v>128</v>
      </c>
      <c r="AF17" s="28" t="str">
        <f t="shared" si="1"/>
        <v>Buenos Aires, Argentina</v>
      </c>
      <c r="AG17" s="28">
        <f t="shared" si="2"/>
        <v>1</v>
      </c>
      <c r="AH17" s="36">
        <f t="shared" si="3"/>
        <v>0</v>
      </c>
      <c r="AI17" s="36">
        <f t="shared" si="4"/>
        <v>0</v>
      </c>
      <c r="AJ17" s="35">
        <f t="shared" si="5"/>
        <v>5418</v>
      </c>
      <c r="AK17" s="35">
        <f t="shared" si="6"/>
        <v>5418</v>
      </c>
      <c r="AL17" s="37"/>
      <c r="AM17" s="37"/>
    </row>
    <row r="18">
      <c r="A18" s="28">
        <v>17.0</v>
      </c>
      <c r="B18" s="29">
        <v>43511.0</v>
      </c>
      <c r="C18" s="17">
        <v>22019.0</v>
      </c>
      <c r="D18" s="30" t="s">
        <v>129</v>
      </c>
      <c r="E18" s="28" t="s">
        <v>38</v>
      </c>
      <c r="F18" s="30" t="s">
        <v>130</v>
      </c>
      <c r="G18" s="28" t="s">
        <v>64</v>
      </c>
      <c r="H18" s="28" t="s">
        <v>41</v>
      </c>
      <c r="I18" s="28" t="s">
        <v>42</v>
      </c>
      <c r="J18" s="31">
        <v>1.0</v>
      </c>
      <c r="K18" s="31">
        <v>6.0</v>
      </c>
      <c r="L18" s="32"/>
      <c r="M18" s="32"/>
      <c r="N18" s="32"/>
      <c r="O18" s="32"/>
      <c r="P18" s="32"/>
      <c r="Q18" s="33"/>
      <c r="R18" s="33"/>
      <c r="S18" s="28" t="s">
        <v>114</v>
      </c>
      <c r="T18" s="28" t="s">
        <v>66</v>
      </c>
      <c r="U18" s="28" t="s">
        <v>67</v>
      </c>
      <c r="V18" s="28" t="s">
        <v>84</v>
      </c>
      <c r="W18" s="34"/>
      <c r="X18" s="34"/>
      <c r="Y18" s="34"/>
      <c r="Z18" s="34"/>
      <c r="AA18" s="35">
        <v>11928.0</v>
      </c>
      <c r="AB18" s="35">
        <v>35342.0</v>
      </c>
      <c r="AC18" s="24" t="s">
        <v>131</v>
      </c>
      <c r="AD18" s="17">
        <v>2338.0</v>
      </c>
      <c r="AE18" s="27" t="s">
        <v>132</v>
      </c>
      <c r="AF18" s="28" t="str">
        <f t="shared" si="1"/>
        <v>Buenos Aires, Argentina</v>
      </c>
      <c r="AG18" s="28">
        <f t="shared" si="2"/>
        <v>7</v>
      </c>
      <c r="AH18" s="36">
        <f t="shared" si="3"/>
        <v>0</v>
      </c>
      <c r="AI18" s="36">
        <f t="shared" si="4"/>
        <v>0</v>
      </c>
      <c r="AJ18" s="35">
        <f t="shared" si="5"/>
        <v>47270</v>
      </c>
      <c r="AK18" s="35">
        <f t="shared" si="6"/>
        <v>47270</v>
      </c>
      <c r="AL18" s="37"/>
      <c r="AM18" s="37"/>
    </row>
    <row r="19">
      <c r="A19" s="28">
        <v>18.0</v>
      </c>
      <c r="B19" s="29">
        <v>43522.0</v>
      </c>
      <c r="C19" s="17">
        <v>22019.0</v>
      </c>
      <c r="D19" s="30" t="s">
        <v>133</v>
      </c>
      <c r="E19" s="28" t="s">
        <v>38</v>
      </c>
      <c r="F19" s="30" t="s">
        <v>71</v>
      </c>
      <c r="G19" s="28" t="s">
        <v>40</v>
      </c>
      <c r="H19" s="28" t="s">
        <v>41</v>
      </c>
      <c r="I19" s="28" t="s">
        <v>42</v>
      </c>
      <c r="J19" s="31">
        <v>1.0</v>
      </c>
      <c r="K19" s="32"/>
      <c r="L19" s="32"/>
      <c r="M19" s="32"/>
      <c r="N19" s="32"/>
      <c r="O19" s="32"/>
      <c r="P19" s="32"/>
      <c r="Q19" s="33"/>
      <c r="R19" s="33"/>
      <c r="S19" s="28" t="s">
        <v>114</v>
      </c>
      <c r="T19" s="28" t="s">
        <v>83</v>
      </c>
      <c r="U19" s="28" t="s">
        <v>38</v>
      </c>
      <c r="V19" s="28" t="s">
        <v>84</v>
      </c>
      <c r="W19" s="34"/>
      <c r="X19" s="34"/>
      <c r="Y19" s="34"/>
      <c r="Z19" s="34"/>
      <c r="AA19" s="35">
        <v>2733.0</v>
      </c>
      <c r="AB19" s="35">
        <v>0.0</v>
      </c>
      <c r="AC19" s="24" t="s">
        <v>134</v>
      </c>
      <c r="AD19" s="17">
        <v>2298.0</v>
      </c>
      <c r="AE19" s="27" t="s">
        <v>135</v>
      </c>
      <c r="AF19" s="28" t="str">
        <f t="shared" si="1"/>
        <v>Capital Federal, Argentina</v>
      </c>
      <c r="AG19" s="28">
        <f t="shared" si="2"/>
        <v>1</v>
      </c>
      <c r="AH19" s="36">
        <f t="shared" si="3"/>
        <v>0</v>
      </c>
      <c r="AI19" s="36">
        <f t="shared" si="4"/>
        <v>0</v>
      </c>
      <c r="AJ19" s="35">
        <f t="shared" si="5"/>
        <v>2733</v>
      </c>
      <c r="AK19" s="35">
        <f t="shared" si="6"/>
        <v>2733</v>
      </c>
      <c r="AL19" s="37"/>
      <c r="AM19" s="37"/>
    </row>
    <row r="20">
      <c r="A20" s="28">
        <v>19.0</v>
      </c>
      <c r="B20" s="29">
        <v>43497.0</v>
      </c>
      <c r="C20" s="17">
        <v>22019.0</v>
      </c>
      <c r="D20" s="30" t="s">
        <v>136</v>
      </c>
      <c r="E20" s="28" t="s">
        <v>38</v>
      </c>
      <c r="F20" s="30" t="s">
        <v>63</v>
      </c>
      <c r="G20" s="28" t="s">
        <v>64</v>
      </c>
      <c r="H20" s="28" t="s">
        <v>41</v>
      </c>
      <c r="I20" s="28" t="s">
        <v>42</v>
      </c>
      <c r="J20" s="32"/>
      <c r="K20" s="32"/>
      <c r="L20" s="32"/>
      <c r="M20" s="32"/>
      <c r="N20" s="32"/>
      <c r="O20" s="32"/>
      <c r="P20" s="31">
        <v>1.0</v>
      </c>
      <c r="Q20" s="33"/>
      <c r="R20" s="33"/>
      <c r="S20" s="28" t="s">
        <v>137</v>
      </c>
      <c r="T20" s="28" t="s">
        <v>66</v>
      </c>
      <c r="U20" s="28" t="s">
        <v>67</v>
      </c>
      <c r="V20" s="28" t="s">
        <v>78</v>
      </c>
      <c r="W20" s="35">
        <v>733.0</v>
      </c>
      <c r="X20" s="34"/>
      <c r="Y20" s="34"/>
      <c r="Z20" s="34"/>
      <c r="AA20" s="35">
        <v>0.0</v>
      </c>
      <c r="AB20" s="35">
        <v>0.0</v>
      </c>
      <c r="AC20" s="24" t="s">
        <v>138</v>
      </c>
      <c r="AD20" s="17">
        <v>1752.0</v>
      </c>
      <c r="AE20" s="27" t="s">
        <v>139</v>
      </c>
      <c r="AF20" s="28" t="str">
        <f t="shared" si="1"/>
        <v>Buenos Aires, Argentina</v>
      </c>
      <c r="AG20" s="28">
        <f t="shared" si="2"/>
        <v>1</v>
      </c>
      <c r="AH20" s="36">
        <f t="shared" si="3"/>
        <v>733</v>
      </c>
      <c r="AI20" s="36">
        <f t="shared" si="4"/>
        <v>0</v>
      </c>
      <c r="AJ20" s="35">
        <f t="shared" si="5"/>
        <v>0</v>
      </c>
      <c r="AK20" s="35">
        <f t="shared" si="6"/>
        <v>733</v>
      </c>
      <c r="AL20" s="37"/>
      <c r="AM20" s="37"/>
    </row>
    <row r="21">
      <c r="A21" s="28">
        <v>20.0</v>
      </c>
      <c r="B21" s="29">
        <v>43497.0</v>
      </c>
      <c r="C21" s="17">
        <v>22019.0</v>
      </c>
      <c r="D21" s="30" t="s">
        <v>140</v>
      </c>
      <c r="E21" s="28" t="s">
        <v>38</v>
      </c>
      <c r="F21" s="30" t="s">
        <v>77</v>
      </c>
      <c r="G21" s="28" t="s">
        <v>64</v>
      </c>
      <c r="H21" s="28" t="s">
        <v>41</v>
      </c>
      <c r="I21" s="28" t="s">
        <v>42</v>
      </c>
      <c r="J21" s="32"/>
      <c r="K21" s="31">
        <v>1.0</v>
      </c>
      <c r="L21" s="32"/>
      <c r="M21" s="32"/>
      <c r="N21" s="32"/>
      <c r="O21" s="32"/>
      <c r="P21" s="32"/>
      <c r="Q21" s="33"/>
      <c r="R21" s="33"/>
      <c r="S21" s="28" t="s">
        <v>141</v>
      </c>
      <c r="T21" s="28" t="s">
        <v>66</v>
      </c>
      <c r="U21" s="28" t="s">
        <v>67</v>
      </c>
      <c r="V21" s="28" t="s">
        <v>78</v>
      </c>
      <c r="W21" s="34"/>
      <c r="X21" s="34"/>
      <c r="Y21" s="34"/>
      <c r="Z21" s="34"/>
      <c r="AA21" s="35">
        <v>1643.0</v>
      </c>
      <c r="AB21" s="35">
        <v>4816.0</v>
      </c>
      <c r="AC21" s="24" t="s">
        <v>142</v>
      </c>
      <c r="AD21" s="38"/>
      <c r="AE21" s="27" t="s">
        <v>143</v>
      </c>
      <c r="AF21" s="28" t="str">
        <f t="shared" si="1"/>
        <v>Buenos Aires, Argentina</v>
      </c>
      <c r="AG21" s="28">
        <f t="shared" si="2"/>
        <v>1</v>
      </c>
      <c r="AH21" s="36">
        <f t="shared" si="3"/>
        <v>0</v>
      </c>
      <c r="AI21" s="36">
        <f t="shared" si="4"/>
        <v>0</v>
      </c>
      <c r="AJ21" s="35">
        <f t="shared" si="5"/>
        <v>6459</v>
      </c>
      <c r="AK21" s="35">
        <f t="shared" si="6"/>
        <v>6459</v>
      </c>
      <c r="AL21" s="37"/>
      <c r="AM21" s="37"/>
    </row>
    <row r="22">
      <c r="A22" s="39">
        <v>21.0</v>
      </c>
      <c r="B22" s="40">
        <v>43547.0</v>
      </c>
      <c r="C22" s="17">
        <v>32019.0</v>
      </c>
      <c r="D22" s="41" t="s">
        <v>144</v>
      </c>
      <c r="E22" s="39" t="s">
        <v>38</v>
      </c>
      <c r="F22" s="41" t="s">
        <v>123</v>
      </c>
      <c r="G22" s="39" t="s">
        <v>40</v>
      </c>
      <c r="H22" s="39" t="s">
        <v>41</v>
      </c>
      <c r="I22" s="39" t="s">
        <v>42</v>
      </c>
      <c r="J22" s="42">
        <v>1.0</v>
      </c>
      <c r="K22" s="42">
        <v>1.0</v>
      </c>
      <c r="L22" s="43"/>
      <c r="M22" s="43"/>
      <c r="N22" s="43"/>
      <c r="O22" s="43"/>
      <c r="P22" s="43"/>
      <c r="Q22" s="44"/>
      <c r="R22" s="44"/>
      <c r="S22" s="39" t="s">
        <v>98</v>
      </c>
      <c r="T22" s="39" t="s">
        <v>115</v>
      </c>
      <c r="U22" s="39" t="s">
        <v>45</v>
      </c>
      <c r="V22" s="39" t="s">
        <v>46</v>
      </c>
      <c r="W22" s="45"/>
      <c r="X22" s="45"/>
      <c r="Y22" s="45"/>
      <c r="Z22" s="45"/>
      <c r="AA22" s="46">
        <v>4539.0</v>
      </c>
      <c r="AB22" s="46">
        <v>18156.0</v>
      </c>
      <c r="AC22" s="24" t="s">
        <v>145</v>
      </c>
      <c r="AD22" s="17">
        <v>2587.0</v>
      </c>
      <c r="AE22" s="27" t="s">
        <v>146</v>
      </c>
      <c r="AF22" s="39" t="str">
        <f t="shared" si="1"/>
        <v>Jujuy, Argentina</v>
      </c>
      <c r="AG22" s="39">
        <f t="shared" si="2"/>
        <v>2</v>
      </c>
      <c r="AH22" s="47">
        <f t="shared" si="3"/>
        <v>0</v>
      </c>
      <c r="AI22" s="47">
        <f t="shared" si="4"/>
        <v>0</v>
      </c>
      <c r="AJ22" s="46">
        <f t="shared" si="5"/>
        <v>22695</v>
      </c>
      <c r="AK22" s="46">
        <f t="shared" si="6"/>
        <v>22695</v>
      </c>
      <c r="AL22" s="48"/>
      <c r="AM22" s="48"/>
    </row>
    <row r="23">
      <c r="A23" s="39">
        <v>22.0</v>
      </c>
      <c r="B23" s="40">
        <v>43550.0</v>
      </c>
      <c r="C23" s="17">
        <v>32019.0</v>
      </c>
      <c r="D23" s="41" t="s">
        <v>147</v>
      </c>
      <c r="E23" s="39" t="s">
        <v>38</v>
      </c>
      <c r="F23" s="41" t="s">
        <v>63</v>
      </c>
      <c r="G23" s="39" t="s">
        <v>64</v>
      </c>
      <c r="H23" s="39" t="s">
        <v>41</v>
      </c>
      <c r="I23" s="39" t="s">
        <v>42</v>
      </c>
      <c r="J23" s="43"/>
      <c r="K23" s="43"/>
      <c r="L23" s="43"/>
      <c r="M23" s="43"/>
      <c r="N23" s="43"/>
      <c r="O23" s="43"/>
      <c r="P23" s="42">
        <v>1.0</v>
      </c>
      <c r="Q23" s="44"/>
      <c r="R23" s="44"/>
      <c r="S23" s="39" t="s">
        <v>98</v>
      </c>
      <c r="T23" s="39" t="s">
        <v>148</v>
      </c>
      <c r="U23" s="39" t="s">
        <v>45</v>
      </c>
      <c r="V23" s="39" t="s">
        <v>46</v>
      </c>
      <c r="W23" s="46">
        <v>1190.0</v>
      </c>
      <c r="X23" s="45"/>
      <c r="Y23" s="45"/>
      <c r="Z23" s="45"/>
      <c r="AA23" s="46">
        <v>0.0</v>
      </c>
      <c r="AB23" s="46">
        <v>0.0</v>
      </c>
      <c r="AC23" s="38"/>
      <c r="AD23" s="38"/>
      <c r="AE23" s="27" t="s">
        <v>149</v>
      </c>
      <c r="AF23" s="39" t="str">
        <f t="shared" si="1"/>
        <v>Formosa, Argentina</v>
      </c>
      <c r="AG23" s="39">
        <f t="shared" si="2"/>
        <v>1</v>
      </c>
      <c r="AH23" s="47">
        <f t="shared" si="3"/>
        <v>1190</v>
      </c>
      <c r="AI23" s="47">
        <f t="shared" si="4"/>
        <v>0</v>
      </c>
      <c r="AJ23" s="46">
        <f t="shared" si="5"/>
        <v>0</v>
      </c>
      <c r="AK23" s="46">
        <f t="shared" si="6"/>
        <v>1190</v>
      </c>
      <c r="AL23" s="48"/>
      <c r="AM23" s="48"/>
    </row>
    <row r="24">
      <c r="A24" s="39">
        <v>23.0</v>
      </c>
      <c r="B24" s="40">
        <v>43531.0</v>
      </c>
      <c r="C24" s="17">
        <v>32019.0</v>
      </c>
      <c r="D24" s="41" t="s">
        <v>150</v>
      </c>
      <c r="E24" s="39" t="s">
        <v>38</v>
      </c>
      <c r="F24" s="41" t="s">
        <v>151</v>
      </c>
      <c r="G24" s="39" t="s">
        <v>40</v>
      </c>
      <c r="H24" s="39" t="s">
        <v>41</v>
      </c>
      <c r="I24" s="39" t="s">
        <v>42</v>
      </c>
      <c r="J24" s="42">
        <v>3.0</v>
      </c>
      <c r="K24" s="42">
        <v>2.0</v>
      </c>
      <c r="L24" s="43"/>
      <c r="M24" s="42">
        <v>1.0</v>
      </c>
      <c r="N24" s="43"/>
      <c r="O24" s="43"/>
      <c r="P24" s="43"/>
      <c r="Q24" s="44"/>
      <c r="R24" s="44"/>
      <c r="S24" s="39" t="s">
        <v>72</v>
      </c>
      <c r="T24" s="39" t="s">
        <v>83</v>
      </c>
      <c r="U24" s="39" t="s">
        <v>53</v>
      </c>
      <c r="V24" s="39" t="s">
        <v>59</v>
      </c>
      <c r="W24" s="45"/>
      <c r="X24" s="45"/>
      <c r="Y24" s="45"/>
      <c r="Z24" s="45"/>
      <c r="AA24" s="46">
        <v>12805.0</v>
      </c>
      <c r="AB24" s="46">
        <v>0.0</v>
      </c>
      <c r="AC24" s="24" t="s">
        <v>152</v>
      </c>
      <c r="AD24" s="17">
        <v>2447.0</v>
      </c>
      <c r="AE24" s="27" t="s">
        <v>153</v>
      </c>
      <c r="AF24" s="39" t="str">
        <f t="shared" si="1"/>
        <v>Capital Federal, Argentina</v>
      </c>
      <c r="AG24" s="39">
        <f t="shared" si="2"/>
        <v>6</v>
      </c>
      <c r="AH24" s="47">
        <f t="shared" si="3"/>
        <v>0</v>
      </c>
      <c r="AI24" s="47">
        <f t="shared" si="4"/>
        <v>0</v>
      </c>
      <c r="AJ24" s="46">
        <f t="shared" si="5"/>
        <v>12805</v>
      </c>
      <c r="AK24" s="46">
        <f t="shared" si="6"/>
        <v>12805</v>
      </c>
      <c r="AL24" s="48"/>
      <c r="AM24" s="48"/>
    </row>
    <row r="25">
      <c r="A25" s="39">
        <v>24.0</v>
      </c>
      <c r="B25" s="40">
        <v>43537.0</v>
      </c>
      <c r="C25" s="17">
        <v>32019.0</v>
      </c>
      <c r="D25" s="41" t="s">
        <v>154</v>
      </c>
      <c r="E25" s="39" t="s">
        <v>38</v>
      </c>
      <c r="F25" s="41" t="s">
        <v>71</v>
      </c>
      <c r="G25" s="39" t="s">
        <v>40</v>
      </c>
      <c r="H25" s="39" t="s">
        <v>41</v>
      </c>
      <c r="I25" s="39" t="s">
        <v>42</v>
      </c>
      <c r="J25" s="42">
        <v>1.0</v>
      </c>
      <c r="K25" s="43"/>
      <c r="L25" s="43"/>
      <c r="M25" s="43"/>
      <c r="N25" s="43"/>
      <c r="O25" s="43"/>
      <c r="P25" s="43"/>
      <c r="Q25" s="44"/>
      <c r="R25" s="44"/>
      <c r="S25" s="39" t="s">
        <v>114</v>
      </c>
      <c r="T25" s="39" t="s">
        <v>83</v>
      </c>
      <c r="U25" s="39" t="s">
        <v>38</v>
      </c>
      <c r="V25" s="39" t="s">
        <v>59</v>
      </c>
      <c r="W25" s="45"/>
      <c r="X25" s="45"/>
      <c r="Y25" s="45"/>
      <c r="Z25" s="45"/>
      <c r="AA25" s="46">
        <v>2733.0</v>
      </c>
      <c r="AB25" s="46">
        <v>0.0</v>
      </c>
      <c r="AC25" s="24" t="s">
        <v>155</v>
      </c>
      <c r="AD25" s="17">
        <v>2439.0</v>
      </c>
      <c r="AE25" s="27" t="s">
        <v>156</v>
      </c>
      <c r="AF25" s="39" t="str">
        <f t="shared" si="1"/>
        <v>Capital Federal, Argentina</v>
      </c>
      <c r="AG25" s="39">
        <f t="shared" si="2"/>
        <v>1</v>
      </c>
      <c r="AH25" s="47">
        <f t="shared" si="3"/>
        <v>0</v>
      </c>
      <c r="AI25" s="47">
        <f t="shared" si="4"/>
        <v>0</v>
      </c>
      <c r="AJ25" s="46">
        <f t="shared" si="5"/>
        <v>2733</v>
      </c>
      <c r="AK25" s="46">
        <f t="shared" si="6"/>
        <v>2733</v>
      </c>
      <c r="AL25" s="48"/>
      <c r="AM25" s="48"/>
    </row>
    <row r="26">
      <c r="A26" s="39">
        <v>25.0</v>
      </c>
      <c r="B26" s="40">
        <v>43551.0</v>
      </c>
      <c r="C26" s="17">
        <v>32019.0</v>
      </c>
      <c r="D26" s="41" t="s">
        <v>157</v>
      </c>
      <c r="E26" s="39" t="s">
        <v>38</v>
      </c>
      <c r="F26" s="41" t="s">
        <v>158</v>
      </c>
      <c r="G26" s="39" t="s">
        <v>64</v>
      </c>
      <c r="H26" s="39" t="s">
        <v>41</v>
      </c>
      <c r="I26" s="39" t="s">
        <v>42</v>
      </c>
      <c r="J26" s="43"/>
      <c r="K26" s="43"/>
      <c r="L26" s="43"/>
      <c r="M26" s="42">
        <v>1.0</v>
      </c>
      <c r="N26" s="43"/>
      <c r="O26" s="43"/>
      <c r="P26" s="43"/>
      <c r="Q26" s="44"/>
      <c r="R26" s="44"/>
      <c r="S26" s="39" t="s">
        <v>98</v>
      </c>
      <c r="T26" s="39" t="s">
        <v>66</v>
      </c>
      <c r="U26" s="39" t="s">
        <v>99</v>
      </c>
      <c r="V26" s="39" t="s">
        <v>59</v>
      </c>
      <c r="W26" s="45"/>
      <c r="X26" s="45"/>
      <c r="Y26" s="45"/>
      <c r="Z26" s="45"/>
      <c r="AA26" s="46">
        <v>994.0</v>
      </c>
      <c r="AB26" s="46">
        <v>1855.0</v>
      </c>
      <c r="AC26" s="24" t="s">
        <v>159</v>
      </c>
      <c r="AD26" s="17">
        <v>2495.0</v>
      </c>
      <c r="AE26" s="27" t="s">
        <v>160</v>
      </c>
      <c r="AF26" s="39" t="str">
        <f t="shared" si="1"/>
        <v>Buenos Aires, Argentina</v>
      </c>
      <c r="AG26" s="39">
        <f t="shared" si="2"/>
        <v>1</v>
      </c>
      <c r="AH26" s="47">
        <f t="shared" si="3"/>
        <v>0</v>
      </c>
      <c r="AI26" s="47">
        <f t="shared" si="4"/>
        <v>0</v>
      </c>
      <c r="AJ26" s="46">
        <f t="shared" si="5"/>
        <v>2849</v>
      </c>
      <c r="AK26" s="46">
        <f t="shared" si="6"/>
        <v>2849</v>
      </c>
      <c r="AL26" s="48"/>
      <c r="AM26" s="48"/>
    </row>
    <row r="27">
      <c r="A27" s="39">
        <v>26.0</v>
      </c>
      <c r="B27" s="40">
        <v>43549.0</v>
      </c>
      <c r="C27" s="17">
        <v>32019.0</v>
      </c>
      <c r="D27" s="41" t="s">
        <v>161</v>
      </c>
      <c r="E27" s="39" t="s">
        <v>38</v>
      </c>
      <c r="F27" s="41" t="s">
        <v>162</v>
      </c>
      <c r="G27" s="39" t="s">
        <v>40</v>
      </c>
      <c r="H27" s="39" t="s">
        <v>41</v>
      </c>
      <c r="I27" s="39" t="s">
        <v>42</v>
      </c>
      <c r="J27" s="42">
        <v>3.0</v>
      </c>
      <c r="K27" s="43"/>
      <c r="L27" s="43"/>
      <c r="M27" s="42">
        <v>1.0</v>
      </c>
      <c r="N27" s="43"/>
      <c r="O27" s="43"/>
      <c r="P27" s="43"/>
      <c r="Q27" s="44"/>
      <c r="R27" s="44"/>
      <c r="S27" s="39" t="s">
        <v>114</v>
      </c>
      <c r="T27" s="39" t="s">
        <v>83</v>
      </c>
      <c r="U27" s="39" t="s">
        <v>163</v>
      </c>
      <c r="V27" s="39" t="s">
        <v>59</v>
      </c>
      <c r="W27" s="45"/>
      <c r="X27" s="45"/>
      <c r="Y27" s="45"/>
      <c r="Z27" s="45"/>
      <c r="AA27" s="46">
        <v>6251.0</v>
      </c>
      <c r="AB27" s="46">
        <v>27578.0</v>
      </c>
      <c r="AC27" s="24" t="s">
        <v>164</v>
      </c>
      <c r="AD27" s="17">
        <v>2501.0</v>
      </c>
      <c r="AE27" s="27" t="s">
        <v>165</v>
      </c>
      <c r="AF27" s="39" t="str">
        <f t="shared" si="1"/>
        <v>Capital Federal, Argentina</v>
      </c>
      <c r="AG27" s="39">
        <f t="shared" si="2"/>
        <v>4</v>
      </c>
      <c r="AH27" s="47">
        <f t="shared" si="3"/>
        <v>0</v>
      </c>
      <c r="AI27" s="47">
        <f t="shared" si="4"/>
        <v>0</v>
      </c>
      <c r="AJ27" s="46">
        <f t="shared" si="5"/>
        <v>33829</v>
      </c>
      <c r="AK27" s="46">
        <f t="shared" si="6"/>
        <v>33829</v>
      </c>
      <c r="AL27" s="48"/>
      <c r="AM27" s="48"/>
    </row>
    <row r="28">
      <c r="A28" s="39">
        <v>27.0</v>
      </c>
      <c r="B28" s="40">
        <v>43545.0</v>
      </c>
      <c r="C28" s="17">
        <v>32019.0</v>
      </c>
      <c r="D28" s="41" t="s">
        <v>166</v>
      </c>
      <c r="E28" s="39" t="s">
        <v>38</v>
      </c>
      <c r="F28" s="41" t="s">
        <v>88</v>
      </c>
      <c r="G28" s="39" t="s">
        <v>40</v>
      </c>
      <c r="H28" s="39" t="s">
        <v>41</v>
      </c>
      <c r="I28" s="39" t="s">
        <v>42</v>
      </c>
      <c r="J28" s="42">
        <v>1.0</v>
      </c>
      <c r="K28" s="43"/>
      <c r="L28" s="43"/>
      <c r="M28" s="42">
        <v>1.0</v>
      </c>
      <c r="N28" s="43"/>
      <c r="O28" s="43"/>
      <c r="P28" s="43"/>
      <c r="Q28" s="44"/>
      <c r="R28" s="44"/>
      <c r="S28" s="39" t="s">
        <v>167</v>
      </c>
      <c r="T28" s="39" t="s">
        <v>66</v>
      </c>
      <c r="U28" s="39" t="s">
        <v>38</v>
      </c>
      <c r="V28" s="39" t="s">
        <v>59</v>
      </c>
      <c r="W28" s="45"/>
      <c r="X28" s="45"/>
      <c r="Y28" s="45"/>
      <c r="Z28" s="45"/>
      <c r="AA28" s="46">
        <v>2733.0</v>
      </c>
      <c r="AB28" s="46">
        <v>8199.0</v>
      </c>
      <c r="AC28" s="24" t="s">
        <v>168</v>
      </c>
      <c r="AD28" s="17">
        <v>2483.0</v>
      </c>
      <c r="AE28" s="27" t="s">
        <v>169</v>
      </c>
      <c r="AF28" s="39" t="str">
        <f t="shared" si="1"/>
        <v>Buenos Aires, Argentina</v>
      </c>
      <c r="AG28" s="39">
        <f t="shared" si="2"/>
        <v>2</v>
      </c>
      <c r="AH28" s="47">
        <f t="shared" si="3"/>
        <v>0</v>
      </c>
      <c r="AI28" s="47">
        <f t="shared" si="4"/>
        <v>0</v>
      </c>
      <c r="AJ28" s="46">
        <f t="shared" si="5"/>
        <v>10932</v>
      </c>
      <c r="AK28" s="46">
        <f t="shared" si="6"/>
        <v>10932</v>
      </c>
      <c r="AL28" s="48"/>
      <c r="AM28" s="48"/>
    </row>
    <row r="29">
      <c r="A29" s="39">
        <v>28.0</v>
      </c>
      <c r="B29" s="40">
        <v>43549.0</v>
      </c>
      <c r="C29" s="17">
        <v>32019.0</v>
      </c>
      <c r="D29" s="41" t="s">
        <v>170</v>
      </c>
      <c r="E29" s="39" t="s">
        <v>38</v>
      </c>
      <c r="F29" s="41" t="s">
        <v>171</v>
      </c>
      <c r="G29" s="39" t="s">
        <v>40</v>
      </c>
      <c r="H29" s="39" t="s">
        <v>41</v>
      </c>
      <c r="I29" s="39" t="s">
        <v>42</v>
      </c>
      <c r="J29" s="42">
        <v>2.0</v>
      </c>
      <c r="K29" s="42">
        <v>3.0</v>
      </c>
      <c r="L29" s="43"/>
      <c r="M29" s="42">
        <v>2.0</v>
      </c>
      <c r="N29" s="43"/>
      <c r="O29" s="43"/>
      <c r="P29" s="43"/>
      <c r="Q29" s="44"/>
      <c r="R29" s="44"/>
      <c r="S29" s="39" t="s">
        <v>98</v>
      </c>
      <c r="T29" s="39" t="s">
        <v>66</v>
      </c>
      <c r="U29" s="39" t="s">
        <v>38</v>
      </c>
      <c r="V29" s="39" t="s">
        <v>59</v>
      </c>
      <c r="W29" s="45"/>
      <c r="X29" s="45"/>
      <c r="Y29" s="45"/>
      <c r="Z29" s="45"/>
      <c r="AA29" s="46">
        <v>9502.0</v>
      </c>
      <c r="AB29" s="46">
        <v>38614.0</v>
      </c>
      <c r="AC29" s="24" t="s">
        <v>172</v>
      </c>
      <c r="AD29" s="17">
        <v>2531.0</v>
      </c>
      <c r="AE29" s="27" t="s">
        <v>173</v>
      </c>
      <c r="AF29" s="39" t="str">
        <f t="shared" si="1"/>
        <v>Buenos Aires, Argentina</v>
      </c>
      <c r="AG29" s="39">
        <f t="shared" si="2"/>
        <v>7</v>
      </c>
      <c r="AH29" s="47">
        <f t="shared" si="3"/>
        <v>0</v>
      </c>
      <c r="AI29" s="47">
        <f t="shared" si="4"/>
        <v>0</v>
      </c>
      <c r="AJ29" s="46">
        <f t="shared" si="5"/>
        <v>48116</v>
      </c>
      <c r="AK29" s="46">
        <f t="shared" si="6"/>
        <v>48116</v>
      </c>
      <c r="AL29" s="48"/>
      <c r="AM29" s="48"/>
    </row>
    <row r="30">
      <c r="A30" s="39">
        <v>29.0</v>
      </c>
      <c r="B30" s="40">
        <v>43550.0</v>
      </c>
      <c r="C30" s="17">
        <v>32019.0</v>
      </c>
      <c r="D30" s="41" t="s">
        <v>174</v>
      </c>
      <c r="E30" s="39" t="s">
        <v>38</v>
      </c>
      <c r="F30" s="41" t="s">
        <v>175</v>
      </c>
      <c r="G30" s="39" t="s">
        <v>40</v>
      </c>
      <c r="H30" s="39" t="s">
        <v>41</v>
      </c>
      <c r="I30" s="39" t="s">
        <v>42</v>
      </c>
      <c r="J30" s="42">
        <v>1.0</v>
      </c>
      <c r="K30" s="42">
        <v>3.0</v>
      </c>
      <c r="L30" s="43"/>
      <c r="M30" s="42">
        <v>1.0</v>
      </c>
      <c r="N30" s="43"/>
      <c r="O30" s="43"/>
      <c r="P30" s="43"/>
      <c r="Q30" s="44"/>
      <c r="R30" s="44"/>
      <c r="S30" s="39" t="s">
        <v>98</v>
      </c>
      <c r="T30" s="39" t="s">
        <v>66</v>
      </c>
      <c r="U30" s="39" t="s">
        <v>38</v>
      </c>
      <c r="V30" s="39" t="s">
        <v>59</v>
      </c>
      <c r="W30" s="45"/>
      <c r="X30" s="45"/>
      <c r="Y30" s="45"/>
      <c r="Z30" s="45"/>
      <c r="AA30" s="46">
        <v>8473.0</v>
      </c>
      <c r="AB30" s="46">
        <v>29905.0</v>
      </c>
      <c r="AC30" s="24" t="s">
        <v>176</v>
      </c>
      <c r="AD30" s="17">
        <v>2585.0</v>
      </c>
      <c r="AE30" s="27" t="s">
        <v>177</v>
      </c>
      <c r="AF30" s="39" t="str">
        <f t="shared" si="1"/>
        <v>Buenos Aires, Argentina</v>
      </c>
      <c r="AG30" s="39">
        <f t="shared" si="2"/>
        <v>5</v>
      </c>
      <c r="AH30" s="47">
        <f t="shared" si="3"/>
        <v>0</v>
      </c>
      <c r="AI30" s="47">
        <f t="shared" si="4"/>
        <v>0</v>
      </c>
      <c r="AJ30" s="46">
        <f t="shared" si="5"/>
        <v>38378</v>
      </c>
      <c r="AK30" s="46">
        <f t="shared" si="6"/>
        <v>38378</v>
      </c>
      <c r="AL30" s="48"/>
      <c r="AM30" s="48"/>
    </row>
    <row r="31">
      <c r="A31" s="39">
        <v>30.0</v>
      </c>
      <c r="B31" s="40">
        <v>43525.0</v>
      </c>
      <c r="C31" s="17">
        <v>32019.0</v>
      </c>
      <c r="D31" s="41" t="s">
        <v>178</v>
      </c>
      <c r="E31" s="39" t="s">
        <v>179</v>
      </c>
      <c r="F31" s="41" t="s">
        <v>180</v>
      </c>
      <c r="G31" s="39" t="s">
        <v>64</v>
      </c>
      <c r="H31" s="39" t="s">
        <v>41</v>
      </c>
      <c r="I31" s="39" t="s">
        <v>42</v>
      </c>
      <c r="J31" s="43"/>
      <c r="K31" s="43"/>
      <c r="L31" s="43"/>
      <c r="M31" s="43"/>
      <c r="N31" s="43"/>
      <c r="O31" s="43"/>
      <c r="P31" s="43"/>
      <c r="Q31" s="44"/>
      <c r="R31" s="39">
        <v>3.0</v>
      </c>
      <c r="S31" s="39" t="s">
        <v>51</v>
      </c>
      <c r="T31" s="39" t="s">
        <v>83</v>
      </c>
      <c r="U31" s="39" t="s">
        <v>67</v>
      </c>
      <c r="V31" s="39" t="s">
        <v>84</v>
      </c>
      <c r="W31" s="45"/>
      <c r="X31" s="45"/>
      <c r="Y31" s="45"/>
      <c r="Z31" s="45"/>
      <c r="AA31" s="46">
        <v>0.0</v>
      </c>
      <c r="AB31" s="46">
        <v>15000.0</v>
      </c>
      <c r="AC31" s="24" t="s">
        <v>181</v>
      </c>
      <c r="AD31" s="17">
        <v>2437.0</v>
      </c>
      <c r="AE31" s="27" t="s">
        <v>182</v>
      </c>
      <c r="AF31" s="39" t="str">
        <f t="shared" si="1"/>
        <v>Capital Federal, Argentina</v>
      </c>
      <c r="AG31" s="39">
        <f t="shared" si="2"/>
        <v>0</v>
      </c>
      <c r="AH31" s="47">
        <f t="shared" si="3"/>
        <v>0</v>
      </c>
      <c r="AI31" s="47">
        <f t="shared" si="4"/>
        <v>0</v>
      </c>
      <c r="AJ31" s="46">
        <f t="shared" si="5"/>
        <v>15000</v>
      </c>
      <c r="AK31" s="46">
        <f t="shared" si="6"/>
        <v>15000</v>
      </c>
      <c r="AL31" s="48"/>
      <c r="AM31" s="48"/>
    </row>
    <row r="32">
      <c r="A32" s="39">
        <v>31.0</v>
      </c>
      <c r="B32" s="40">
        <v>43538.0</v>
      </c>
      <c r="C32" s="17">
        <v>32019.0</v>
      </c>
      <c r="D32" s="41" t="s">
        <v>183</v>
      </c>
      <c r="E32" s="39" t="s">
        <v>38</v>
      </c>
      <c r="F32" s="41" t="s">
        <v>184</v>
      </c>
      <c r="G32" s="39" t="s">
        <v>64</v>
      </c>
      <c r="H32" s="39" t="s">
        <v>41</v>
      </c>
      <c r="I32" s="39" t="s">
        <v>42</v>
      </c>
      <c r="J32" s="43"/>
      <c r="K32" s="43"/>
      <c r="L32" s="43"/>
      <c r="M32" s="43"/>
      <c r="N32" s="43"/>
      <c r="O32" s="43"/>
      <c r="P32" s="43"/>
      <c r="Q32" s="44"/>
      <c r="R32" s="39">
        <v>5.0</v>
      </c>
      <c r="S32" s="39" t="s">
        <v>65</v>
      </c>
      <c r="T32" s="39" t="s">
        <v>66</v>
      </c>
      <c r="U32" s="39" t="s">
        <v>67</v>
      </c>
      <c r="V32" s="39" t="s">
        <v>84</v>
      </c>
      <c r="W32" s="45"/>
      <c r="X32" s="45"/>
      <c r="Y32" s="45"/>
      <c r="Z32" s="46">
        <v>10800.0</v>
      </c>
      <c r="AA32" s="46">
        <v>0.0</v>
      </c>
      <c r="AB32" s="46">
        <v>0.0</v>
      </c>
      <c r="AC32" s="24" t="s">
        <v>185</v>
      </c>
      <c r="AD32" s="17">
        <v>2300.0</v>
      </c>
      <c r="AE32" s="27" t="s">
        <v>186</v>
      </c>
      <c r="AF32" s="39" t="str">
        <f t="shared" si="1"/>
        <v>Buenos Aires, Argentina</v>
      </c>
      <c r="AG32" s="39">
        <f t="shared" si="2"/>
        <v>0</v>
      </c>
      <c r="AH32" s="47">
        <f t="shared" si="3"/>
        <v>0</v>
      </c>
      <c r="AI32" s="47">
        <f t="shared" si="4"/>
        <v>10800</v>
      </c>
      <c r="AJ32" s="46">
        <f t="shared" si="5"/>
        <v>0</v>
      </c>
      <c r="AK32" s="46">
        <f t="shared" si="6"/>
        <v>10800</v>
      </c>
      <c r="AL32" s="48"/>
      <c r="AM32" s="48"/>
    </row>
    <row r="33">
      <c r="A33" s="39">
        <v>32.0</v>
      </c>
      <c r="B33" s="40">
        <v>43539.0</v>
      </c>
      <c r="C33" s="17">
        <v>32019.0</v>
      </c>
      <c r="D33" s="41" t="s">
        <v>187</v>
      </c>
      <c r="E33" s="39" t="s">
        <v>38</v>
      </c>
      <c r="F33" s="41" t="s">
        <v>188</v>
      </c>
      <c r="G33" s="39" t="s">
        <v>64</v>
      </c>
      <c r="H33" s="39" t="s">
        <v>41</v>
      </c>
      <c r="I33" s="39" t="s">
        <v>42</v>
      </c>
      <c r="J33" s="43"/>
      <c r="K33" s="43"/>
      <c r="L33" s="43"/>
      <c r="M33" s="43"/>
      <c r="N33" s="43"/>
      <c r="O33" s="43"/>
      <c r="P33" s="43"/>
      <c r="Q33" s="44"/>
      <c r="R33" s="39">
        <v>3.0</v>
      </c>
      <c r="S33" s="39" t="s">
        <v>189</v>
      </c>
      <c r="T33" s="39" t="s">
        <v>73</v>
      </c>
      <c r="U33" s="39" t="s">
        <v>67</v>
      </c>
      <c r="V33" s="39" t="s">
        <v>84</v>
      </c>
      <c r="W33" s="45"/>
      <c r="X33" s="45"/>
      <c r="Y33" s="45"/>
      <c r="Z33" s="46">
        <v>9000.0</v>
      </c>
      <c r="AA33" s="46">
        <v>0.0</v>
      </c>
      <c r="AB33" s="46">
        <v>0.0</v>
      </c>
      <c r="AC33" s="24" t="s">
        <v>190</v>
      </c>
      <c r="AD33" s="17">
        <v>2330.0</v>
      </c>
      <c r="AE33" s="27" t="s">
        <v>191</v>
      </c>
      <c r="AF33" s="39" t="str">
        <f t="shared" si="1"/>
        <v>Tierra de Fuego, Argentina</v>
      </c>
      <c r="AG33" s="39">
        <f t="shared" si="2"/>
        <v>0</v>
      </c>
      <c r="AH33" s="47">
        <f t="shared" si="3"/>
        <v>0</v>
      </c>
      <c r="AI33" s="47">
        <f t="shared" si="4"/>
        <v>9000</v>
      </c>
      <c r="AJ33" s="46">
        <f t="shared" si="5"/>
        <v>0</v>
      </c>
      <c r="AK33" s="46">
        <f t="shared" si="6"/>
        <v>9000</v>
      </c>
      <c r="AL33" s="48"/>
      <c r="AM33" s="48"/>
    </row>
    <row r="34">
      <c r="A34" s="39">
        <v>33.0</v>
      </c>
      <c r="B34" s="40">
        <v>43525.0</v>
      </c>
      <c r="C34" s="17">
        <v>32019.0</v>
      </c>
      <c r="D34" s="41" t="s">
        <v>192</v>
      </c>
      <c r="E34" s="39" t="s">
        <v>38</v>
      </c>
      <c r="F34" s="41" t="s">
        <v>71</v>
      </c>
      <c r="G34" s="39" t="s">
        <v>40</v>
      </c>
      <c r="H34" s="39" t="s">
        <v>41</v>
      </c>
      <c r="I34" s="39" t="s">
        <v>42</v>
      </c>
      <c r="J34" s="42">
        <v>1.0</v>
      </c>
      <c r="K34" s="43"/>
      <c r="L34" s="43"/>
      <c r="M34" s="43"/>
      <c r="N34" s="43"/>
      <c r="O34" s="43"/>
      <c r="P34" s="43"/>
      <c r="Q34" s="44"/>
      <c r="R34" s="44"/>
      <c r="S34" s="39" t="s">
        <v>89</v>
      </c>
      <c r="T34" s="39" t="s">
        <v>66</v>
      </c>
      <c r="U34" s="39" t="s">
        <v>38</v>
      </c>
      <c r="V34" s="39" t="s">
        <v>84</v>
      </c>
      <c r="W34" s="45"/>
      <c r="X34" s="45"/>
      <c r="Y34" s="45"/>
      <c r="Z34" s="45"/>
      <c r="AA34" s="46">
        <v>2733.0</v>
      </c>
      <c r="AB34" s="46">
        <v>10932.0</v>
      </c>
      <c r="AC34" s="24" t="s">
        <v>193</v>
      </c>
      <c r="AD34" s="17">
        <v>2326.0</v>
      </c>
      <c r="AE34" s="27" t="s">
        <v>194</v>
      </c>
      <c r="AF34" s="39" t="str">
        <f t="shared" si="1"/>
        <v>Buenos Aires, Argentina</v>
      </c>
      <c r="AG34" s="39">
        <f t="shared" si="2"/>
        <v>1</v>
      </c>
      <c r="AH34" s="47">
        <f t="shared" si="3"/>
        <v>0</v>
      </c>
      <c r="AI34" s="47">
        <f t="shared" si="4"/>
        <v>0</v>
      </c>
      <c r="AJ34" s="46">
        <f t="shared" si="5"/>
        <v>13665</v>
      </c>
      <c r="AK34" s="46">
        <f t="shared" si="6"/>
        <v>13665</v>
      </c>
      <c r="AL34" s="48"/>
      <c r="AM34" s="48"/>
    </row>
    <row r="35">
      <c r="A35" s="39">
        <v>34.0</v>
      </c>
      <c r="B35" s="40">
        <v>43528.0</v>
      </c>
      <c r="C35" s="17">
        <v>32019.0</v>
      </c>
      <c r="D35" s="41" t="s">
        <v>195</v>
      </c>
      <c r="E35" s="39" t="s">
        <v>38</v>
      </c>
      <c r="F35" s="41" t="s">
        <v>196</v>
      </c>
      <c r="G35" s="39" t="s">
        <v>64</v>
      </c>
      <c r="H35" s="39" t="s">
        <v>41</v>
      </c>
      <c r="I35" s="39" t="s">
        <v>42</v>
      </c>
      <c r="J35" s="43"/>
      <c r="K35" s="43"/>
      <c r="L35" s="43"/>
      <c r="M35" s="43"/>
      <c r="N35" s="43"/>
      <c r="O35" s="43"/>
      <c r="P35" s="43"/>
      <c r="Q35" s="44"/>
      <c r="R35" s="39">
        <v>1.0</v>
      </c>
      <c r="S35" s="39" t="s">
        <v>65</v>
      </c>
      <c r="T35" s="39" t="s">
        <v>66</v>
      </c>
      <c r="U35" s="39" t="s">
        <v>67</v>
      </c>
      <c r="V35" s="39" t="s">
        <v>84</v>
      </c>
      <c r="W35" s="45"/>
      <c r="X35" s="45"/>
      <c r="Y35" s="45"/>
      <c r="Z35" s="46">
        <v>3000.0</v>
      </c>
      <c r="AA35" s="46">
        <v>0.0</v>
      </c>
      <c r="AB35" s="46">
        <v>0.0</v>
      </c>
      <c r="AC35" s="24" t="s">
        <v>197</v>
      </c>
      <c r="AD35" s="17">
        <v>2417.0</v>
      </c>
      <c r="AE35" s="27" t="s">
        <v>198</v>
      </c>
      <c r="AF35" s="39" t="str">
        <f t="shared" si="1"/>
        <v>Buenos Aires, Argentina</v>
      </c>
      <c r="AG35" s="39">
        <f t="shared" si="2"/>
        <v>0</v>
      </c>
      <c r="AH35" s="47">
        <f t="shared" si="3"/>
        <v>0</v>
      </c>
      <c r="AI35" s="47">
        <f t="shared" si="4"/>
        <v>3000</v>
      </c>
      <c r="AJ35" s="46">
        <f t="shared" si="5"/>
        <v>0</v>
      </c>
      <c r="AK35" s="46">
        <f t="shared" si="6"/>
        <v>3000</v>
      </c>
      <c r="AL35" s="48"/>
      <c r="AM35" s="48"/>
    </row>
    <row r="36">
      <c r="A36" s="39">
        <v>35.0</v>
      </c>
      <c r="B36" s="40">
        <v>43545.0</v>
      </c>
      <c r="C36" s="17">
        <v>32019.0</v>
      </c>
      <c r="D36" s="41" t="s">
        <v>199</v>
      </c>
      <c r="E36" s="39" t="s">
        <v>38</v>
      </c>
      <c r="F36" s="41" t="s">
        <v>200</v>
      </c>
      <c r="G36" s="39" t="s">
        <v>40</v>
      </c>
      <c r="H36" s="39" t="s">
        <v>41</v>
      </c>
      <c r="I36" s="39" t="s">
        <v>42</v>
      </c>
      <c r="J36" s="42">
        <v>31.0</v>
      </c>
      <c r="K36" s="42">
        <v>34.0</v>
      </c>
      <c r="L36" s="43"/>
      <c r="M36" s="43"/>
      <c r="N36" s="43"/>
      <c r="O36" s="43"/>
      <c r="P36" s="43"/>
      <c r="Q36" s="44"/>
      <c r="R36" s="44"/>
      <c r="S36" s="39" t="s">
        <v>65</v>
      </c>
      <c r="T36" s="39" t="s">
        <v>44</v>
      </c>
      <c r="U36" s="39" t="s">
        <v>53</v>
      </c>
      <c r="V36" s="39" t="s">
        <v>84</v>
      </c>
      <c r="W36" s="45"/>
      <c r="X36" s="45"/>
      <c r="Y36" s="45"/>
      <c r="Z36" s="45"/>
      <c r="AA36" s="46">
        <v>105689.0</v>
      </c>
      <c r="AB36" s="46">
        <v>549393.0</v>
      </c>
      <c r="AC36" s="24" t="s">
        <v>201</v>
      </c>
      <c r="AD36" s="17">
        <v>1690.0</v>
      </c>
      <c r="AE36" s="27" t="s">
        <v>202</v>
      </c>
      <c r="AF36" s="39" t="str">
        <f t="shared" si="1"/>
        <v>Mendoza, Argentina</v>
      </c>
      <c r="AG36" s="39">
        <f t="shared" si="2"/>
        <v>65</v>
      </c>
      <c r="AH36" s="47">
        <f t="shared" si="3"/>
        <v>0</v>
      </c>
      <c r="AI36" s="47">
        <f t="shared" si="4"/>
        <v>0</v>
      </c>
      <c r="AJ36" s="46">
        <f t="shared" si="5"/>
        <v>655082</v>
      </c>
      <c r="AK36" s="46">
        <f t="shared" si="6"/>
        <v>655082</v>
      </c>
      <c r="AL36" s="48"/>
      <c r="AM36" s="48"/>
    </row>
    <row r="37">
      <c r="A37" s="39">
        <v>36.0</v>
      </c>
      <c r="B37" s="40">
        <v>43555.0</v>
      </c>
      <c r="C37" s="17">
        <v>32019.0</v>
      </c>
      <c r="D37" s="41" t="s">
        <v>203</v>
      </c>
      <c r="E37" s="39" t="s">
        <v>38</v>
      </c>
      <c r="F37" s="41" t="s">
        <v>71</v>
      </c>
      <c r="G37" s="39" t="s">
        <v>40</v>
      </c>
      <c r="H37" s="39" t="s">
        <v>41</v>
      </c>
      <c r="I37" s="39" t="s">
        <v>42</v>
      </c>
      <c r="J37" s="42">
        <v>1.0</v>
      </c>
      <c r="K37" s="43"/>
      <c r="L37" s="43"/>
      <c r="M37" s="43"/>
      <c r="N37" s="43"/>
      <c r="O37" s="43"/>
      <c r="P37" s="43"/>
      <c r="Q37" s="44"/>
      <c r="R37" s="44"/>
      <c r="S37" s="39" t="s">
        <v>204</v>
      </c>
      <c r="T37" s="39" t="s">
        <v>83</v>
      </c>
      <c r="U37" s="39" t="s">
        <v>53</v>
      </c>
      <c r="V37" s="39" t="s">
        <v>205</v>
      </c>
      <c r="W37" s="45"/>
      <c r="X37" s="45"/>
      <c r="Y37" s="45"/>
      <c r="Z37" s="45"/>
      <c r="AA37" s="46">
        <v>2733.0</v>
      </c>
      <c r="AB37" s="46">
        <v>8199.0</v>
      </c>
      <c r="AC37" s="24" t="s">
        <v>206</v>
      </c>
      <c r="AD37" s="17">
        <v>2423.0</v>
      </c>
      <c r="AE37" s="27" t="s">
        <v>207</v>
      </c>
      <c r="AF37" s="39" t="str">
        <f t="shared" si="1"/>
        <v>Capital Federal, Argentina</v>
      </c>
      <c r="AG37" s="39">
        <f t="shared" si="2"/>
        <v>1</v>
      </c>
      <c r="AH37" s="47">
        <f t="shared" si="3"/>
        <v>0</v>
      </c>
      <c r="AI37" s="47">
        <f t="shared" si="4"/>
        <v>0</v>
      </c>
      <c r="AJ37" s="46">
        <f t="shared" si="5"/>
        <v>10932</v>
      </c>
      <c r="AK37" s="46">
        <f t="shared" si="6"/>
        <v>10932</v>
      </c>
      <c r="AL37" s="48"/>
      <c r="AM37" s="48"/>
    </row>
    <row r="38">
      <c r="A38" s="39">
        <v>37.0</v>
      </c>
      <c r="B38" s="40">
        <v>43543.0</v>
      </c>
      <c r="C38" s="17">
        <v>32019.0</v>
      </c>
      <c r="D38" s="41" t="s">
        <v>208</v>
      </c>
      <c r="E38" s="39" t="s">
        <v>38</v>
      </c>
      <c r="F38" s="41" t="s">
        <v>97</v>
      </c>
      <c r="G38" s="39" t="s">
        <v>40</v>
      </c>
      <c r="H38" s="39" t="s">
        <v>41</v>
      </c>
      <c r="I38" s="39" t="s">
        <v>42</v>
      </c>
      <c r="J38" s="42">
        <v>4.0</v>
      </c>
      <c r="K38" s="43"/>
      <c r="L38" s="43"/>
      <c r="M38" s="43"/>
      <c r="N38" s="43"/>
      <c r="O38" s="43"/>
      <c r="P38" s="43"/>
      <c r="Q38" s="44"/>
      <c r="R38" s="44"/>
      <c r="S38" s="39" t="s">
        <v>98</v>
      </c>
      <c r="T38" s="39" t="s">
        <v>66</v>
      </c>
      <c r="U38" s="39" t="s">
        <v>45</v>
      </c>
      <c r="V38" s="39" t="s">
        <v>78</v>
      </c>
      <c r="W38" s="45"/>
      <c r="X38" s="45"/>
      <c r="Y38" s="45"/>
      <c r="Z38" s="45"/>
      <c r="AA38" s="46">
        <v>8586.0</v>
      </c>
      <c r="AB38" s="46">
        <v>35777.0</v>
      </c>
      <c r="AC38" s="24" t="s">
        <v>209</v>
      </c>
      <c r="AD38" s="17">
        <v>2509.0</v>
      </c>
      <c r="AE38" s="27" t="s">
        <v>210</v>
      </c>
      <c r="AF38" s="39" t="str">
        <f t="shared" si="1"/>
        <v>Buenos Aires, Argentina</v>
      </c>
      <c r="AG38" s="39">
        <f t="shared" si="2"/>
        <v>4</v>
      </c>
      <c r="AH38" s="47">
        <f t="shared" si="3"/>
        <v>0</v>
      </c>
      <c r="AI38" s="47">
        <f t="shared" si="4"/>
        <v>0</v>
      </c>
      <c r="AJ38" s="46">
        <f t="shared" si="5"/>
        <v>44363</v>
      </c>
      <c r="AK38" s="46">
        <f t="shared" si="6"/>
        <v>44363</v>
      </c>
      <c r="AL38" s="48"/>
      <c r="AM38" s="48"/>
    </row>
    <row r="39">
      <c r="A39" s="49">
        <v>38.0</v>
      </c>
      <c r="B39" s="50">
        <v>43571.0</v>
      </c>
      <c r="C39" s="17">
        <v>42019.0</v>
      </c>
      <c r="D39" s="51" t="s">
        <v>211</v>
      </c>
      <c r="E39" s="49" t="s">
        <v>38</v>
      </c>
      <c r="F39" s="51" t="s">
        <v>212</v>
      </c>
      <c r="G39" s="49" t="s">
        <v>64</v>
      </c>
      <c r="H39" s="49" t="s">
        <v>41</v>
      </c>
      <c r="I39" s="49" t="s">
        <v>42</v>
      </c>
      <c r="J39" s="52"/>
      <c r="K39" s="53">
        <v>1.0</v>
      </c>
      <c r="L39" s="52"/>
      <c r="M39" s="52"/>
      <c r="N39" s="52"/>
      <c r="O39" s="52"/>
      <c r="P39" s="52"/>
      <c r="Q39" s="54"/>
      <c r="R39" s="54"/>
      <c r="S39" s="49" t="s">
        <v>65</v>
      </c>
      <c r="T39" s="49" t="s">
        <v>58</v>
      </c>
      <c r="U39" s="49" t="s">
        <v>67</v>
      </c>
      <c r="V39" s="49" t="s">
        <v>46</v>
      </c>
      <c r="W39" s="55"/>
      <c r="X39" s="55"/>
      <c r="Y39" s="55"/>
      <c r="Z39" s="55"/>
      <c r="AA39" s="56">
        <v>1183.0</v>
      </c>
      <c r="AB39" s="56">
        <v>0.0</v>
      </c>
      <c r="AC39" s="24" t="s">
        <v>213</v>
      </c>
      <c r="AD39" s="17">
        <v>2691.0</v>
      </c>
      <c r="AE39" s="27" t="s">
        <v>214</v>
      </c>
      <c r="AF39" s="49" t="str">
        <f t="shared" si="1"/>
        <v>Córdoba, Argentina</v>
      </c>
      <c r="AG39" s="49">
        <f t="shared" si="2"/>
        <v>1</v>
      </c>
      <c r="AH39" s="57">
        <f t="shared" si="3"/>
        <v>0</v>
      </c>
      <c r="AI39" s="57">
        <f t="shared" si="4"/>
        <v>0</v>
      </c>
      <c r="AJ39" s="56">
        <f t="shared" si="5"/>
        <v>1183</v>
      </c>
      <c r="AK39" s="56">
        <f t="shared" si="6"/>
        <v>1183</v>
      </c>
      <c r="AL39" s="58"/>
      <c r="AM39" s="58"/>
    </row>
    <row r="40">
      <c r="A40" s="49">
        <v>39.0</v>
      </c>
      <c r="B40" s="50">
        <v>43579.0</v>
      </c>
      <c r="C40" s="17">
        <v>42019.0</v>
      </c>
      <c r="D40" s="51" t="s">
        <v>215</v>
      </c>
      <c r="E40" s="49" t="s">
        <v>38</v>
      </c>
      <c r="F40" s="51" t="s">
        <v>123</v>
      </c>
      <c r="G40" s="49" t="s">
        <v>40</v>
      </c>
      <c r="H40" s="49" t="s">
        <v>41</v>
      </c>
      <c r="I40" s="49" t="s">
        <v>42</v>
      </c>
      <c r="J40" s="53">
        <v>1.0</v>
      </c>
      <c r="K40" s="53">
        <v>1.0</v>
      </c>
      <c r="L40" s="52"/>
      <c r="M40" s="52"/>
      <c r="N40" s="52"/>
      <c r="O40" s="52"/>
      <c r="P40" s="52"/>
      <c r="Q40" s="54"/>
      <c r="R40" s="54"/>
      <c r="S40" s="49" t="s">
        <v>189</v>
      </c>
      <c r="T40" s="49" t="s">
        <v>216</v>
      </c>
      <c r="U40" s="49" t="s">
        <v>45</v>
      </c>
      <c r="V40" s="49" t="s">
        <v>217</v>
      </c>
      <c r="W40" s="55"/>
      <c r="X40" s="55"/>
      <c r="Y40" s="55"/>
      <c r="Z40" s="55"/>
      <c r="AA40" s="56">
        <v>6030.0</v>
      </c>
      <c r="AB40" s="56">
        <v>19788.0</v>
      </c>
      <c r="AC40" s="24" t="s">
        <v>218</v>
      </c>
      <c r="AD40" s="17">
        <v>2667.0</v>
      </c>
      <c r="AE40" s="27" t="s">
        <v>219</v>
      </c>
      <c r="AF40" s="49" t="str">
        <f t="shared" si="1"/>
        <v>Catamarca, Argentina</v>
      </c>
      <c r="AG40" s="49">
        <f t="shared" si="2"/>
        <v>2</v>
      </c>
      <c r="AH40" s="57">
        <f t="shared" si="3"/>
        <v>0</v>
      </c>
      <c r="AI40" s="57">
        <f t="shared" si="4"/>
        <v>0</v>
      </c>
      <c r="AJ40" s="56">
        <f t="shared" si="5"/>
        <v>25818</v>
      </c>
      <c r="AK40" s="56">
        <f t="shared" si="6"/>
        <v>25818</v>
      </c>
      <c r="AL40" s="58"/>
      <c r="AM40" s="58"/>
    </row>
    <row r="41">
      <c r="A41" s="49">
        <v>40.0</v>
      </c>
      <c r="B41" s="50">
        <v>43566.0</v>
      </c>
      <c r="C41" s="17">
        <v>42019.0</v>
      </c>
      <c r="D41" s="51" t="s">
        <v>220</v>
      </c>
      <c r="E41" s="49" t="s">
        <v>38</v>
      </c>
      <c r="F41" s="51" t="s">
        <v>88</v>
      </c>
      <c r="G41" s="49" t="s">
        <v>40</v>
      </c>
      <c r="H41" s="49" t="s">
        <v>41</v>
      </c>
      <c r="I41" s="49" t="s">
        <v>42</v>
      </c>
      <c r="J41" s="53">
        <v>1.0</v>
      </c>
      <c r="K41" s="52"/>
      <c r="L41" s="52"/>
      <c r="M41" s="53">
        <v>1.0</v>
      </c>
      <c r="N41" s="52"/>
      <c r="O41" s="52"/>
      <c r="P41" s="52"/>
      <c r="Q41" s="54"/>
      <c r="R41" s="54"/>
      <c r="S41" s="49" t="s">
        <v>72</v>
      </c>
      <c r="T41" s="49" t="s">
        <v>83</v>
      </c>
      <c r="U41" s="49" t="s">
        <v>38</v>
      </c>
      <c r="V41" s="49" t="s">
        <v>59</v>
      </c>
      <c r="W41" s="55"/>
      <c r="X41" s="55"/>
      <c r="Y41" s="55"/>
      <c r="Z41" s="55"/>
      <c r="AA41" s="56">
        <v>2979.0</v>
      </c>
      <c r="AB41" s="56">
        <v>8937.0</v>
      </c>
      <c r="AC41" s="24" t="s">
        <v>221</v>
      </c>
      <c r="AD41" s="17">
        <v>1954.0</v>
      </c>
      <c r="AE41" s="27" t="s">
        <v>222</v>
      </c>
      <c r="AF41" s="49" t="str">
        <f t="shared" si="1"/>
        <v>Capital Federal, Argentina</v>
      </c>
      <c r="AG41" s="49">
        <f t="shared" si="2"/>
        <v>2</v>
      </c>
      <c r="AH41" s="57">
        <f t="shared" si="3"/>
        <v>0</v>
      </c>
      <c r="AI41" s="57">
        <f t="shared" si="4"/>
        <v>0</v>
      </c>
      <c r="AJ41" s="56">
        <f t="shared" si="5"/>
        <v>11916</v>
      </c>
      <c r="AK41" s="56">
        <f t="shared" si="6"/>
        <v>11916</v>
      </c>
      <c r="AL41" s="58"/>
      <c r="AM41" s="58"/>
    </row>
    <row r="42">
      <c r="A42" s="49">
        <v>41.0</v>
      </c>
      <c r="B42" s="50">
        <v>43571.0</v>
      </c>
      <c r="C42" s="17">
        <v>42019.0</v>
      </c>
      <c r="D42" s="51" t="s">
        <v>92</v>
      </c>
      <c r="E42" s="49" t="s">
        <v>38</v>
      </c>
      <c r="F42" s="51" t="s">
        <v>63</v>
      </c>
      <c r="G42" s="49" t="s">
        <v>64</v>
      </c>
      <c r="H42" s="49" t="s">
        <v>41</v>
      </c>
      <c r="I42" s="49" t="s">
        <v>42</v>
      </c>
      <c r="J42" s="52"/>
      <c r="K42" s="52"/>
      <c r="L42" s="52"/>
      <c r="M42" s="52"/>
      <c r="N42" s="52"/>
      <c r="O42" s="52"/>
      <c r="P42" s="53">
        <v>1.0</v>
      </c>
      <c r="Q42" s="54"/>
      <c r="R42" s="54"/>
      <c r="S42" s="49" t="s">
        <v>72</v>
      </c>
      <c r="T42" s="49" t="s">
        <v>83</v>
      </c>
      <c r="U42" s="49" t="s">
        <v>53</v>
      </c>
      <c r="V42" s="49" t="s">
        <v>59</v>
      </c>
      <c r="W42" s="56">
        <v>599.0</v>
      </c>
      <c r="X42" s="55"/>
      <c r="Y42" s="55"/>
      <c r="Z42" s="55"/>
      <c r="AA42" s="56">
        <v>0.0</v>
      </c>
      <c r="AB42" s="56">
        <v>0.0</v>
      </c>
      <c r="AC42" s="24" t="s">
        <v>223</v>
      </c>
      <c r="AD42" s="17">
        <v>2689.0</v>
      </c>
      <c r="AE42" s="27" t="s">
        <v>224</v>
      </c>
      <c r="AF42" s="49" t="str">
        <f t="shared" si="1"/>
        <v>Capital Federal, Argentina</v>
      </c>
      <c r="AG42" s="49">
        <f t="shared" si="2"/>
        <v>1</v>
      </c>
      <c r="AH42" s="57">
        <f t="shared" si="3"/>
        <v>599</v>
      </c>
      <c r="AI42" s="57">
        <f t="shared" si="4"/>
        <v>0</v>
      </c>
      <c r="AJ42" s="56">
        <f t="shared" si="5"/>
        <v>0</v>
      </c>
      <c r="AK42" s="56">
        <f t="shared" si="6"/>
        <v>599</v>
      </c>
      <c r="AL42" s="58"/>
      <c r="AM42" s="58"/>
    </row>
    <row r="43">
      <c r="A43" s="49">
        <v>42.0</v>
      </c>
      <c r="B43" s="50">
        <v>43578.0</v>
      </c>
      <c r="C43" s="17">
        <v>42019.0</v>
      </c>
      <c r="D43" s="51" t="s">
        <v>225</v>
      </c>
      <c r="E43" s="49" t="s">
        <v>38</v>
      </c>
      <c r="F43" s="51" t="s">
        <v>226</v>
      </c>
      <c r="G43" s="49" t="s">
        <v>64</v>
      </c>
      <c r="H43" s="49" t="s">
        <v>227</v>
      </c>
      <c r="I43" s="49" t="s">
        <v>42</v>
      </c>
      <c r="J43" s="53">
        <v>3.0</v>
      </c>
      <c r="K43" s="52"/>
      <c r="L43" s="52"/>
      <c r="M43" s="52"/>
      <c r="N43" s="52"/>
      <c r="O43" s="52"/>
      <c r="P43" s="52"/>
      <c r="Q43" s="54"/>
      <c r="R43" s="54"/>
      <c r="S43" s="49" t="s">
        <v>65</v>
      </c>
      <c r="T43" s="49" t="s">
        <v>66</v>
      </c>
      <c r="U43" s="49" t="s">
        <v>67</v>
      </c>
      <c r="V43" s="49" t="s">
        <v>59</v>
      </c>
      <c r="W43" s="55"/>
      <c r="X43" s="55"/>
      <c r="Y43" s="55"/>
      <c r="Z43" s="55"/>
      <c r="AA43" s="56">
        <v>13287.0</v>
      </c>
      <c r="AB43" s="56">
        <v>0.0</v>
      </c>
      <c r="AC43" s="24" t="s">
        <v>228</v>
      </c>
      <c r="AD43" s="17">
        <v>2723.0</v>
      </c>
      <c r="AE43" s="27" t="s">
        <v>229</v>
      </c>
      <c r="AF43" s="49" t="str">
        <f t="shared" si="1"/>
        <v>Buenos Aires, Argentina</v>
      </c>
      <c r="AG43" s="49">
        <f t="shared" si="2"/>
        <v>3</v>
      </c>
      <c r="AH43" s="57">
        <f t="shared" si="3"/>
        <v>0</v>
      </c>
      <c r="AI43" s="57">
        <f t="shared" si="4"/>
        <v>0</v>
      </c>
      <c r="AJ43" s="56">
        <f t="shared" si="5"/>
        <v>13287</v>
      </c>
      <c r="AK43" s="56">
        <f t="shared" si="6"/>
        <v>13287</v>
      </c>
      <c r="AL43" s="58"/>
      <c r="AM43" s="58"/>
    </row>
    <row r="44">
      <c r="A44" s="49">
        <v>43.0</v>
      </c>
      <c r="B44" s="50">
        <v>43580.0</v>
      </c>
      <c r="C44" s="17">
        <v>42019.0</v>
      </c>
      <c r="D44" s="51" t="s">
        <v>230</v>
      </c>
      <c r="E44" s="49" t="s">
        <v>231</v>
      </c>
      <c r="F44" s="51" t="s">
        <v>104</v>
      </c>
      <c r="G44" s="49" t="s">
        <v>64</v>
      </c>
      <c r="H44" s="49" t="s">
        <v>41</v>
      </c>
      <c r="I44" s="49" t="s">
        <v>42</v>
      </c>
      <c r="J44" s="52"/>
      <c r="K44" s="52"/>
      <c r="L44" s="52"/>
      <c r="M44" s="52"/>
      <c r="N44" s="52"/>
      <c r="O44" s="52"/>
      <c r="P44" s="52"/>
      <c r="Q44" s="54"/>
      <c r="R44" s="49">
        <v>3.0</v>
      </c>
      <c r="S44" s="49" t="s">
        <v>65</v>
      </c>
      <c r="T44" s="49" t="s">
        <v>66</v>
      </c>
      <c r="U44" s="49" t="s">
        <v>38</v>
      </c>
      <c r="V44" s="49" t="s">
        <v>59</v>
      </c>
      <c r="W44" s="55"/>
      <c r="X44" s="55"/>
      <c r="Y44" s="55"/>
      <c r="Z44" s="56">
        <v>7560.0</v>
      </c>
      <c r="AA44" s="56">
        <v>0.0</v>
      </c>
      <c r="AB44" s="56">
        <v>0.0</v>
      </c>
      <c r="AC44" s="24" t="s">
        <v>232</v>
      </c>
      <c r="AD44" s="17">
        <v>2737.0</v>
      </c>
      <c r="AE44" s="27" t="s">
        <v>233</v>
      </c>
      <c r="AF44" s="49" t="str">
        <f t="shared" si="1"/>
        <v>Buenos Aires, Argentina</v>
      </c>
      <c r="AG44" s="49">
        <f t="shared" si="2"/>
        <v>0</v>
      </c>
      <c r="AH44" s="57">
        <f t="shared" si="3"/>
        <v>0</v>
      </c>
      <c r="AI44" s="57">
        <f t="shared" si="4"/>
        <v>7560</v>
      </c>
      <c r="AJ44" s="56">
        <f t="shared" si="5"/>
        <v>0</v>
      </c>
      <c r="AK44" s="56">
        <f t="shared" si="6"/>
        <v>7560</v>
      </c>
      <c r="AL44" s="58"/>
      <c r="AM44" s="58"/>
    </row>
    <row r="45">
      <c r="A45" s="49">
        <v>44.0</v>
      </c>
      <c r="B45" s="50">
        <v>43571.0</v>
      </c>
      <c r="C45" s="17">
        <v>42019.0</v>
      </c>
      <c r="D45" s="51" t="s">
        <v>234</v>
      </c>
      <c r="E45" s="49" t="s">
        <v>38</v>
      </c>
      <c r="F45" s="51" t="s">
        <v>212</v>
      </c>
      <c r="G45" s="49" t="s">
        <v>64</v>
      </c>
      <c r="H45" s="49" t="s">
        <v>41</v>
      </c>
      <c r="I45" s="49" t="s">
        <v>42</v>
      </c>
      <c r="J45" s="52"/>
      <c r="K45" s="53">
        <v>1.0</v>
      </c>
      <c r="L45" s="52"/>
      <c r="M45" s="52"/>
      <c r="N45" s="52"/>
      <c r="O45" s="52"/>
      <c r="P45" s="52"/>
      <c r="Q45" s="54"/>
      <c r="R45" s="54"/>
      <c r="S45" s="49" t="s">
        <v>114</v>
      </c>
      <c r="T45" s="49" t="s">
        <v>83</v>
      </c>
      <c r="U45" s="49" t="s">
        <v>67</v>
      </c>
      <c r="V45" s="49" t="s">
        <v>84</v>
      </c>
      <c r="W45" s="55"/>
      <c r="X45" s="55"/>
      <c r="Y45" s="55"/>
      <c r="Z45" s="55"/>
      <c r="AA45" s="56">
        <v>2264.0</v>
      </c>
      <c r="AB45" s="56">
        <v>6036.0</v>
      </c>
      <c r="AC45" s="24" t="s">
        <v>235</v>
      </c>
      <c r="AD45" s="17">
        <v>3193.0</v>
      </c>
      <c r="AE45" s="27" t="s">
        <v>236</v>
      </c>
      <c r="AF45" s="49" t="str">
        <f t="shared" si="1"/>
        <v>Capital Federal, Argentina</v>
      </c>
      <c r="AG45" s="49">
        <f t="shared" si="2"/>
        <v>1</v>
      </c>
      <c r="AH45" s="57">
        <f t="shared" si="3"/>
        <v>0</v>
      </c>
      <c r="AI45" s="57">
        <f t="shared" si="4"/>
        <v>0</v>
      </c>
      <c r="AJ45" s="56">
        <f t="shared" si="5"/>
        <v>8300</v>
      </c>
      <c r="AK45" s="56">
        <f t="shared" si="6"/>
        <v>8300</v>
      </c>
      <c r="AL45" s="58"/>
      <c r="AM45" s="58"/>
    </row>
    <row r="46">
      <c r="A46" s="49">
        <v>45.0</v>
      </c>
      <c r="B46" s="50">
        <v>43567.0</v>
      </c>
      <c r="C46" s="17">
        <v>42019.0</v>
      </c>
      <c r="D46" s="51" t="s">
        <v>237</v>
      </c>
      <c r="E46" s="49" t="s">
        <v>38</v>
      </c>
      <c r="F46" s="51" t="s">
        <v>238</v>
      </c>
      <c r="G46" s="49" t="s">
        <v>40</v>
      </c>
      <c r="H46" s="49" t="s">
        <v>41</v>
      </c>
      <c r="I46" s="49" t="s">
        <v>42</v>
      </c>
      <c r="J46" s="53">
        <v>2.0</v>
      </c>
      <c r="K46" s="53">
        <v>2.0</v>
      </c>
      <c r="L46" s="52"/>
      <c r="M46" s="52"/>
      <c r="N46" s="52"/>
      <c r="O46" s="52"/>
      <c r="P46" s="52"/>
      <c r="Q46" s="54"/>
      <c r="R46" s="54"/>
      <c r="S46" s="49" t="s">
        <v>98</v>
      </c>
      <c r="T46" s="59" t="s">
        <v>73</v>
      </c>
      <c r="U46" s="49" t="s">
        <v>45</v>
      </c>
      <c r="V46" s="49" t="s">
        <v>78</v>
      </c>
      <c r="W46" s="55"/>
      <c r="X46" s="55"/>
      <c r="Y46" s="55"/>
      <c r="Z46" s="55"/>
      <c r="AA46" s="56">
        <v>8782.0</v>
      </c>
      <c r="AB46" s="56">
        <v>43908.0</v>
      </c>
      <c r="AC46" s="24" t="s">
        <v>239</v>
      </c>
      <c r="AD46" s="17">
        <v>2487.0</v>
      </c>
      <c r="AE46" s="27" t="s">
        <v>240</v>
      </c>
      <c r="AF46" s="59" t="str">
        <f t="shared" si="1"/>
        <v>Tierra de Fuego, Argentina</v>
      </c>
      <c r="AG46" s="59">
        <f t="shared" si="2"/>
        <v>4</v>
      </c>
      <c r="AH46" s="57">
        <f t="shared" si="3"/>
        <v>0</v>
      </c>
      <c r="AI46" s="57">
        <f t="shared" si="4"/>
        <v>0</v>
      </c>
      <c r="AJ46" s="56">
        <f t="shared" si="5"/>
        <v>52690</v>
      </c>
      <c r="AK46" s="56">
        <f t="shared" si="6"/>
        <v>52690</v>
      </c>
      <c r="AL46" s="58"/>
      <c r="AM46" s="58"/>
    </row>
    <row r="47">
      <c r="A47" s="49">
        <v>46.0</v>
      </c>
      <c r="B47" s="50">
        <v>43566.0</v>
      </c>
      <c r="C47" s="17">
        <v>42019.0</v>
      </c>
      <c r="D47" s="51" t="s">
        <v>241</v>
      </c>
      <c r="E47" s="49" t="s">
        <v>38</v>
      </c>
      <c r="F47" s="51" t="s">
        <v>242</v>
      </c>
      <c r="G47" s="49" t="s">
        <v>40</v>
      </c>
      <c r="H47" s="49" t="s">
        <v>41</v>
      </c>
      <c r="I47" s="49" t="s">
        <v>42</v>
      </c>
      <c r="J47" s="53">
        <v>1.0</v>
      </c>
      <c r="K47" s="53">
        <v>2.0</v>
      </c>
      <c r="L47" s="52"/>
      <c r="M47" s="52"/>
      <c r="N47" s="52"/>
      <c r="O47" s="52"/>
      <c r="P47" s="52"/>
      <c r="Q47" s="54"/>
      <c r="R47" s="54"/>
      <c r="S47" s="49" t="s">
        <v>43</v>
      </c>
      <c r="T47" s="49" t="s">
        <v>66</v>
      </c>
      <c r="U47" s="49" t="s">
        <v>243</v>
      </c>
      <c r="V47" s="49" t="s">
        <v>78</v>
      </c>
      <c r="W47" s="55"/>
      <c r="X47" s="55"/>
      <c r="Y47" s="55"/>
      <c r="Z47" s="55"/>
      <c r="AA47" s="56">
        <v>5824.0</v>
      </c>
      <c r="AB47" s="56">
        <v>26970.0</v>
      </c>
      <c r="AC47" s="24" t="s">
        <v>244</v>
      </c>
      <c r="AD47" s="17">
        <v>2613.0</v>
      </c>
      <c r="AE47" s="27" t="s">
        <v>245</v>
      </c>
      <c r="AF47" s="49" t="str">
        <f t="shared" si="1"/>
        <v>Buenos Aires, Argentina</v>
      </c>
      <c r="AG47" s="49">
        <f t="shared" si="2"/>
        <v>3</v>
      </c>
      <c r="AH47" s="57">
        <f t="shared" si="3"/>
        <v>0</v>
      </c>
      <c r="AI47" s="57">
        <f t="shared" si="4"/>
        <v>0</v>
      </c>
      <c r="AJ47" s="56">
        <f t="shared" si="5"/>
        <v>32794</v>
      </c>
      <c r="AK47" s="56">
        <f t="shared" si="6"/>
        <v>32794</v>
      </c>
      <c r="AL47" s="58"/>
      <c r="AM47" s="58"/>
    </row>
    <row r="48">
      <c r="A48" s="49">
        <v>47.0</v>
      </c>
      <c r="B48" s="50">
        <v>43581.0</v>
      </c>
      <c r="C48" s="17">
        <v>42019.0</v>
      </c>
      <c r="D48" s="51" t="s">
        <v>246</v>
      </c>
      <c r="E48" s="49" t="s">
        <v>38</v>
      </c>
      <c r="F48" s="51" t="s">
        <v>247</v>
      </c>
      <c r="G48" s="49" t="s">
        <v>64</v>
      </c>
      <c r="H48" s="49" t="s">
        <v>41</v>
      </c>
      <c r="I48" s="49" t="s">
        <v>42</v>
      </c>
      <c r="J48" s="53">
        <v>2.0</v>
      </c>
      <c r="K48" s="52"/>
      <c r="L48" s="52"/>
      <c r="M48" s="52"/>
      <c r="N48" s="52"/>
      <c r="O48" s="52"/>
      <c r="P48" s="52"/>
      <c r="Q48" s="54"/>
      <c r="R48" s="54"/>
      <c r="S48" s="49" t="s">
        <v>98</v>
      </c>
      <c r="T48" s="49" t="s">
        <v>83</v>
      </c>
      <c r="U48" s="49" t="s">
        <v>67</v>
      </c>
      <c r="V48" s="49" t="s">
        <v>78</v>
      </c>
      <c r="W48" s="55"/>
      <c r="X48" s="55"/>
      <c r="Y48" s="55"/>
      <c r="Z48" s="55"/>
      <c r="AA48" s="56">
        <v>5281.0</v>
      </c>
      <c r="AB48" s="56">
        <v>58091.0</v>
      </c>
      <c r="AC48" s="24" t="s">
        <v>248</v>
      </c>
      <c r="AD48" s="17">
        <v>2645.0</v>
      </c>
      <c r="AE48" s="27" t="s">
        <v>249</v>
      </c>
      <c r="AF48" s="49" t="str">
        <f t="shared" si="1"/>
        <v>Capital Federal, Argentina</v>
      </c>
      <c r="AG48" s="49">
        <f t="shared" si="2"/>
        <v>2</v>
      </c>
      <c r="AH48" s="57">
        <f t="shared" si="3"/>
        <v>0</v>
      </c>
      <c r="AI48" s="57">
        <f t="shared" si="4"/>
        <v>0</v>
      </c>
      <c r="AJ48" s="56">
        <f t="shared" si="5"/>
        <v>63372</v>
      </c>
      <c r="AK48" s="56">
        <f t="shared" si="6"/>
        <v>63372</v>
      </c>
      <c r="AL48" s="58"/>
      <c r="AM48" s="58"/>
    </row>
    <row r="49">
      <c r="A49" s="49">
        <v>48.0</v>
      </c>
      <c r="B49" s="50">
        <v>43561.0</v>
      </c>
      <c r="C49" s="17">
        <v>42019.0</v>
      </c>
      <c r="D49" s="51" t="s">
        <v>250</v>
      </c>
      <c r="E49" s="49" t="s">
        <v>38</v>
      </c>
      <c r="F49" s="51" t="s">
        <v>71</v>
      </c>
      <c r="G49" s="49" t="s">
        <v>40</v>
      </c>
      <c r="H49" s="49" t="s">
        <v>41</v>
      </c>
      <c r="I49" s="49" t="s">
        <v>42</v>
      </c>
      <c r="J49" s="53">
        <v>1.0</v>
      </c>
      <c r="K49" s="52"/>
      <c r="L49" s="52"/>
      <c r="M49" s="52"/>
      <c r="N49" s="52"/>
      <c r="O49" s="52"/>
      <c r="P49" s="52"/>
      <c r="Q49" s="54"/>
      <c r="R49" s="54"/>
      <c r="S49" s="60"/>
      <c r="T49" s="49" t="s">
        <v>73</v>
      </c>
      <c r="U49" s="49" t="s">
        <v>45</v>
      </c>
      <c r="V49" s="49" t="s">
        <v>78</v>
      </c>
      <c r="W49" s="55"/>
      <c r="X49" s="55"/>
      <c r="Y49" s="55"/>
      <c r="Z49" s="55"/>
      <c r="AA49" s="56">
        <v>4062.0</v>
      </c>
      <c r="AB49" s="56">
        <v>0.0</v>
      </c>
      <c r="AC49" s="24" t="s">
        <v>251</v>
      </c>
      <c r="AD49" s="17">
        <v>2268.0</v>
      </c>
      <c r="AE49" s="27" t="s">
        <v>252</v>
      </c>
      <c r="AF49" s="49" t="str">
        <f t="shared" si="1"/>
        <v>Tierra de Fuego, Argentina</v>
      </c>
      <c r="AG49" s="49">
        <f t="shared" si="2"/>
        <v>1</v>
      </c>
      <c r="AH49" s="57">
        <f t="shared" si="3"/>
        <v>0</v>
      </c>
      <c r="AI49" s="57">
        <f t="shared" si="4"/>
        <v>0</v>
      </c>
      <c r="AJ49" s="56">
        <f t="shared" si="5"/>
        <v>4062</v>
      </c>
      <c r="AK49" s="56">
        <f t="shared" si="6"/>
        <v>4062</v>
      </c>
      <c r="AL49" s="58"/>
      <c r="AM49" s="58"/>
    </row>
    <row r="50">
      <c r="A50" s="61">
        <v>49.0</v>
      </c>
      <c r="B50" s="62">
        <v>43602.0</v>
      </c>
      <c r="C50" s="17">
        <v>52019.0</v>
      </c>
      <c r="D50" s="63" t="s">
        <v>253</v>
      </c>
      <c r="E50" s="61" t="s">
        <v>38</v>
      </c>
      <c r="F50" s="63" t="s">
        <v>123</v>
      </c>
      <c r="G50" s="61" t="s">
        <v>40</v>
      </c>
      <c r="H50" s="61" t="s">
        <v>41</v>
      </c>
      <c r="I50" s="61" t="s">
        <v>42</v>
      </c>
      <c r="J50" s="64">
        <v>1.0</v>
      </c>
      <c r="K50" s="64">
        <v>1.0</v>
      </c>
      <c r="L50" s="65"/>
      <c r="M50" s="65"/>
      <c r="N50" s="65"/>
      <c r="O50" s="65"/>
      <c r="P50" s="65"/>
      <c r="Q50" s="66"/>
      <c r="R50" s="66"/>
      <c r="S50" s="61" t="s">
        <v>109</v>
      </c>
      <c r="T50" s="61" t="s">
        <v>254</v>
      </c>
      <c r="U50" s="61" t="s">
        <v>45</v>
      </c>
      <c r="V50" s="61" t="s">
        <v>46</v>
      </c>
      <c r="W50" s="67"/>
      <c r="X50" s="67"/>
      <c r="Y50" s="67"/>
      <c r="Z50" s="67"/>
      <c r="AA50" s="68">
        <v>4422.0</v>
      </c>
      <c r="AB50" s="68">
        <v>19788.0</v>
      </c>
      <c r="AC50" s="38"/>
      <c r="AD50" s="38"/>
      <c r="AE50" s="27" t="s">
        <v>255</v>
      </c>
      <c r="AF50" s="61" t="str">
        <f t="shared" si="1"/>
        <v>La Rioja, Argentina</v>
      </c>
      <c r="AG50" s="61">
        <f t="shared" si="2"/>
        <v>2</v>
      </c>
      <c r="AH50" s="69">
        <f t="shared" si="3"/>
        <v>0</v>
      </c>
      <c r="AI50" s="69">
        <f t="shared" si="4"/>
        <v>0</v>
      </c>
      <c r="AJ50" s="68">
        <f t="shared" si="5"/>
        <v>24210</v>
      </c>
      <c r="AK50" s="68">
        <f t="shared" si="6"/>
        <v>24210</v>
      </c>
      <c r="AL50" s="70"/>
      <c r="AM50" s="70"/>
    </row>
    <row r="51">
      <c r="A51" s="61">
        <v>50.0</v>
      </c>
      <c r="B51" s="62">
        <v>43602.0</v>
      </c>
      <c r="C51" s="17">
        <v>52019.0</v>
      </c>
      <c r="D51" s="63" t="s">
        <v>256</v>
      </c>
      <c r="E51" s="61" t="s">
        <v>38</v>
      </c>
      <c r="F51" s="63" t="s">
        <v>257</v>
      </c>
      <c r="G51" s="61" t="s">
        <v>40</v>
      </c>
      <c r="H51" s="61" t="s">
        <v>41</v>
      </c>
      <c r="I51" s="61" t="s">
        <v>42</v>
      </c>
      <c r="J51" s="64">
        <v>12.0</v>
      </c>
      <c r="K51" s="65"/>
      <c r="L51" s="65"/>
      <c r="M51" s="65"/>
      <c r="N51" s="65"/>
      <c r="O51" s="65"/>
      <c r="P51" s="65"/>
      <c r="Q51" s="66"/>
      <c r="R51" s="66"/>
      <c r="S51" s="61" t="s">
        <v>141</v>
      </c>
      <c r="T51" s="61" t="s">
        <v>83</v>
      </c>
      <c r="U51" s="61" t="s">
        <v>38</v>
      </c>
      <c r="V51" s="61" t="s">
        <v>59</v>
      </c>
      <c r="W51" s="67"/>
      <c r="X51" s="67"/>
      <c r="Y51" s="67"/>
      <c r="Z51" s="67"/>
      <c r="AA51" s="68">
        <v>25366.0</v>
      </c>
      <c r="AB51" s="68">
        <v>95121.0</v>
      </c>
      <c r="AC51" s="24" t="s">
        <v>258</v>
      </c>
      <c r="AD51" s="17">
        <v>2781.0</v>
      </c>
      <c r="AE51" s="27" t="s">
        <v>259</v>
      </c>
      <c r="AF51" s="61" t="str">
        <f t="shared" si="1"/>
        <v>Capital Federal, Argentina</v>
      </c>
      <c r="AG51" s="61">
        <f t="shared" si="2"/>
        <v>12</v>
      </c>
      <c r="AH51" s="69">
        <f t="shared" si="3"/>
        <v>0</v>
      </c>
      <c r="AI51" s="69">
        <f t="shared" si="4"/>
        <v>0</v>
      </c>
      <c r="AJ51" s="68">
        <f t="shared" si="5"/>
        <v>120487</v>
      </c>
      <c r="AK51" s="68">
        <f t="shared" si="6"/>
        <v>120487</v>
      </c>
      <c r="AL51" s="70"/>
      <c r="AM51" s="70"/>
    </row>
    <row r="52">
      <c r="A52" s="61">
        <v>51.0</v>
      </c>
      <c r="B52" s="62">
        <v>43613.0</v>
      </c>
      <c r="C52" s="17">
        <v>52019.0</v>
      </c>
      <c r="D52" s="63" t="s">
        <v>256</v>
      </c>
      <c r="E52" s="61" t="s">
        <v>38</v>
      </c>
      <c r="F52" s="63" t="s">
        <v>260</v>
      </c>
      <c r="G52" s="61" t="s">
        <v>64</v>
      </c>
      <c r="H52" s="61" t="s">
        <v>41</v>
      </c>
      <c r="I52" s="61" t="s">
        <v>42</v>
      </c>
      <c r="J52" s="65"/>
      <c r="K52" s="65"/>
      <c r="L52" s="65"/>
      <c r="M52" s="64">
        <v>1.0</v>
      </c>
      <c r="N52" s="65"/>
      <c r="O52" s="65"/>
      <c r="P52" s="65"/>
      <c r="Q52" s="66"/>
      <c r="R52" s="66"/>
      <c r="S52" s="61" t="s">
        <v>141</v>
      </c>
      <c r="T52" s="61" t="s">
        <v>83</v>
      </c>
      <c r="U52" s="61" t="s">
        <v>38</v>
      </c>
      <c r="V52" s="61" t="s">
        <v>59</v>
      </c>
      <c r="W52" s="67"/>
      <c r="X52" s="67"/>
      <c r="Y52" s="67"/>
      <c r="Z52" s="67"/>
      <c r="AA52" s="68">
        <v>5199.0</v>
      </c>
      <c r="AB52" s="68">
        <v>0.0</v>
      </c>
      <c r="AC52" s="24" t="s">
        <v>258</v>
      </c>
      <c r="AD52" s="17">
        <v>2781.0</v>
      </c>
      <c r="AE52" s="27" t="s">
        <v>261</v>
      </c>
      <c r="AF52" s="61" t="str">
        <f t="shared" si="1"/>
        <v>Capital Federal, Argentina</v>
      </c>
      <c r="AG52" s="61">
        <f t="shared" si="2"/>
        <v>1</v>
      </c>
      <c r="AH52" s="69">
        <f t="shared" si="3"/>
        <v>0</v>
      </c>
      <c r="AI52" s="69">
        <f t="shared" si="4"/>
        <v>0</v>
      </c>
      <c r="AJ52" s="68">
        <f t="shared" si="5"/>
        <v>5199</v>
      </c>
      <c r="AK52" s="68">
        <f t="shared" si="6"/>
        <v>5199</v>
      </c>
      <c r="AL52" s="70"/>
      <c r="AM52" s="70"/>
    </row>
    <row r="53">
      <c r="A53" s="61">
        <v>52.0</v>
      </c>
      <c r="B53" s="62">
        <v>43595.0</v>
      </c>
      <c r="C53" s="17">
        <v>52019.0</v>
      </c>
      <c r="D53" s="63" t="s">
        <v>262</v>
      </c>
      <c r="E53" s="61" t="s">
        <v>38</v>
      </c>
      <c r="F53" s="63" t="s">
        <v>71</v>
      </c>
      <c r="G53" s="61" t="s">
        <v>40</v>
      </c>
      <c r="H53" s="61" t="s">
        <v>41</v>
      </c>
      <c r="I53" s="61" t="s">
        <v>42</v>
      </c>
      <c r="J53" s="64">
        <v>1.0</v>
      </c>
      <c r="K53" s="65"/>
      <c r="L53" s="65"/>
      <c r="M53" s="65"/>
      <c r="N53" s="65"/>
      <c r="O53" s="65"/>
      <c r="P53" s="65"/>
      <c r="Q53" s="66"/>
      <c r="R53" s="66"/>
      <c r="S53" s="61" t="s">
        <v>114</v>
      </c>
      <c r="T53" s="61" t="s">
        <v>263</v>
      </c>
      <c r="U53" s="61" t="s">
        <v>53</v>
      </c>
      <c r="V53" s="61" t="s">
        <v>84</v>
      </c>
      <c r="W53" s="67"/>
      <c r="X53" s="67"/>
      <c r="Y53" s="67"/>
      <c r="Z53" s="67"/>
      <c r="AA53" s="68">
        <v>2383.0</v>
      </c>
      <c r="AB53" s="68">
        <v>11916.0</v>
      </c>
      <c r="AC53" s="24" t="s">
        <v>264</v>
      </c>
      <c r="AD53" s="17">
        <v>2537.0</v>
      </c>
      <c r="AE53" s="27" t="s">
        <v>265</v>
      </c>
      <c r="AF53" s="61" t="str">
        <f t="shared" si="1"/>
        <v>Santa Fé, Argentina</v>
      </c>
      <c r="AG53" s="61">
        <f t="shared" si="2"/>
        <v>1</v>
      </c>
      <c r="AH53" s="69">
        <f t="shared" si="3"/>
        <v>0</v>
      </c>
      <c r="AI53" s="69">
        <f t="shared" si="4"/>
        <v>0</v>
      </c>
      <c r="AJ53" s="68">
        <f t="shared" si="5"/>
        <v>14299</v>
      </c>
      <c r="AK53" s="68">
        <f t="shared" si="6"/>
        <v>14299</v>
      </c>
      <c r="AL53" s="70"/>
      <c r="AM53" s="70"/>
    </row>
    <row r="54">
      <c r="A54" s="61">
        <v>53.0</v>
      </c>
      <c r="B54" s="62">
        <v>43605.0</v>
      </c>
      <c r="C54" s="17">
        <v>52019.0</v>
      </c>
      <c r="D54" s="63" t="s">
        <v>266</v>
      </c>
      <c r="E54" s="61" t="s">
        <v>38</v>
      </c>
      <c r="F54" s="63" t="s">
        <v>188</v>
      </c>
      <c r="G54" s="61" t="s">
        <v>64</v>
      </c>
      <c r="H54" s="61" t="s">
        <v>41</v>
      </c>
      <c r="I54" s="61" t="s">
        <v>42</v>
      </c>
      <c r="J54" s="65"/>
      <c r="K54" s="65"/>
      <c r="L54" s="65"/>
      <c r="M54" s="65"/>
      <c r="N54" s="65"/>
      <c r="O54" s="65"/>
      <c r="P54" s="65"/>
      <c r="Q54" s="66"/>
      <c r="R54" s="61">
        <v>4.0</v>
      </c>
      <c r="S54" s="61" t="s">
        <v>189</v>
      </c>
      <c r="T54" s="61" t="s">
        <v>267</v>
      </c>
      <c r="U54" s="61" t="s">
        <v>67</v>
      </c>
      <c r="V54" s="61" t="s">
        <v>84</v>
      </c>
      <c r="W54" s="67"/>
      <c r="X54" s="67"/>
      <c r="Y54" s="67"/>
      <c r="Z54" s="68">
        <v>12600.0</v>
      </c>
      <c r="AA54" s="68">
        <v>0.0</v>
      </c>
      <c r="AB54" s="68">
        <v>0.0</v>
      </c>
      <c r="AC54" s="24" t="s">
        <v>268</v>
      </c>
      <c r="AD54" s="17">
        <v>2419.0</v>
      </c>
      <c r="AE54" s="27" t="s">
        <v>269</v>
      </c>
      <c r="AF54" s="61" t="str">
        <f t="shared" si="1"/>
        <v>Entre Ríos, Argentina</v>
      </c>
      <c r="AG54" s="61">
        <f t="shared" si="2"/>
        <v>0</v>
      </c>
      <c r="AH54" s="69">
        <f t="shared" si="3"/>
        <v>0</v>
      </c>
      <c r="AI54" s="69">
        <f t="shared" si="4"/>
        <v>12600</v>
      </c>
      <c r="AJ54" s="68">
        <f t="shared" si="5"/>
        <v>0</v>
      </c>
      <c r="AK54" s="68">
        <f t="shared" si="6"/>
        <v>12600</v>
      </c>
      <c r="AL54" s="70"/>
      <c r="AM54" s="70"/>
    </row>
    <row r="55">
      <c r="A55" s="61">
        <v>54.0</v>
      </c>
      <c r="B55" s="62">
        <v>43592.0</v>
      </c>
      <c r="C55" s="17">
        <v>52019.0</v>
      </c>
      <c r="D55" s="63" t="s">
        <v>270</v>
      </c>
      <c r="E55" s="61" t="s">
        <v>38</v>
      </c>
      <c r="F55" s="63" t="s">
        <v>271</v>
      </c>
      <c r="G55" s="61" t="s">
        <v>40</v>
      </c>
      <c r="H55" s="61" t="s">
        <v>41</v>
      </c>
      <c r="I55" s="61" t="s">
        <v>42</v>
      </c>
      <c r="J55" s="64">
        <v>1.0</v>
      </c>
      <c r="K55" s="65"/>
      <c r="L55" s="65"/>
      <c r="M55" s="64">
        <v>1.0</v>
      </c>
      <c r="N55" s="65"/>
      <c r="O55" s="65"/>
      <c r="P55" s="65"/>
      <c r="Q55" s="66"/>
      <c r="R55" s="66"/>
      <c r="S55" s="61" t="s">
        <v>65</v>
      </c>
      <c r="T55" s="61" t="s">
        <v>66</v>
      </c>
      <c r="U55" s="61" t="s">
        <v>38</v>
      </c>
      <c r="V55" s="61" t="s">
        <v>84</v>
      </c>
      <c r="W55" s="67"/>
      <c r="X55" s="67"/>
      <c r="Y55" s="67"/>
      <c r="Z55" s="67"/>
      <c r="AA55" s="68">
        <v>2383.0</v>
      </c>
      <c r="AB55" s="68">
        <v>12998.0</v>
      </c>
      <c r="AC55" s="24" t="s">
        <v>272</v>
      </c>
      <c r="AD55" s="17">
        <v>2767.0</v>
      </c>
      <c r="AE55" s="27" t="s">
        <v>273</v>
      </c>
      <c r="AF55" s="61" t="str">
        <f t="shared" si="1"/>
        <v>Buenos Aires, Argentina</v>
      </c>
      <c r="AG55" s="61">
        <f t="shared" si="2"/>
        <v>2</v>
      </c>
      <c r="AH55" s="69">
        <f t="shared" si="3"/>
        <v>0</v>
      </c>
      <c r="AI55" s="69">
        <f t="shared" si="4"/>
        <v>0</v>
      </c>
      <c r="AJ55" s="68">
        <f t="shared" si="5"/>
        <v>15381</v>
      </c>
      <c r="AK55" s="68">
        <f t="shared" si="6"/>
        <v>15381</v>
      </c>
      <c r="AL55" s="70"/>
      <c r="AM55" s="70"/>
    </row>
    <row r="56">
      <c r="A56" s="61">
        <v>55.0</v>
      </c>
      <c r="B56" s="62">
        <v>43613.0</v>
      </c>
      <c r="C56" s="17">
        <v>52019.0</v>
      </c>
      <c r="D56" s="63" t="s">
        <v>274</v>
      </c>
      <c r="E56" s="61" t="s">
        <v>38</v>
      </c>
      <c r="F56" s="63" t="s">
        <v>275</v>
      </c>
      <c r="G56" s="61" t="s">
        <v>64</v>
      </c>
      <c r="H56" s="61" t="s">
        <v>41</v>
      </c>
      <c r="I56" s="61" t="s">
        <v>42</v>
      </c>
      <c r="J56" s="65"/>
      <c r="K56" s="65"/>
      <c r="L56" s="65"/>
      <c r="M56" s="65"/>
      <c r="N56" s="64">
        <v>1.0</v>
      </c>
      <c r="O56" s="65"/>
      <c r="P56" s="65"/>
      <c r="Q56" s="66"/>
      <c r="R56" s="66"/>
      <c r="S56" s="61" t="s">
        <v>276</v>
      </c>
      <c r="T56" s="61" t="s">
        <v>66</v>
      </c>
      <c r="U56" s="61" t="s">
        <v>99</v>
      </c>
      <c r="V56" s="61" t="s">
        <v>84</v>
      </c>
      <c r="W56" s="68">
        <v>9256.0</v>
      </c>
      <c r="X56" s="68">
        <v>1600.0</v>
      </c>
      <c r="Y56" s="67"/>
      <c r="Z56" s="67"/>
      <c r="AA56" s="68">
        <v>0.0</v>
      </c>
      <c r="AB56" s="68">
        <v>0.0</v>
      </c>
      <c r="AC56" s="24" t="s">
        <v>277</v>
      </c>
      <c r="AD56" s="17">
        <v>312.0</v>
      </c>
      <c r="AE56" s="27" t="s">
        <v>278</v>
      </c>
      <c r="AF56" s="61" t="str">
        <f t="shared" si="1"/>
        <v>Buenos Aires, Argentina</v>
      </c>
      <c r="AG56" s="61">
        <f t="shared" si="2"/>
        <v>1</v>
      </c>
      <c r="AH56" s="69">
        <f t="shared" si="3"/>
        <v>10856</v>
      </c>
      <c r="AI56" s="69">
        <f t="shared" si="4"/>
        <v>0</v>
      </c>
      <c r="AJ56" s="68">
        <f t="shared" si="5"/>
        <v>0</v>
      </c>
      <c r="AK56" s="68">
        <f t="shared" si="6"/>
        <v>10856</v>
      </c>
      <c r="AL56" s="70"/>
      <c r="AM56" s="70"/>
    </row>
    <row r="57">
      <c r="A57" s="61">
        <v>56.0</v>
      </c>
      <c r="B57" s="62">
        <v>43608.0</v>
      </c>
      <c r="C57" s="17">
        <v>52019.0</v>
      </c>
      <c r="D57" s="63" t="s">
        <v>279</v>
      </c>
      <c r="E57" s="61" t="s">
        <v>38</v>
      </c>
      <c r="F57" s="63" t="s">
        <v>280</v>
      </c>
      <c r="G57" s="61" t="s">
        <v>64</v>
      </c>
      <c r="H57" s="61" t="s">
        <v>41</v>
      </c>
      <c r="I57" s="61" t="s">
        <v>42</v>
      </c>
      <c r="J57" s="64">
        <v>1.0</v>
      </c>
      <c r="K57" s="65"/>
      <c r="L57" s="65"/>
      <c r="M57" s="65"/>
      <c r="N57" s="65"/>
      <c r="O57" s="65"/>
      <c r="P57" s="65"/>
      <c r="Q57" s="66"/>
      <c r="R57" s="66"/>
      <c r="S57" s="61" t="s">
        <v>89</v>
      </c>
      <c r="T57" s="61" t="s">
        <v>83</v>
      </c>
      <c r="U57" s="61" t="s">
        <v>67</v>
      </c>
      <c r="V57" s="61" t="s">
        <v>84</v>
      </c>
      <c r="W57" s="67"/>
      <c r="X57" s="67"/>
      <c r="Y57" s="67"/>
      <c r="Z57" s="67"/>
      <c r="AA57" s="68">
        <v>4123.0</v>
      </c>
      <c r="AB57" s="68">
        <v>0.0</v>
      </c>
      <c r="AC57" s="24" t="s">
        <v>281</v>
      </c>
      <c r="AD57" s="17">
        <v>3317.0</v>
      </c>
      <c r="AE57" s="27" t="s">
        <v>282</v>
      </c>
      <c r="AF57" s="61" t="str">
        <f t="shared" si="1"/>
        <v>Capital Federal, Argentina</v>
      </c>
      <c r="AG57" s="61">
        <f t="shared" si="2"/>
        <v>1</v>
      </c>
      <c r="AH57" s="69">
        <f t="shared" si="3"/>
        <v>0</v>
      </c>
      <c r="AI57" s="69">
        <f t="shared" si="4"/>
        <v>0</v>
      </c>
      <c r="AJ57" s="68">
        <f t="shared" si="5"/>
        <v>4123</v>
      </c>
      <c r="AK57" s="68">
        <f t="shared" si="6"/>
        <v>4123</v>
      </c>
      <c r="AL57" s="70"/>
      <c r="AM57" s="70"/>
    </row>
    <row r="58">
      <c r="A58" s="61">
        <v>57.0</v>
      </c>
      <c r="B58" s="62">
        <v>43609.0</v>
      </c>
      <c r="C58" s="17">
        <v>52019.0</v>
      </c>
      <c r="D58" s="63" t="s">
        <v>283</v>
      </c>
      <c r="E58" s="61" t="s">
        <v>38</v>
      </c>
      <c r="F58" s="63" t="s">
        <v>284</v>
      </c>
      <c r="G58" s="61" t="s">
        <v>40</v>
      </c>
      <c r="H58" s="61" t="s">
        <v>41</v>
      </c>
      <c r="I58" s="61" t="s">
        <v>42</v>
      </c>
      <c r="J58" s="64">
        <v>2.0</v>
      </c>
      <c r="K58" s="65"/>
      <c r="L58" s="65"/>
      <c r="M58" s="65"/>
      <c r="N58" s="65"/>
      <c r="O58" s="65"/>
      <c r="P58" s="65"/>
      <c r="Q58" s="66"/>
      <c r="R58" s="66"/>
      <c r="S58" s="61" t="s">
        <v>82</v>
      </c>
      <c r="T58" s="61" t="s">
        <v>83</v>
      </c>
      <c r="U58" s="61" t="s">
        <v>38</v>
      </c>
      <c r="V58" s="61" t="s">
        <v>84</v>
      </c>
      <c r="W58" s="67"/>
      <c r="X58" s="67"/>
      <c r="Y58" s="67"/>
      <c r="Z58" s="67"/>
      <c r="AA58" s="68">
        <v>5958.0</v>
      </c>
      <c r="AB58" s="68">
        <v>17874.0</v>
      </c>
      <c r="AC58" s="24" t="s">
        <v>285</v>
      </c>
      <c r="AD58" s="17">
        <v>2669.0</v>
      </c>
      <c r="AE58" s="27" t="s">
        <v>286</v>
      </c>
      <c r="AF58" s="61" t="str">
        <f t="shared" si="1"/>
        <v>Capital Federal, Argentina</v>
      </c>
      <c r="AG58" s="61">
        <f t="shared" si="2"/>
        <v>2</v>
      </c>
      <c r="AH58" s="69">
        <f t="shared" si="3"/>
        <v>0</v>
      </c>
      <c r="AI58" s="69">
        <f t="shared" si="4"/>
        <v>0</v>
      </c>
      <c r="AJ58" s="68">
        <f t="shared" si="5"/>
        <v>23832</v>
      </c>
      <c r="AK58" s="68">
        <f t="shared" si="6"/>
        <v>23832</v>
      </c>
      <c r="AL58" s="70"/>
      <c r="AM58" s="70"/>
    </row>
    <row r="59">
      <c r="A59" s="61">
        <v>58.0</v>
      </c>
      <c r="B59" s="62">
        <v>43612.0</v>
      </c>
      <c r="C59" s="17">
        <v>52019.0</v>
      </c>
      <c r="D59" s="63" t="s">
        <v>199</v>
      </c>
      <c r="E59" s="61" t="s">
        <v>38</v>
      </c>
      <c r="F59" s="63" t="s">
        <v>287</v>
      </c>
      <c r="G59" s="61" t="s">
        <v>64</v>
      </c>
      <c r="H59" s="61" t="s">
        <v>41</v>
      </c>
      <c r="I59" s="61" t="s">
        <v>42</v>
      </c>
      <c r="J59" s="64">
        <v>1.0</v>
      </c>
      <c r="K59" s="64">
        <v>17.0</v>
      </c>
      <c r="L59" s="65"/>
      <c r="M59" s="65"/>
      <c r="N59" s="65"/>
      <c r="O59" s="65"/>
      <c r="P59" s="65"/>
      <c r="Q59" s="66"/>
      <c r="R59" s="66"/>
      <c r="S59" s="61" t="s">
        <v>65</v>
      </c>
      <c r="T59" s="61" t="s">
        <v>44</v>
      </c>
      <c r="U59" s="61" t="s">
        <v>67</v>
      </c>
      <c r="V59" s="61" t="s">
        <v>84</v>
      </c>
      <c r="W59" s="67"/>
      <c r="X59" s="67"/>
      <c r="Y59" s="67"/>
      <c r="Z59" s="67"/>
      <c r="AA59" s="68">
        <v>27637.0</v>
      </c>
      <c r="AB59" s="68">
        <v>143664.0</v>
      </c>
      <c r="AC59" s="24" t="s">
        <v>288</v>
      </c>
      <c r="AD59" s="17">
        <v>2889.0</v>
      </c>
      <c r="AE59" s="27" t="s">
        <v>289</v>
      </c>
      <c r="AF59" s="61" t="str">
        <f t="shared" si="1"/>
        <v>Mendoza, Argentina</v>
      </c>
      <c r="AG59" s="61">
        <f t="shared" si="2"/>
        <v>18</v>
      </c>
      <c r="AH59" s="69">
        <f t="shared" si="3"/>
        <v>0</v>
      </c>
      <c r="AI59" s="69">
        <f t="shared" si="4"/>
        <v>0</v>
      </c>
      <c r="AJ59" s="68">
        <f t="shared" si="5"/>
        <v>171301</v>
      </c>
      <c r="AK59" s="68">
        <f t="shared" si="6"/>
        <v>171301</v>
      </c>
      <c r="AL59" s="70"/>
      <c r="AM59" s="70"/>
    </row>
    <row r="60">
      <c r="A60" s="61">
        <v>59.0</v>
      </c>
      <c r="B60" s="62">
        <v>43602.0</v>
      </c>
      <c r="C60" s="17">
        <v>52019.0</v>
      </c>
      <c r="D60" s="63" t="s">
        <v>290</v>
      </c>
      <c r="E60" s="61" t="s">
        <v>38</v>
      </c>
      <c r="F60" s="63" t="s">
        <v>284</v>
      </c>
      <c r="G60" s="61" t="s">
        <v>64</v>
      </c>
      <c r="H60" s="61" t="s">
        <v>41</v>
      </c>
      <c r="I60" s="61" t="s">
        <v>42</v>
      </c>
      <c r="J60" s="64">
        <v>2.0</v>
      </c>
      <c r="K60" s="65"/>
      <c r="L60" s="65"/>
      <c r="M60" s="65"/>
      <c r="N60" s="65"/>
      <c r="O60" s="65"/>
      <c r="P60" s="65"/>
      <c r="Q60" s="66"/>
      <c r="R60" s="66"/>
      <c r="S60" s="61" t="s">
        <v>51</v>
      </c>
      <c r="T60" s="61" t="s">
        <v>66</v>
      </c>
      <c r="U60" s="61" t="s">
        <v>67</v>
      </c>
      <c r="V60" s="61" t="s">
        <v>78</v>
      </c>
      <c r="W60" s="67"/>
      <c r="X60" s="67"/>
      <c r="Y60" s="67"/>
      <c r="Z60" s="67"/>
      <c r="AA60" s="68">
        <v>7041.0</v>
      </c>
      <c r="AB60" s="68">
        <v>34501.0</v>
      </c>
      <c r="AC60" s="24" t="s">
        <v>291</v>
      </c>
      <c r="AD60" s="17">
        <v>1608.0</v>
      </c>
      <c r="AE60" s="27" t="s">
        <v>292</v>
      </c>
      <c r="AF60" s="61" t="str">
        <f t="shared" si="1"/>
        <v>Buenos Aires, Argentina</v>
      </c>
      <c r="AG60" s="61">
        <f t="shared" si="2"/>
        <v>2</v>
      </c>
      <c r="AH60" s="69">
        <f t="shared" si="3"/>
        <v>0</v>
      </c>
      <c r="AI60" s="69">
        <f t="shared" si="4"/>
        <v>0</v>
      </c>
      <c r="AJ60" s="68">
        <f t="shared" si="5"/>
        <v>41542</v>
      </c>
      <c r="AK60" s="68">
        <f t="shared" si="6"/>
        <v>41542</v>
      </c>
      <c r="AL60" s="70"/>
      <c r="AM60" s="70"/>
    </row>
    <row r="61">
      <c r="A61" s="61">
        <v>60.0</v>
      </c>
      <c r="B61" s="62">
        <v>43600.0</v>
      </c>
      <c r="C61" s="17">
        <v>52019.0</v>
      </c>
      <c r="D61" s="63" t="s">
        <v>293</v>
      </c>
      <c r="E61" s="61" t="s">
        <v>38</v>
      </c>
      <c r="F61" s="63" t="s">
        <v>294</v>
      </c>
      <c r="G61" s="61" t="s">
        <v>64</v>
      </c>
      <c r="H61" s="61" t="s">
        <v>41</v>
      </c>
      <c r="I61" s="61" t="s">
        <v>42</v>
      </c>
      <c r="J61" s="64">
        <v>4.0</v>
      </c>
      <c r="K61" s="64">
        <v>1.0</v>
      </c>
      <c r="L61" s="65"/>
      <c r="M61" s="65"/>
      <c r="N61" s="65"/>
      <c r="O61" s="65"/>
      <c r="P61" s="65"/>
      <c r="Q61" s="66"/>
      <c r="R61" s="66"/>
      <c r="S61" s="61" t="s">
        <v>89</v>
      </c>
      <c r="T61" s="61" t="s">
        <v>66</v>
      </c>
      <c r="U61" s="61" t="s">
        <v>67</v>
      </c>
      <c r="V61" s="61" t="s">
        <v>78</v>
      </c>
      <c r="W61" s="67"/>
      <c r="X61" s="67"/>
      <c r="Y61" s="67"/>
      <c r="Z61" s="67"/>
      <c r="AA61" s="68">
        <v>7415.0</v>
      </c>
      <c r="AB61" s="68">
        <v>0.0</v>
      </c>
      <c r="AC61" s="24" t="s">
        <v>295</v>
      </c>
      <c r="AD61" s="17">
        <v>2657.0</v>
      </c>
      <c r="AE61" s="27" t="s">
        <v>296</v>
      </c>
      <c r="AF61" s="61" t="str">
        <f t="shared" si="1"/>
        <v>Buenos Aires, Argentina</v>
      </c>
      <c r="AG61" s="61">
        <f t="shared" si="2"/>
        <v>5</v>
      </c>
      <c r="AH61" s="69">
        <f t="shared" si="3"/>
        <v>0</v>
      </c>
      <c r="AI61" s="69">
        <f t="shared" si="4"/>
        <v>0</v>
      </c>
      <c r="AJ61" s="68">
        <f t="shared" si="5"/>
        <v>7415</v>
      </c>
      <c r="AK61" s="68">
        <f t="shared" si="6"/>
        <v>7415</v>
      </c>
      <c r="AL61" s="70"/>
      <c r="AM61" s="70"/>
    </row>
    <row r="62">
      <c r="A62" s="61">
        <v>61.0</v>
      </c>
      <c r="B62" s="62">
        <v>43605.0</v>
      </c>
      <c r="C62" s="17">
        <v>52019.0</v>
      </c>
      <c r="D62" s="63" t="s">
        <v>297</v>
      </c>
      <c r="E62" s="61" t="s">
        <v>38</v>
      </c>
      <c r="F62" s="63" t="s">
        <v>39</v>
      </c>
      <c r="G62" s="61" t="s">
        <v>64</v>
      </c>
      <c r="H62" s="61" t="s">
        <v>41</v>
      </c>
      <c r="I62" s="61" t="s">
        <v>42</v>
      </c>
      <c r="J62" s="64">
        <v>1.0</v>
      </c>
      <c r="K62" s="64">
        <v>2.0</v>
      </c>
      <c r="L62" s="65"/>
      <c r="M62" s="65"/>
      <c r="N62" s="65"/>
      <c r="O62" s="65"/>
      <c r="P62" s="65"/>
      <c r="Q62" s="66"/>
      <c r="R62" s="66"/>
      <c r="S62" s="61" t="s">
        <v>98</v>
      </c>
      <c r="T62" s="61" t="s">
        <v>66</v>
      </c>
      <c r="U62" s="61" t="s">
        <v>67</v>
      </c>
      <c r="V62" s="61" t="s">
        <v>78</v>
      </c>
      <c r="W62" s="67"/>
      <c r="X62" s="67"/>
      <c r="Y62" s="67"/>
      <c r="Z62" s="67"/>
      <c r="AA62" s="68">
        <v>4979.0</v>
      </c>
      <c r="AB62" s="68">
        <v>17218.0</v>
      </c>
      <c r="AC62" s="24" t="s">
        <v>298</v>
      </c>
      <c r="AD62" s="17">
        <v>2358.0</v>
      </c>
      <c r="AE62" s="27" t="s">
        <v>299</v>
      </c>
      <c r="AF62" s="61" t="str">
        <f t="shared" si="1"/>
        <v>Buenos Aires, Argentina</v>
      </c>
      <c r="AG62" s="61">
        <f t="shared" si="2"/>
        <v>3</v>
      </c>
      <c r="AH62" s="69">
        <f t="shared" si="3"/>
        <v>0</v>
      </c>
      <c r="AI62" s="69">
        <f t="shared" si="4"/>
        <v>0</v>
      </c>
      <c r="AJ62" s="68">
        <f t="shared" si="5"/>
        <v>22197</v>
      </c>
      <c r="AK62" s="68">
        <f t="shared" si="6"/>
        <v>22197</v>
      </c>
      <c r="AL62" s="70"/>
      <c r="AM62" s="70"/>
    </row>
    <row r="63">
      <c r="A63" s="61">
        <v>62.0</v>
      </c>
      <c r="B63" s="62">
        <v>43607.0</v>
      </c>
      <c r="C63" s="17">
        <v>52019.0</v>
      </c>
      <c r="D63" s="63" t="s">
        <v>300</v>
      </c>
      <c r="E63" s="61" t="s">
        <v>38</v>
      </c>
      <c r="F63" s="63" t="s">
        <v>284</v>
      </c>
      <c r="G63" s="61" t="s">
        <v>40</v>
      </c>
      <c r="H63" s="61" t="s">
        <v>41</v>
      </c>
      <c r="I63" s="61" t="s">
        <v>42</v>
      </c>
      <c r="J63" s="64">
        <v>2.0</v>
      </c>
      <c r="K63" s="65"/>
      <c r="L63" s="65"/>
      <c r="M63" s="65"/>
      <c r="N63" s="65"/>
      <c r="O63" s="65"/>
      <c r="P63" s="65"/>
      <c r="Q63" s="66"/>
      <c r="R63" s="66"/>
      <c r="S63" s="61" t="s">
        <v>72</v>
      </c>
      <c r="T63" s="61" t="s">
        <v>66</v>
      </c>
      <c r="U63" s="61" t="s">
        <v>243</v>
      </c>
      <c r="V63" s="61" t="s">
        <v>78</v>
      </c>
      <c r="W63" s="67"/>
      <c r="X63" s="67"/>
      <c r="Y63" s="67"/>
      <c r="Z63" s="67"/>
      <c r="AA63" s="68">
        <v>5958.0</v>
      </c>
      <c r="AB63" s="68">
        <v>0.0</v>
      </c>
      <c r="AC63" s="24" t="s">
        <v>301</v>
      </c>
      <c r="AD63" s="17">
        <v>2852.0</v>
      </c>
      <c r="AE63" s="27" t="s">
        <v>302</v>
      </c>
      <c r="AF63" s="61" t="str">
        <f t="shared" si="1"/>
        <v>Buenos Aires, Argentina</v>
      </c>
      <c r="AG63" s="61">
        <f t="shared" si="2"/>
        <v>2</v>
      </c>
      <c r="AH63" s="69">
        <f t="shared" si="3"/>
        <v>0</v>
      </c>
      <c r="AI63" s="69">
        <f t="shared" si="4"/>
        <v>0</v>
      </c>
      <c r="AJ63" s="68">
        <f t="shared" si="5"/>
        <v>5958</v>
      </c>
      <c r="AK63" s="68">
        <f t="shared" si="6"/>
        <v>5958</v>
      </c>
      <c r="AL63" s="70"/>
      <c r="AM63" s="70"/>
    </row>
    <row r="64">
      <c r="A64" s="61">
        <v>63.0</v>
      </c>
      <c r="B64" s="62">
        <v>43598.0</v>
      </c>
      <c r="C64" s="17">
        <v>52019.0</v>
      </c>
      <c r="D64" s="63" t="s">
        <v>303</v>
      </c>
      <c r="E64" s="61" t="s">
        <v>38</v>
      </c>
      <c r="F64" s="63" t="s">
        <v>71</v>
      </c>
      <c r="G64" s="61" t="s">
        <v>40</v>
      </c>
      <c r="H64" s="61" t="s">
        <v>41</v>
      </c>
      <c r="I64" s="61" t="s">
        <v>42</v>
      </c>
      <c r="J64" s="64">
        <v>1.0</v>
      </c>
      <c r="K64" s="65"/>
      <c r="L64" s="65"/>
      <c r="M64" s="65"/>
      <c r="N64" s="65"/>
      <c r="O64" s="65"/>
      <c r="P64" s="65"/>
      <c r="Q64" s="66"/>
      <c r="R64" s="66"/>
      <c r="S64" s="61" t="s">
        <v>72</v>
      </c>
      <c r="T64" s="61" t="s">
        <v>66</v>
      </c>
      <c r="U64" s="61" t="s">
        <v>243</v>
      </c>
      <c r="V64" s="61" t="s">
        <v>78</v>
      </c>
      <c r="W64" s="67"/>
      <c r="X64" s="67"/>
      <c r="Y64" s="67"/>
      <c r="Z64" s="67"/>
      <c r="AA64" s="68">
        <v>2979.0</v>
      </c>
      <c r="AB64" s="68">
        <v>14430.0</v>
      </c>
      <c r="AC64" s="24" t="s">
        <v>304</v>
      </c>
      <c r="AD64" s="17">
        <v>2637.0</v>
      </c>
      <c r="AE64" s="27" t="s">
        <v>305</v>
      </c>
      <c r="AF64" s="61" t="str">
        <f t="shared" si="1"/>
        <v>Buenos Aires, Argentina</v>
      </c>
      <c r="AG64" s="61">
        <f t="shared" si="2"/>
        <v>1</v>
      </c>
      <c r="AH64" s="69">
        <f t="shared" si="3"/>
        <v>0</v>
      </c>
      <c r="AI64" s="69">
        <f t="shared" si="4"/>
        <v>0</v>
      </c>
      <c r="AJ64" s="68">
        <f t="shared" si="5"/>
        <v>17409</v>
      </c>
      <c r="AK64" s="68">
        <f t="shared" si="6"/>
        <v>17409</v>
      </c>
      <c r="AL64" s="70"/>
      <c r="AM64" s="70"/>
    </row>
    <row r="65">
      <c r="A65" s="61">
        <v>64.0</v>
      </c>
      <c r="B65" s="62">
        <v>43605.0</v>
      </c>
      <c r="C65" s="17">
        <v>52019.0</v>
      </c>
      <c r="D65" s="63" t="s">
        <v>306</v>
      </c>
      <c r="E65" s="61" t="s">
        <v>38</v>
      </c>
      <c r="F65" s="63" t="s">
        <v>71</v>
      </c>
      <c r="G65" s="61" t="s">
        <v>64</v>
      </c>
      <c r="H65" s="61" t="s">
        <v>41</v>
      </c>
      <c r="I65" s="61" t="s">
        <v>42</v>
      </c>
      <c r="J65" s="64">
        <v>1.0</v>
      </c>
      <c r="K65" s="65"/>
      <c r="L65" s="65"/>
      <c r="M65" s="64">
        <v>1.0</v>
      </c>
      <c r="N65" s="65"/>
      <c r="O65" s="65"/>
      <c r="P65" s="65"/>
      <c r="Q65" s="66"/>
      <c r="R65" s="66"/>
      <c r="S65" s="61" t="s">
        <v>72</v>
      </c>
      <c r="T65" s="61" t="s">
        <v>66</v>
      </c>
      <c r="U65" s="61" t="s">
        <v>67</v>
      </c>
      <c r="V65" s="61" t="s">
        <v>78</v>
      </c>
      <c r="W65" s="67"/>
      <c r="X65" s="67"/>
      <c r="Y65" s="67"/>
      <c r="Z65" s="67"/>
      <c r="AA65" s="68">
        <v>2094.0</v>
      </c>
      <c r="AB65" s="68">
        <v>4188.0</v>
      </c>
      <c r="AC65" s="24" t="s">
        <v>307</v>
      </c>
      <c r="AD65" s="17">
        <v>2735.0</v>
      </c>
      <c r="AE65" s="27" t="s">
        <v>308</v>
      </c>
      <c r="AF65" s="61" t="str">
        <f t="shared" si="1"/>
        <v>Buenos Aires, Argentina</v>
      </c>
      <c r="AG65" s="61">
        <f t="shared" si="2"/>
        <v>2</v>
      </c>
      <c r="AH65" s="69">
        <f t="shared" si="3"/>
        <v>0</v>
      </c>
      <c r="AI65" s="69">
        <f t="shared" si="4"/>
        <v>0</v>
      </c>
      <c r="AJ65" s="68">
        <f t="shared" si="5"/>
        <v>6282</v>
      </c>
      <c r="AK65" s="68">
        <f t="shared" si="6"/>
        <v>6282</v>
      </c>
      <c r="AL65" s="70"/>
      <c r="AM65" s="70"/>
    </row>
    <row r="66">
      <c r="A66" s="71">
        <v>65.0</v>
      </c>
      <c r="B66" s="72">
        <v>43634.0</v>
      </c>
      <c r="C66" s="17">
        <v>62019.0</v>
      </c>
      <c r="D66" s="73" t="s">
        <v>309</v>
      </c>
      <c r="E66" s="71" t="s">
        <v>38</v>
      </c>
      <c r="F66" s="73" t="s">
        <v>71</v>
      </c>
      <c r="G66" s="71" t="s">
        <v>40</v>
      </c>
      <c r="H66" s="71" t="s">
        <v>41</v>
      </c>
      <c r="I66" s="71" t="s">
        <v>42</v>
      </c>
      <c r="J66" s="74">
        <v>1.0</v>
      </c>
      <c r="K66" s="75"/>
      <c r="L66" s="75"/>
      <c r="M66" s="75"/>
      <c r="N66" s="75"/>
      <c r="O66" s="75"/>
      <c r="P66" s="75"/>
      <c r="Q66" s="76"/>
      <c r="R66" s="76"/>
      <c r="S66" s="71" t="s">
        <v>72</v>
      </c>
      <c r="T66" s="71" t="s">
        <v>58</v>
      </c>
      <c r="U66" s="71" t="s">
        <v>45</v>
      </c>
      <c r="V66" s="71" t="s">
        <v>46</v>
      </c>
      <c r="W66" s="77"/>
      <c r="X66" s="77"/>
      <c r="Y66" s="77"/>
      <c r="Z66" s="77"/>
      <c r="AA66" s="78">
        <v>2979.0</v>
      </c>
      <c r="AB66" s="78">
        <v>11916.0</v>
      </c>
      <c r="AC66" s="24" t="s">
        <v>310</v>
      </c>
      <c r="AD66" s="17">
        <v>2499.0</v>
      </c>
      <c r="AE66" s="27" t="s">
        <v>311</v>
      </c>
      <c r="AF66" s="71" t="str">
        <f t="shared" si="1"/>
        <v>Córdoba, Argentina</v>
      </c>
      <c r="AG66" s="71">
        <f t="shared" si="2"/>
        <v>1</v>
      </c>
      <c r="AH66" s="79">
        <f t="shared" si="3"/>
        <v>0</v>
      </c>
      <c r="AI66" s="79">
        <f t="shared" si="4"/>
        <v>0</v>
      </c>
      <c r="AJ66" s="78">
        <f t="shared" si="5"/>
        <v>14895</v>
      </c>
      <c r="AK66" s="78">
        <f t="shared" si="6"/>
        <v>14895</v>
      </c>
      <c r="AL66" s="80"/>
      <c r="AM66" s="80"/>
    </row>
    <row r="67">
      <c r="A67" s="71">
        <v>66.0</v>
      </c>
      <c r="B67" s="72">
        <v>43621.0</v>
      </c>
      <c r="C67" s="17">
        <v>62019.0</v>
      </c>
      <c r="D67" s="73" t="s">
        <v>174</v>
      </c>
      <c r="E67" s="71" t="s">
        <v>38</v>
      </c>
      <c r="F67" s="73" t="s">
        <v>63</v>
      </c>
      <c r="G67" s="71" t="s">
        <v>64</v>
      </c>
      <c r="H67" s="71" t="s">
        <v>41</v>
      </c>
      <c r="I67" s="71" t="s">
        <v>42</v>
      </c>
      <c r="J67" s="75"/>
      <c r="K67" s="75"/>
      <c r="L67" s="75"/>
      <c r="M67" s="75"/>
      <c r="N67" s="75"/>
      <c r="O67" s="75"/>
      <c r="P67" s="74">
        <v>1.0</v>
      </c>
      <c r="Q67" s="76"/>
      <c r="R67" s="76"/>
      <c r="S67" s="71" t="s">
        <v>98</v>
      </c>
      <c r="T67" s="71" t="s">
        <v>66</v>
      </c>
      <c r="U67" s="71" t="s">
        <v>67</v>
      </c>
      <c r="V67" s="71" t="s">
        <v>59</v>
      </c>
      <c r="W67" s="78">
        <v>599.0</v>
      </c>
      <c r="X67" s="77"/>
      <c r="Y67" s="77"/>
      <c r="Z67" s="77"/>
      <c r="AA67" s="78">
        <v>0.0</v>
      </c>
      <c r="AB67" s="78">
        <v>0.0</v>
      </c>
      <c r="AC67" s="24" t="s">
        <v>176</v>
      </c>
      <c r="AD67" s="17">
        <v>2585.0</v>
      </c>
      <c r="AE67" s="27" t="s">
        <v>312</v>
      </c>
      <c r="AF67" s="71" t="str">
        <f t="shared" si="1"/>
        <v>Buenos Aires, Argentina</v>
      </c>
      <c r="AG67" s="71">
        <f t="shared" si="2"/>
        <v>1</v>
      </c>
      <c r="AH67" s="79">
        <f t="shared" si="3"/>
        <v>599</v>
      </c>
      <c r="AI67" s="79">
        <f t="shared" si="4"/>
        <v>0</v>
      </c>
      <c r="AJ67" s="78">
        <f t="shared" si="5"/>
        <v>0</v>
      </c>
      <c r="AK67" s="78">
        <f t="shared" si="6"/>
        <v>599</v>
      </c>
      <c r="AL67" s="80"/>
      <c r="AM67" s="80"/>
    </row>
    <row r="68">
      <c r="A68" s="71">
        <v>67.0</v>
      </c>
      <c r="B68" s="72">
        <v>43630.0</v>
      </c>
      <c r="C68" s="17">
        <v>62019.0</v>
      </c>
      <c r="D68" s="73" t="s">
        <v>313</v>
      </c>
      <c r="E68" s="71" t="s">
        <v>38</v>
      </c>
      <c r="F68" s="73" t="s">
        <v>71</v>
      </c>
      <c r="G68" s="71" t="s">
        <v>40</v>
      </c>
      <c r="H68" s="71" t="s">
        <v>41</v>
      </c>
      <c r="I68" s="71" t="s">
        <v>42</v>
      </c>
      <c r="J68" s="74">
        <v>1.0</v>
      </c>
      <c r="K68" s="75"/>
      <c r="L68" s="75"/>
      <c r="M68" s="74">
        <v>1.0</v>
      </c>
      <c r="N68" s="75"/>
      <c r="O68" s="75"/>
      <c r="P68" s="75"/>
      <c r="Q68" s="76"/>
      <c r="R68" s="76"/>
      <c r="S68" s="71" t="s">
        <v>98</v>
      </c>
      <c r="T68" s="71" t="s">
        <v>66</v>
      </c>
      <c r="U68" s="71" t="s">
        <v>67</v>
      </c>
      <c r="V68" s="71" t="s">
        <v>59</v>
      </c>
      <c r="W68" s="77"/>
      <c r="X68" s="77"/>
      <c r="Y68" s="77"/>
      <c r="Z68" s="77"/>
      <c r="AA68" s="78">
        <v>2979.0</v>
      </c>
      <c r="AB68" s="78">
        <v>8937.0</v>
      </c>
      <c r="AC68" s="24" t="s">
        <v>314</v>
      </c>
      <c r="AD68" s="17">
        <v>2695.0</v>
      </c>
      <c r="AE68" s="27" t="s">
        <v>315</v>
      </c>
      <c r="AF68" s="71" t="str">
        <f t="shared" si="1"/>
        <v>Buenos Aires, Argentina</v>
      </c>
      <c r="AG68" s="71">
        <f t="shared" si="2"/>
        <v>2</v>
      </c>
      <c r="AH68" s="79">
        <f t="shared" si="3"/>
        <v>0</v>
      </c>
      <c r="AI68" s="79">
        <f t="shared" si="4"/>
        <v>0</v>
      </c>
      <c r="AJ68" s="78">
        <f t="shared" si="5"/>
        <v>11916</v>
      </c>
      <c r="AK68" s="78">
        <f t="shared" si="6"/>
        <v>11916</v>
      </c>
      <c r="AL68" s="80"/>
      <c r="AM68" s="80"/>
    </row>
    <row r="69">
      <c r="A69" s="71">
        <v>68.0</v>
      </c>
      <c r="B69" s="72">
        <v>43641.0</v>
      </c>
      <c r="C69" s="17">
        <v>62019.0</v>
      </c>
      <c r="D69" s="73" t="s">
        <v>316</v>
      </c>
      <c r="E69" s="71" t="s">
        <v>38</v>
      </c>
      <c r="F69" s="73" t="s">
        <v>71</v>
      </c>
      <c r="G69" s="71" t="s">
        <v>40</v>
      </c>
      <c r="H69" s="71" t="s">
        <v>41</v>
      </c>
      <c r="I69" s="71" t="s">
        <v>42</v>
      </c>
      <c r="J69" s="74">
        <v>1.0</v>
      </c>
      <c r="K69" s="75"/>
      <c r="L69" s="75"/>
      <c r="M69" s="74">
        <v>1.0</v>
      </c>
      <c r="N69" s="75"/>
      <c r="O69" s="75"/>
      <c r="P69" s="75"/>
      <c r="Q69" s="76"/>
      <c r="R69" s="76"/>
      <c r="S69" s="71" t="s">
        <v>98</v>
      </c>
      <c r="T69" s="71" t="s">
        <v>83</v>
      </c>
      <c r="U69" s="71" t="s">
        <v>45</v>
      </c>
      <c r="V69" s="71" t="s">
        <v>59</v>
      </c>
      <c r="W69" s="77"/>
      <c r="X69" s="77"/>
      <c r="Y69" s="77"/>
      <c r="Z69" s="77"/>
      <c r="AA69" s="78">
        <v>2979.0</v>
      </c>
      <c r="AB69" s="78">
        <v>8937.0</v>
      </c>
      <c r="AC69" s="24" t="s">
        <v>317</v>
      </c>
      <c r="AD69" s="17">
        <v>2875.0</v>
      </c>
      <c r="AE69" s="27" t="s">
        <v>318</v>
      </c>
      <c r="AF69" s="71" t="str">
        <f t="shared" si="1"/>
        <v>Capital Federal, Argentina</v>
      </c>
      <c r="AG69" s="71">
        <f t="shared" si="2"/>
        <v>2</v>
      </c>
      <c r="AH69" s="79">
        <f t="shared" si="3"/>
        <v>0</v>
      </c>
      <c r="AI69" s="79">
        <f t="shared" si="4"/>
        <v>0</v>
      </c>
      <c r="AJ69" s="78">
        <f t="shared" si="5"/>
        <v>11916</v>
      </c>
      <c r="AK69" s="78">
        <f t="shared" si="6"/>
        <v>11916</v>
      </c>
      <c r="AL69" s="80"/>
      <c r="AM69" s="80"/>
    </row>
    <row r="70">
      <c r="A70" s="71">
        <v>69.0</v>
      </c>
      <c r="B70" s="72">
        <v>43634.0</v>
      </c>
      <c r="C70" s="17">
        <v>62019.0</v>
      </c>
      <c r="D70" s="73" t="s">
        <v>319</v>
      </c>
      <c r="E70" s="71" t="s">
        <v>38</v>
      </c>
      <c r="F70" s="73" t="s">
        <v>320</v>
      </c>
      <c r="G70" s="71" t="s">
        <v>40</v>
      </c>
      <c r="H70" s="71" t="s">
        <v>41</v>
      </c>
      <c r="I70" s="71" t="s">
        <v>42</v>
      </c>
      <c r="J70" s="74">
        <v>3.0</v>
      </c>
      <c r="K70" s="74">
        <v>1.0</v>
      </c>
      <c r="L70" s="75"/>
      <c r="M70" s="74">
        <v>1.0</v>
      </c>
      <c r="N70" s="75"/>
      <c r="O70" s="75"/>
      <c r="P70" s="75"/>
      <c r="Q70" s="76"/>
      <c r="R70" s="76"/>
      <c r="S70" s="71" t="s">
        <v>51</v>
      </c>
      <c r="T70" s="71" t="s">
        <v>83</v>
      </c>
      <c r="U70" s="71" t="s">
        <v>38</v>
      </c>
      <c r="V70" s="71" t="s">
        <v>84</v>
      </c>
      <c r="W70" s="77"/>
      <c r="X70" s="77"/>
      <c r="Y70" s="77"/>
      <c r="Z70" s="77"/>
      <c r="AA70" s="78">
        <v>11997.0</v>
      </c>
      <c r="AB70" s="78">
        <v>43078.0</v>
      </c>
      <c r="AC70" s="24" t="s">
        <v>321</v>
      </c>
      <c r="AD70" s="17">
        <v>2925.0</v>
      </c>
      <c r="AE70" s="27" t="s">
        <v>322</v>
      </c>
      <c r="AF70" s="71" t="str">
        <f t="shared" si="1"/>
        <v>Capital Federal, Argentina</v>
      </c>
      <c r="AG70" s="71">
        <f t="shared" si="2"/>
        <v>5</v>
      </c>
      <c r="AH70" s="79">
        <f t="shared" si="3"/>
        <v>0</v>
      </c>
      <c r="AI70" s="79">
        <f t="shared" si="4"/>
        <v>0</v>
      </c>
      <c r="AJ70" s="78">
        <f t="shared" si="5"/>
        <v>55075</v>
      </c>
      <c r="AK70" s="78">
        <f t="shared" si="6"/>
        <v>55075</v>
      </c>
      <c r="AL70" s="80"/>
      <c r="AM70" s="80"/>
    </row>
    <row r="71">
      <c r="A71" s="71">
        <v>70.0</v>
      </c>
      <c r="B71" s="72">
        <v>43635.0</v>
      </c>
      <c r="C71" s="17">
        <v>62019.0</v>
      </c>
      <c r="D71" s="73" t="s">
        <v>323</v>
      </c>
      <c r="E71" s="71" t="s">
        <v>38</v>
      </c>
      <c r="F71" s="73" t="s">
        <v>93</v>
      </c>
      <c r="G71" s="71" t="s">
        <v>40</v>
      </c>
      <c r="H71" s="71" t="s">
        <v>41</v>
      </c>
      <c r="I71" s="71" t="s">
        <v>42</v>
      </c>
      <c r="J71" s="74">
        <v>2.0</v>
      </c>
      <c r="K71" s="75"/>
      <c r="L71" s="75"/>
      <c r="M71" s="75"/>
      <c r="N71" s="75"/>
      <c r="O71" s="75"/>
      <c r="P71" s="75"/>
      <c r="Q71" s="76"/>
      <c r="R71" s="71">
        <v>10.0</v>
      </c>
      <c r="S71" s="71" t="s">
        <v>109</v>
      </c>
      <c r="T71" s="71" t="s">
        <v>83</v>
      </c>
      <c r="U71" s="71" t="s">
        <v>38</v>
      </c>
      <c r="V71" s="71" t="s">
        <v>84</v>
      </c>
      <c r="W71" s="77"/>
      <c r="X71" s="77"/>
      <c r="Y71" s="77"/>
      <c r="Z71" s="78">
        <v>31500.0</v>
      </c>
      <c r="AA71" s="78">
        <v>7041.0</v>
      </c>
      <c r="AB71" s="78">
        <v>56328.0</v>
      </c>
      <c r="AC71" s="24" t="s">
        <v>324</v>
      </c>
      <c r="AD71" s="17">
        <v>2883.0</v>
      </c>
      <c r="AE71" s="27" t="s">
        <v>325</v>
      </c>
      <c r="AF71" s="71" t="str">
        <f t="shared" si="1"/>
        <v>Capital Federal, Argentina</v>
      </c>
      <c r="AG71" s="71">
        <f t="shared" si="2"/>
        <v>2</v>
      </c>
      <c r="AH71" s="79">
        <f t="shared" si="3"/>
        <v>0</v>
      </c>
      <c r="AI71" s="79">
        <f t="shared" si="4"/>
        <v>31500</v>
      </c>
      <c r="AJ71" s="78">
        <f t="shared" si="5"/>
        <v>63369</v>
      </c>
      <c r="AK71" s="78">
        <f t="shared" si="6"/>
        <v>94869</v>
      </c>
      <c r="AL71" s="80"/>
      <c r="AM71" s="80"/>
    </row>
    <row r="72">
      <c r="A72" s="71">
        <v>71.0</v>
      </c>
      <c r="B72" s="72">
        <v>43641.0</v>
      </c>
      <c r="C72" s="17">
        <v>62019.0</v>
      </c>
      <c r="D72" s="73" t="s">
        <v>326</v>
      </c>
      <c r="E72" s="71" t="s">
        <v>38</v>
      </c>
      <c r="F72" s="73" t="s">
        <v>123</v>
      </c>
      <c r="G72" s="71" t="s">
        <v>64</v>
      </c>
      <c r="H72" s="71" t="s">
        <v>41</v>
      </c>
      <c r="I72" s="71" t="s">
        <v>42</v>
      </c>
      <c r="J72" s="74">
        <v>1.0</v>
      </c>
      <c r="K72" s="74">
        <v>1.0</v>
      </c>
      <c r="L72" s="75"/>
      <c r="M72" s="75"/>
      <c r="N72" s="75"/>
      <c r="O72" s="75"/>
      <c r="P72" s="75"/>
      <c r="Q72" s="76"/>
      <c r="R72" s="76"/>
      <c r="S72" s="71" t="s">
        <v>137</v>
      </c>
      <c r="T72" s="71" t="s">
        <v>66</v>
      </c>
      <c r="U72" s="71" t="s">
        <v>67</v>
      </c>
      <c r="V72" s="71" t="s">
        <v>78</v>
      </c>
      <c r="W72" s="77"/>
      <c r="X72" s="77"/>
      <c r="Y72" s="77"/>
      <c r="Z72" s="77"/>
      <c r="AA72" s="78">
        <v>5427.0</v>
      </c>
      <c r="AB72" s="78">
        <v>14894.0</v>
      </c>
      <c r="AC72" s="24" t="s">
        <v>327</v>
      </c>
      <c r="AD72" s="17">
        <v>800.0</v>
      </c>
      <c r="AE72" s="27" t="s">
        <v>328</v>
      </c>
      <c r="AF72" s="71" t="str">
        <f t="shared" si="1"/>
        <v>Buenos Aires, Argentina</v>
      </c>
      <c r="AG72" s="71">
        <f t="shared" si="2"/>
        <v>2</v>
      </c>
      <c r="AH72" s="79">
        <f t="shared" si="3"/>
        <v>0</v>
      </c>
      <c r="AI72" s="79">
        <f t="shared" si="4"/>
        <v>0</v>
      </c>
      <c r="AJ72" s="78">
        <f t="shared" si="5"/>
        <v>20321</v>
      </c>
      <c r="AK72" s="78">
        <f t="shared" si="6"/>
        <v>20321</v>
      </c>
      <c r="AL72" s="80"/>
      <c r="AM72" s="80"/>
    </row>
    <row r="73">
      <c r="A73" s="71">
        <v>72.0</v>
      </c>
      <c r="B73" s="72">
        <v>43619.0</v>
      </c>
      <c r="C73" s="17">
        <v>62019.0</v>
      </c>
      <c r="D73" s="73" t="s">
        <v>329</v>
      </c>
      <c r="E73" s="71" t="s">
        <v>38</v>
      </c>
      <c r="F73" s="73" t="s">
        <v>330</v>
      </c>
      <c r="G73" s="71" t="s">
        <v>40</v>
      </c>
      <c r="H73" s="71" t="s">
        <v>41</v>
      </c>
      <c r="I73" s="71" t="s">
        <v>42</v>
      </c>
      <c r="J73" s="74">
        <v>5.0</v>
      </c>
      <c r="K73" s="74">
        <v>3.0</v>
      </c>
      <c r="L73" s="75"/>
      <c r="M73" s="75"/>
      <c r="N73" s="75"/>
      <c r="O73" s="75"/>
      <c r="P73" s="75"/>
      <c r="Q73" s="76"/>
      <c r="R73" s="76"/>
      <c r="S73" s="71" t="s">
        <v>137</v>
      </c>
      <c r="T73" s="71" t="s">
        <v>66</v>
      </c>
      <c r="U73" s="28" t="s">
        <v>53</v>
      </c>
      <c r="V73" s="71" t="s">
        <v>78</v>
      </c>
      <c r="W73" s="77"/>
      <c r="X73" s="77"/>
      <c r="Y73" s="77"/>
      <c r="Z73" s="77"/>
      <c r="AA73" s="78">
        <v>21513.0</v>
      </c>
      <c r="AB73" s="78">
        <v>51546.0</v>
      </c>
      <c r="AC73" s="24" t="s">
        <v>331</v>
      </c>
      <c r="AD73" s="17">
        <v>2627.0</v>
      </c>
      <c r="AE73" s="27" t="s">
        <v>332</v>
      </c>
      <c r="AF73" s="71" t="str">
        <f t="shared" si="1"/>
        <v>Buenos Aires, Argentina</v>
      </c>
      <c r="AG73" s="71">
        <f t="shared" si="2"/>
        <v>8</v>
      </c>
      <c r="AH73" s="79">
        <f t="shared" si="3"/>
        <v>0</v>
      </c>
      <c r="AI73" s="79">
        <f t="shared" si="4"/>
        <v>0</v>
      </c>
      <c r="AJ73" s="78">
        <f t="shared" si="5"/>
        <v>73059</v>
      </c>
      <c r="AK73" s="78">
        <f t="shared" si="6"/>
        <v>73059</v>
      </c>
      <c r="AL73" s="80"/>
      <c r="AM73" s="80"/>
    </row>
    <row r="74">
      <c r="A74" s="71">
        <v>73.0</v>
      </c>
      <c r="B74" s="72">
        <v>43623.0</v>
      </c>
      <c r="C74" s="17">
        <v>62019.0</v>
      </c>
      <c r="D74" s="73" t="s">
        <v>333</v>
      </c>
      <c r="E74" s="71" t="s">
        <v>38</v>
      </c>
      <c r="F74" s="73" t="s">
        <v>334</v>
      </c>
      <c r="G74" s="71" t="s">
        <v>40</v>
      </c>
      <c r="H74" s="71" t="s">
        <v>41</v>
      </c>
      <c r="I74" s="71" t="s">
        <v>42</v>
      </c>
      <c r="J74" s="74">
        <v>1.0</v>
      </c>
      <c r="K74" s="75"/>
      <c r="L74" s="75"/>
      <c r="M74" s="75"/>
      <c r="N74" s="75"/>
      <c r="O74" s="75"/>
      <c r="P74" s="75"/>
      <c r="Q74" s="76"/>
      <c r="R74" s="76"/>
      <c r="S74" s="71" t="s">
        <v>98</v>
      </c>
      <c r="T74" s="71" t="s">
        <v>66</v>
      </c>
      <c r="U74" s="28" t="s">
        <v>53</v>
      </c>
      <c r="V74" s="71" t="s">
        <v>78</v>
      </c>
      <c r="W74" s="77"/>
      <c r="X74" s="77"/>
      <c r="Y74" s="77"/>
      <c r="Z74" s="77"/>
      <c r="AA74" s="78">
        <v>2979.0</v>
      </c>
      <c r="AB74" s="78">
        <v>0.0</v>
      </c>
      <c r="AC74" s="24" t="s">
        <v>335</v>
      </c>
      <c r="AD74" s="17">
        <v>2857.0</v>
      </c>
      <c r="AE74" s="27" t="s">
        <v>336</v>
      </c>
      <c r="AF74" s="71" t="str">
        <f t="shared" si="1"/>
        <v>Buenos Aires, Argentina</v>
      </c>
      <c r="AG74" s="71">
        <f t="shared" si="2"/>
        <v>1</v>
      </c>
      <c r="AH74" s="79">
        <f t="shared" si="3"/>
        <v>0</v>
      </c>
      <c r="AI74" s="79">
        <f t="shared" si="4"/>
        <v>0</v>
      </c>
      <c r="AJ74" s="78">
        <f t="shared" si="5"/>
        <v>2979</v>
      </c>
      <c r="AK74" s="78">
        <f t="shared" si="6"/>
        <v>2979</v>
      </c>
      <c r="AL74" s="80"/>
      <c r="AM74" s="80"/>
    </row>
    <row r="75">
      <c r="A75" s="28">
        <v>74.0</v>
      </c>
      <c r="B75" s="29">
        <v>43649.0</v>
      </c>
      <c r="C75" s="17">
        <v>72019.0</v>
      </c>
      <c r="D75" s="30" t="s">
        <v>337</v>
      </c>
      <c r="E75" s="28" t="s">
        <v>38</v>
      </c>
      <c r="F75" s="30" t="s">
        <v>275</v>
      </c>
      <c r="G75" s="28" t="s">
        <v>64</v>
      </c>
      <c r="H75" s="28" t="s">
        <v>41</v>
      </c>
      <c r="I75" s="28" t="s">
        <v>42</v>
      </c>
      <c r="J75" s="32"/>
      <c r="K75" s="32"/>
      <c r="L75" s="32"/>
      <c r="M75" s="32"/>
      <c r="N75" s="31">
        <v>1.0</v>
      </c>
      <c r="O75" s="32"/>
      <c r="P75" s="32"/>
      <c r="Q75" s="33"/>
      <c r="R75" s="33"/>
      <c r="S75" s="28" t="s">
        <v>98</v>
      </c>
      <c r="T75" s="71" t="s">
        <v>66</v>
      </c>
      <c r="U75" s="28" t="s">
        <v>67</v>
      </c>
      <c r="V75" s="28" t="s">
        <v>84</v>
      </c>
      <c r="W75" s="35">
        <v>10900.0</v>
      </c>
      <c r="X75" s="35">
        <v>279000.0</v>
      </c>
      <c r="Y75" s="34"/>
      <c r="Z75" s="34"/>
      <c r="AA75" s="35">
        <v>5006.0</v>
      </c>
      <c r="AB75" s="35">
        <v>0.0</v>
      </c>
      <c r="AC75" s="24" t="s">
        <v>338</v>
      </c>
      <c r="AD75" s="17">
        <v>2989.0</v>
      </c>
      <c r="AE75" s="27" t="s">
        <v>339</v>
      </c>
      <c r="AF75" s="71" t="str">
        <f t="shared" si="1"/>
        <v>Buenos Aires, Argentina</v>
      </c>
      <c r="AG75" s="71">
        <f t="shared" si="2"/>
        <v>1</v>
      </c>
      <c r="AH75" s="36">
        <f t="shared" si="3"/>
        <v>289900</v>
      </c>
      <c r="AI75" s="36">
        <f t="shared" si="4"/>
        <v>0</v>
      </c>
      <c r="AJ75" s="35">
        <f t="shared" si="5"/>
        <v>5006</v>
      </c>
      <c r="AK75" s="35">
        <f t="shared" si="6"/>
        <v>294906</v>
      </c>
      <c r="AL75" s="37"/>
      <c r="AM75" s="37"/>
    </row>
    <row r="76">
      <c r="A76" s="28">
        <v>75.0</v>
      </c>
      <c r="B76" s="29">
        <v>43649.0</v>
      </c>
      <c r="C76" s="17">
        <v>72019.0</v>
      </c>
      <c r="D76" s="30" t="s">
        <v>340</v>
      </c>
      <c r="E76" s="28" t="s">
        <v>38</v>
      </c>
      <c r="F76" s="30" t="s">
        <v>341</v>
      </c>
      <c r="G76" s="28" t="s">
        <v>64</v>
      </c>
      <c r="H76" s="28" t="s">
        <v>41</v>
      </c>
      <c r="I76" s="28" t="s">
        <v>42</v>
      </c>
      <c r="J76" s="31">
        <v>2.0</v>
      </c>
      <c r="K76" s="31">
        <v>3.0</v>
      </c>
      <c r="L76" s="32"/>
      <c r="M76" s="31">
        <v>1.0</v>
      </c>
      <c r="N76" s="32"/>
      <c r="O76" s="32"/>
      <c r="P76" s="32"/>
      <c r="Q76" s="33"/>
      <c r="R76" s="33"/>
      <c r="S76" s="28" t="s">
        <v>189</v>
      </c>
      <c r="T76" s="71" t="s">
        <v>66</v>
      </c>
      <c r="U76" s="28" t="s">
        <v>342</v>
      </c>
      <c r="V76" s="28" t="s">
        <v>78</v>
      </c>
      <c r="W76" s="34"/>
      <c r="X76" s="34"/>
      <c r="Y76" s="34"/>
      <c r="Z76" s="34"/>
      <c r="AA76" s="35">
        <v>12059.0</v>
      </c>
      <c r="AB76" s="35">
        <v>29777.0</v>
      </c>
      <c r="AC76" s="24" t="s">
        <v>343</v>
      </c>
      <c r="AD76" s="17">
        <v>2965.0</v>
      </c>
      <c r="AE76" s="27" t="s">
        <v>344</v>
      </c>
      <c r="AF76" s="71" t="str">
        <f t="shared" si="1"/>
        <v>Buenos Aires, Argentina</v>
      </c>
      <c r="AG76" s="71">
        <f t="shared" si="2"/>
        <v>6</v>
      </c>
      <c r="AH76" s="36">
        <f t="shared" si="3"/>
        <v>0</v>
      </c>
      <c r="AI76" s="36">
        <f t="shared" si="4"/>
        <v>0</v>
      </c>
      <c r="AJ76" s="35">
        <f t="shared" si="5"/>
        <v>41836</v>
      </c>
      <c r="AK76" s="35">
        <f t="shared" si="6"/>
        <v>41836</v>
      </c>
      <c r="AL76" s="37"/>
      <c r="AM76" s="37"/>
    </row>
    <row r="77">
      <c r="A77" s="28">
        <v>76.0</v>
      </c>
      <c r="B77" s="29">
        <v>43663.0</v>
      </c>
      <c r="C77" s="17">
        <v>72019.0</v>
      </c>
      <c r="D77" s="30" t="s">
        <v>345</v>
      </c>
      <c r="E77" s="28" t="s">
        <v>38</v>
      </c>
      <c r="F77" s="30" t="s">
        <v>346</v>
      </c>
      <c r="G77" s="28" t="s">
        <v>40</v>
      </c>
      <c r="H77" s="28" t="s">
        <v>41</v>
      </c>
      <c r="I77" s="28" t="s">
        <v>42</v>
      </c>
      <c r="J77" s="31">
        <v>1.0</v>
      </c>
      <c r="K77" s="31">
        <v>1.0</v>
      </c>
      <c r="L77" s="32"/>
      <c r="M77" s="32"/>
      <c r="N77" s="32"/>
      <c r="O77" s="32"/>
      <c r="P77" s="32"/>
      <c r="Q77" s="33"/>
      <c r="R77" s="33"/>
      <c r="S77" s="28" t="s">
        <v>82</v>
      </c>
      <c r="T77" s="71" t="s">
        <v>66</v>
      </c>
      <c r="U77" s="28" t="s">
        <v>342</v>
      </c>
      <c r="V77" s="28" t="s">
        <v>78</v>
      </c>
      <c r="W77" s="34"/>
      <c r="X77" s="34"/>
      <c r="Y77" s="34"/>
      <c r="Z77" s="34"/>
      <c r="AA77" s="35">
        <v>6936.0</v>
      </c>
      <c r="AB77" s="35">
        <v>27741.0</v>
      </c>
      <c r="AC77" s="24" t="s">
        <v>347</v>
      </c>
      <c r="AD77" s="17">
        <v>3141.0</v>
      </c>
      <c r="AE77" s="27" t="s">
        <v>348</v>
      </c>
      <c r="AF77" s="71" t="str">
        <f t="shared" si="1"/>
        <v>Buenos Aires, Argentina</v>
      </c>
      <c r="AG77" s="71">
        <f t="shared" si="2"/>
        <v>2</v>
      </c>
      <c r="AH77" s="36">
        <f t="shared" si="3"/>
        <v>0</v>
      </c>
      <c r="AI77" s="36">
        <f t="shared" si="4"/>
        <v>0</v>
      </c>
      <c r="AJ77" s="35">
        <f t="shared" si="5"/>
        <v>34677</v>
      </c>
      <c r="AK77" s="35">
        <f t="shared" si="6"/>
        <v>34677</v>
      </c>
      <c r="AL77" s="37"/>
      <c r="AM77" s="37"/>
    </row>
    <row r="78">
      <c r="A78" s="28">
        <v>77.0</v>
      </c>
      <c r="B78" s="29">
        <v>43664.0</v>
      </c>
      <c r="C78" s="17">
        <v>72019.0</v>
      </c>
      <c r="D78" s="30" t="s">
        <v>349</v>
      </c>
      <c r="E78" s="28" t="s">
        <v>38</v>
      </c>
      <c r="F78" s="30" t="s">
        <v>350</v>
      </c>
      <c r="G78" s="28" t="s">
        <v>40</v>
      </c>
      <c r="H78" s="28" t="s">
        <v>41</v>
      </c>
      <c r="I78" s="28" t="s">
        <v>42</v>
      </c>
      <c r="J78" s="31">
        <v>4.0</v>
      </c>
      <c r="K78" s="32"/>
      <c r="L78" s="32"/>
      <c r="M78" s="31">
        <v>1.0</v>
      </c>
      <c r="N78" s="32"/>
      <c r="O78" s="32"/>
      <c r="P78" s="32"/>
      <c r="Q78" s="33"/>
      <c r="R78" s="33"/>
      <c r="S78" s="28" t="s">
        <v>167</v>
      </c>
      <c r="T78" s="71" t="s">
        <v>66</v>
      </c>
      <c r="U78" s="28" t="s">
        <v>163</v>
      </c>
      <c r="V78" s="28" t="s">
        <v>59</v>
      </c>
      <c r="W78" s="34"/>
      <c r="X78" s="34"/>
      <c r="Y78" s="34"/>
      <c r="Z78" s="34"/>
      <c r="AA78" s="35">
        <v>11960.0</v>
      </c>
      <c r="AB78" s="35">
        <v>35879.0</v>
      </c>
      <c r="AC78" s="24" t="s">
        <v>351</v>
      </c>
      <c r="AD78" s="17">
        <v>2935.0</v>
      </c>
      <c r="AE78" s="27" t="s">
        <v>352</v>
      </c>
      <c r="AF78" s="71" t="str">
        <f t="shared" si="1"/>
        <v>Buenos Aires, Argentina</v>
      </c>
      <c r="AG78" s="71">
        <f t="shared" si="2"/>
        <v>5</v>
      </c>
      <c r="AH78" s="36">
        <f t="shared" si="3"/>
        <v>0</v>
      </c>
      <c r="AI78" s="36">
        <f t="shared" si="4"/>
        <v>0</v>
      </c>
      <c r="AJ78" s="35">
        <f t="shared" si="5"/>
        <v>47839</v>
      </c>
      <c r="AK78" s="35">
        <f t="shared" si="6"/>
        <v>47839</v>
      </c>
      <c r="AL78" s="37"/>
      <c r="AM78" s="37"/>
    </row>
    <row r="79">
      <c r="A79" s="28">
        <v>78.0</v>
      </c>
      <c r="B79" s="29">
        <v>43666.0</v>
      </c>
      <c r="C79" s="17">
        <v>72019.0</v>
      </c>
      <c r="D79" s="30" t="s">
        <v>353</v>
      </c>
      <c r="E79" s="28" t="s">
        <v>38</v>
      </c>
      <c r="F79" s="30" t="s">
        <v>354</v>
      </c>
      <c r="G79" s="28" t="s">
        <v>64</v>
      </c>
      <c r="H79" s="28" t="s">
        <v>41</v>
      </c>
      <c r="I79" s="28" t="s">
        <v>42</v>
      </c>
      <c r="J79" s="32"/>
      <c r="K79" s="31">
        <v>1.0</v>
      </c>
      <c r="L79" s="32"/>
      <c r="M79" s="31">
        <v>1.0</v>
      </c>
      <c r="N79" s="32"/>
      <c r="O79" s="32"/>
      <c r="P79" s="32"/>
      <c r="Q79" s="33"/>
      <c r="R79" s="33"/>
      <c r="S79" s="28" t="s">
        <v>167</v>
      </c>
      <c r="T79" s="71" t="s">
        <v>66</v>
      </c>
      <c r="U79" s="28" t="s">
        <v>67</v>
      </c>
      <c r="V79" s="28" t="s">
        <v>84</v>
      </c>
      <c r="W79" s="34"/>
      <c r="X79" s="34"/>
      <c r="Y79" s="34"/>
      <c r="Z79" s="34"/>
      <c r="AA79" s="35">
        <v>2733.0</v>
      </c>
      <c r="AB79" s="35">
        <v>10932.0</v>
      </c>
      <c r="AC79" s="24" t="s">
        <v>355</v>
      </c>
      <c r="AD79" s="17">
        <v>2623.0</v>
      </c>
      <c r="AE79" s="27" t="s">
        <v>356</v>
      </c>
      <c r="AF79" s="71" t="str">
        <f t="shared" si="1"/>
        <v>Buenos Aires, Argentina</v>
      </c>
      <c r="AG79" s="71">
        <f t="shared" si="2"/>
        <v>2</v>
      </c>
      <c r="AH79" s="36">
        <f t="shared" si="3"/>
        <v>0</v>
      </c>
      <c r="AI79" s="36">
        <f t="shared" si="4"/>
        <v>0</v>
      </c>
      <c r="AJ79" s="35">
        <f t="shared" si="5"/>
        <v>13665</v>
      </c>
      <c r="AK79" s="35">
        <f t="shared" si="6"/>
        <v>13665</v>
      </c>
      <c r="AL79" s="37"/>
      <c r="AM79" s="37"/>
    </row>
    <row r="80">
      <c r="A80" s="28">
        <v>79.0</v>
      </c>
      <c r="B80" s="29">
        <v>43667.0</v>
      </c>
      <c r="C80" s="17">
        <v>72019.0</v>
      </c>
      <c r="D80" s="30" t="s">
        <v>357</v>
      </c>
      <c r="E80" s="28" t="s">
        <v>38</v>
      </c>
      <c r="F80" s="30" t="s">
        <v>354</v>
      </c>
      <c r="G80" s="28" t="s">
        <v>64</v>
      </c>
      <c r="H80" s="28" t="s">
        <v>41</v>
      </c>
      <c r="I80" s="28" t="s">
        <v>42</v>
      </c>
      <c r="J80" s="32"/>
      <c r="K80" s="31">
        <v>1.0</v>
      </c>
      <c r="L80" s="32"/>
      <c r="M80" s="32"/>
      <c r="N80" s="32"/>
      <c r="O80" s="32"/>
      <c r="P80" s="32"/>
      <c r="Q80" s="33"/>
      <c r="R80" s="33"/>
      <c r="S80" s="28" t="s">
        <v>114</v>
      </c>
      <c r="T80" s="28" t="s">
        <v>83</v>
      </c>
      <c r="U80" s="28" t="s">
        <v>67</v>
      </c>
      <c r="V80" s="28" t="s">
        <v>84</v>
      </c>
      <c r="W80" s="34"/>
      <c r="X80" s="34"/>
      <c r="Y80" s="34"/>
      <c r="Z80" s="34"/>
      <c r="AA80" s="35">
        <v>2264.0</v>
      </c>
      <c r="AB80" s="35">
        <v>6036.0</v>
      </c>
      <c r="AC80" s="24" t="s">
        <v>235</v>
      </c>
      <c r="AD80" s="17">
        <v>3193.0</v>
      </c>
      <c r="AE80" s="27" t="s">
        <v>236</v>
      </c>
      <c r="AF80" s="28" t="str">
        <f t="shared" si="1"/>
        <v>Capital Federal, Argentina</v>
      </c>
      <c r="AG80" s="28">
        <f t="shared" si="2"/>
        <v>1</v>
      </c>
      <c r="AH80" s="36">
        <f t="shared" si="3"/>
        <v>0</v>
      </c>
      <c r="AI80" s="36">
        <f t="shared" si="4"/>
        <v>0</v>
      </c>
      <c r="AJ80" s="35">
        <f t="shared" si="5"/>
        <v>8300</v>
      </c>
      <c r="AK80" s="35">
        <f t="shared" si="6"/>
        <v>8300</v>
      </c>
      <c r="AL80" s="37"/>
      <c r="AM80" s="37"/>
    </row>
    <row r="81">
      <c r="A81" s="28">
        <v>80.0</v>
      </c>
      <c r="B81" s="29">
        <v>43668.0</v>
      </c>
      <c r="C81" s="17">
        <v>72019.0</v>
      </c>
      <c r="D81" s="30" t="s">
        <v>358</v>
      </c>
      <c r="E81" s="28" t="s">
        <v>38</v>
      </c>
      <c r="F81" s="30" t="s">
        <v>359</v>
      </c>
      <c r="G81" s="28" t="s">
        <v>40</v>
      </c>
      <c r="H81" s="28" t="s">
        <v>41</v>
      </c>
      <c r="I81" s="28" t="s">
        <v>42</v>
      </c>
      <c r="J81" s="31">
        <v>2.0</v>
      </c>
      <c r="K81" s="31">
        <v>1.0</v>
      </c>
      <c r="L81" s="32"/>
      <c r="M81" s="32"/>
      <c r="N81" s="32"/>
      <c r="O81" s="32"/>
      <c r="P81" s="32"/>
      <c r="Q81" s="33"/>
      <c r="R81" s="33"/>
      <c r="S81" s="28" t="s">
        <v>105</v>
      </c>
      <c r="T81" s="28" t="s">
        <v>58</v>
      </c>
      <c r="U81" s="28" t="s">
        <v>342</v>
      </c>
      <c r="V81" s="28" t="s">
        <v>217</v>
      </c>
      <c r="W81" s="34"/>
      <c r="X81" s="34"/>
      <c r="Y81" s="34"/>
      <c r="Z81" s="34"/>
      <c r="AA81" s="35">
        <v>8203.95</v>
      </c>
      <c r="AB81" s="35">
        <v>36462.0</v>
      </c>
      <c r="AC81" s="24" t="s">
        <v>360</v>
      </c>
      <c r="AD81" s="17">
        <v>3101.0</v>
      </c>
      <c r="AE81" s="27" t="s">
        <v>361</v>
      </c>
      <c r="AF81" s="28" t="str">
        <f t="shared" si="1"/>
        <v>Córdoba, Argentina</v>
      </c>
      <c r="AG81" s="28">
        <f t="shared" si="2"/>
        <v>3</v>
      </c>
      <c r="AH81" s="36">
        <f t="shared" si="3"/>
        <v>0</v>
      </c>
      <c r="AI81" s="36">
        <f t="shared" si="4"/>
        <v>0</v>
      </c>
      <c r="AJ81" s="35">
        <f t="shared" si="5"/>
        <v>44665.95</v>
      </c>
      <c r="AK81" s="35">
        <f t="shared" si="6"/>
        <v>44665.95</v>
      </c>
      <c r="AL81" s="37"/>
      <c r="AM81" s="37"/>
    </row>
    <row r="82">
      <c r="A82" s="28">
        <v>81.0</v>
      </c>
      <c r="B82" s="29">
        <v>43670.0</v>
      </c>
      <c r="C82" s="17">
        <v>72019.0</v>
      </c>
      <c r="D82" s="30" t="s">
        <v>362</v>
      </c>
      <c r="E82" s="28" t="s">
        <v>38</v>
      </c>
      <c r="F82" s="30" t="s">
        <v>363</v>
      </c>
      <c r="G82" s="28" t="s">
        <v>40</v>
      </c>
      <c r="H82" s="28" t="s">
        <v>41</v>
      </c>
      <c r="I82" s="28" t="s">
        <v>42</v>
      </c>
      <c r="J82" s="31">
        <v>2.0</v>
      </c>
      <c r="K82" s="32"/>
      <c r="L82" s="32"/>
      <c r="M82" s="31">
        <v>1.0</v>
      </c>
      <c r="N82" s="32"/>
      <c r="O82" s="32"/>
      <c r="P82" s="32"/>
      <c r="Q82" s="33"/>
      <c r="R82" s="33"/>
      <c r="S82" s="28" t="s">
        <v>98</v>
      </c>
      <c r="T82" s="28" t="s">
        <v>83</v>
      </c>
      <c r="U82" s="28" t="s">
        <v>342</v>
      </c>
      <c r="V82" s="28" t="s">
        <v>59</v>
      </c>
      <c r="W82" s="34"/>
      <c r="X82" s="34"/>
      <c r="Y82" s="34"/>
      <c r="Z82" s="34"/>
      <c r="AA82" s="35">
        <v>8098.0</v>
      </c>
      <c r="AB82" s="35">
        <v>24293.0</v>
      </c>
      <c r="AC82" s="24" t="s">
        <v>364</v>
      </c>
      <c r="AD82" s="17">
        <v>2607.0</v>
      </c>
      <c r="AE82" s="27" t="s">
        <v>365</v>
      </c>
      <c r="AF82" s="28" t="str">
        <f t="shared" si="1"/>
        <v>Capital Federal, Argentina</v>
      </c>
      <c r="AG82" s="28">
        <f t="shared" si="2"/>
        <v>3</v>
      </c>
      <c r="AH82" s="36">
        <f t="shared" si="3"/>
        <v>0</v>
      </c>
      <c r="AI82" s="36">
        <f t="shared" si="4"/>
        <v>0</v>
      </c>
      <c r="AJ82" s="35">
        <f t="shared" si="5"/>
        <v>32391</v>
      </c>
      <c r="AK82" s="35">
        <f t="shared" si="6"/>
        <v>32391</v>
      </c>
      <c r="AL82" s="37"/>
      <c r="AM82" s="37"/>
    </row>
    <row r="83">
      <c r="A83" s="28">
        <v>82.0</v>
      </c>
      <c r="B83" s="29">
        <v>43670.0</v>
      </c>
      <c r="C83" s="17">
        <v>72019.0</v>
      </c>
      <c r="D83" s="30" t="s">
        <v>366</v>
      </c>
      <c r="E83" s="28" t="s">
        <v>38</v>
      </c>
      <c r="F83" s="30" t="s">
        <v>367</v>
      </c>
      <c r="G83" s="28" t="s">
        <v>40</v>
      </c>
      <c r="H83" s="28" t="s">
        <v>41</v>
      </c>
      <c r="I83" s="28" t="s">
        <v>42</v>
      </c>
      <c r="J83" s="31">
        <v>1.0</v>
      </c>
      <c r="K83" s="31">
        <v>2.0</v>
      </c>
      <c r="L83" s="32"/>
      <c r="M83" s="32"/>
      <c r="N83" s="32"/>
      <c r="O83" s="32"/>
      <c r="P83" s="32"/>
      <c r="Q83" s="33"/>
      <c r="R83" s="33"/>
      <c r="S83" s="28" t="s">
        <v>98</v>
      </c>
      <c r="T83" s="28" t="s">
        <v>263</v>
      </c>
      <c r="U83" s="28" t="s">
        <v>53</v>
      </c>
      <c r="V83" s="28" t="s">
        <v>46</v>
      </c>
      <c r="W83" s="34"/>
      <c r="X83" s="34"/>
      <c r="Y83" s="34"/>
      <c r="Z83" s="34"/>
      <c r="AA83" s="35">
        <v>9198.75</v>
      </c>
      <c r="AB83" s="35">
        <v>31812.0</v>
      </c>
      <c r="AC83" s="24" t="s">
        <v>368</v>
      </c>
      <c r="AD83" s="17">
        <v>2807.0</v>
      </c>
      <c r="AE83" s="27" t="s">
        <v>369</v>
      </c>
      <c r="AF83" s="28" t="str">
        <f t="shared" si="1"/>
        <v>Santa Fé, Argentina</v>
      </c>
      <c r="AG83" s="28">
        <f t="shared" si="2"/>
        <v>3</v>
      </c>
      <c r="AH83" s="36">
        <f t="shared" si="3"/>
        <v>0</v>
      </c>
      <c r="AI83" s="36">
        <f t="shared" si="4"/>
        <v>0</v>
      </c>
      <c r="AJ83" s="35">
        <f t="shared" si="5"/>
        <v>41010.75</v>
      </c>
      <c r="AK83" s="35">
        <f t="shared" si="6"/>
        <v>41010.75</v>
      </c>
      <c r="AL83" s="37"/>
      <c r="AM83" s="37"/>
    </row>
    <row r="84">
      <c r="A84" s="28">
        <v>83.0</v>
      </c>
      <c r="B84" s="29">
        <v>43671.0</v>
      </c>
      <c r="C84" s="17">
        <v>72019.0</v>
      </c>
      <c r="D84" s="30" t="s">
        <v>370</v>
      </c>
      <c r="E84" s="28" t="s">
        <v>38</v>
      </c>
      <c r="F84" s="30" t="s">
        <v>371</v>
      </c>
      <c r="G84" s="28" t="s">
        <v>40</v>
      </c>
      <c r="H84" s="28" t="s">
        <v>41</v>
      </c>
      <c r="I84" s="28" t="s">
        <v>42</v>
      </c>
      <c r="J84" s="31">
        <v>14.0</v>
      </c>
      <c r="K84" s="31">
        <v>12.0</v>
      </c>
      <c r="L84" s="32"/>
      <c r="M84" s="31">
        <v>1.0</v>
      </c>
      <c r="N84" s="32"/>
      <c r="O84" s="32"/>
      <c r="P84" s="32"/>
      <c r="Q84" s="33"/>
      <c r="R84" s="33"/>
      <c r="S84" s="28" t="s">
        <v>65</v>
      </c>
      <c r="T84" s="28" t="s">
        <v>66</v>
      </c>
      <c r="U84" s="28" t="s">
        <v>53</v>
      </c>
      <c r="V84" s="28" t="s">
        <v>84</v>
      </c>
      <c r="W84" s="34"/>
      <c r="X84" s="34"/>
      <c r="Y84" s="34"/>
      <c r="Z84" s="34"/>
      <c r="AA84" s="35">
        <v>67800.0</v>
      </c>
      <c r="AB84" s="35">
        <v>503832.0</v>
      </c>
      <c r="AC84" s="24" t="s">
        <v>372</v>
      </c>
      <c r="AD84" s="17">
        <v>2346.0</v>
      </c>
      <c r="AE84" s="27" t="s">
        <v>373</v>
      </c>
      <c r="AF84" s="28" t="str">
        <f t="shared" si="1"/>
        <v>Buenos Aires, Argentina</v>
      </c>
      <c r="AG84" s="28">
        <f t="shared" si="2"/>
        <v>27</v>
      </c>
      <c r="AH84" s="36">
        <f t="shared" si="3"/>
        <v>0</v>
      </c>
      <c r="AI84" s="36">
        <f t="shared" si="4"/>
        <v>0</v>
      </c>
      <c r="AJ84" s="35">
        <f t="shared" si="5"/>
        <v>571632</v>
      </c>
      <c r="AK84" s="35">
        <f t="shared" si="6"/>
        <v>571632</v>
      </c>
      <c r="AL84" s="37"/>
      <c r="AM84" s="37"/>
    </row>
    <row r="85">
      <c r="A85" s="39">
        <v>84.0</v>
      </c>
      <c r="B85" s="40">
        <v>43678.0</v>
      </c>
      <c r="C85" s="17">
        <v>82019.0</v>
      </c>
      <c r="D85" s="41" t="s">
        <v>374</v>
      </c>
      <c r="E85" s="39" t="s">
        <v>38</v>
      </c>
      <c r="F85" s="41" t="s">
        <v>375</v>
      </c>
      <c r="G85" s="39" t="s">
        <v>40</v>
      </c>
      <c r="H85" s="39" t="s">
        <v>41</v>
      </c>
      <c r="I85" s="39" t="s">
        <v>42</v>
      </c>
      <c r="J85" s="42">
        <v>10.0</v>
      </c>
      <c r="K85" s="42">
        <v>24.0</v>
      </c>
      <c r="L85" s="43"/>
      <c r="M85" s="42">
        <v>1.0</v>
      </c>
      <c r="N85" s="43"/>
      <c r="O85" s="43"/>
      <c r="P85" s="43"/>
      <c r="Q85" s="44"/>
      <c r="R85" s="44"/>
      <c r="S85" s="39" t="s">
        <v>98</v>
      </c>
      <c r="T85" s="39" t="s">
        <v>66</v>
      </c>
      <c r="U85" s="39" t="s">
        <v>53</v>
      </c>
      <c r="V85" s="39" t="s">
        <v>84</v>
      </c>
      <c r="W85" s="45"/>
      <c r="X85" s="45"/>
      <c r="Y85" s="45"/>
      <c r="Z85" s="45"/>
      <c r="AA85" s="46">
        <v>91896.0</v>
      </c>
      <c r="AB85" s="46">
        <v>360380.0</v>
      </c>
      <c r="AC85" s="24" t="s">
        <v>376</v>
      </c>
      <c r="AD85" s="17">
        <v>2789.0</v>
      </c>
      <c r="AE85" s="27" t="s">
        <v>377</v>
      </c>
      <c r="AF85" s="39" t="str">
        <f t="shared" si="1"/>
        <v>Buenos Aires, Argentina</v>
      </c>
      <c r="AG85" s="39">
        <f t="shared" si="2"/>
        <v>35</v>
      </c>
      <c r="AH85" s="47">
        <f t="shared" si="3"/>
        <v>0</v>
      </c>
      <c r="AI85" s="47">
        <f t="shared" si="4"/>
        <v>0</v>
      </c>
      <c r="AJ85" s="46">
        <f t="shared" si="5"/>
        <v>452276</v>
      </c>
      <c r="AK85" s="46">
        <f t="shared" si="6"/>
        <v>452276</v>
      </c>
      <c r="AL85" s="48"/>
      <c r="AM85" s="48"/>
    </row>
    <row r="86">
      <c r="A86" s="39">
        <v>85.0</v>
      </c>
      <c r="B86" s="40">
        <v>43678.0</v>
      </c>
      <c r="C86" s="17">
        <v>82019.0</v>
      </c>
      <c r="D86" s="41" t="s">
        <v>378</v>
      </c>
      <c r="E86" s="39" t="s">
        <v>38</v>
      </c>
      <c r="F86" s="41" t="s">
        <v>212</v>
      </c>
      <c r="G86" s="39" t="s">
        <v>64</v>
      </c>
      <c r="H86" s="39" t="s">
        <v>41</v>
      </c>
      <c r="I86" s="39" t="s">
        <v>42</v>
      </c>
      <c r="J86" s="43"/>
      <c r="K86" s="42">
        <v>1.0</v>
      </c>
      <c r="L86" s="43"/>
      <c r="M86" s="43"/>
      <c r="N86" s="43"/>
      <c r="O86" s="43"/>
      <c r="P86" s="43"/>
      <c r="Q86" s="44"/>
      <c r="R86" s="44"/>
      <c r="S86" s="39" t="s">
        <v>98</v>
      </c>
      <c r="T86" s="39" t="s">
        <v>83</v>
      </c>
      <c r="U86" s="39" t="s">
        <v>67</v>
      </c>
      <c r="V86" s="39" t="s">
        <v>84</v>
      </c>
      <c r="W86" s="45"/>
      <c r="X86" s="45"/>
      <c r="Y86" s="45"/>
      <c r="Z86" s="45"/>
      <c r="AA86" s="46">
        <v>3018.0</v>
      </c>
      <c r="AB86" s="46">
        <v>0.0</v>
      </c>
      <c r="AC86" s="24" t="s">
        <v>379</v>
      </c>
      <c r="AD86" s="17">
        <v>3229.0</v>
      </c>
      <c r="AE86" s="27" t="s">
        <v>380</v>
      </c>
      <c r="AF86" s="39" t="str">
        <f t="shared" si="1"/>
        <v>Capital Federal, Argentina</v>
      </c>
      <c r="AG86" s="39">
        <f t="shared" si="2"/>
        <v>1</v>
      </c>
      <c r="AH86" s="47">
        <f t="shared" si="3"/>
        <v>0</v>
      </c>
      <c r="AI86" s="47">
        <f t="shared" si="4"/>
        <v>0</v>
      </c>
      <c r="AJ86" s="46">
        <f t="shared" si="5"/>
        <v>3018</v>
      </c>
      <c r="AK86" s="46">
        <f t="shared" si="6"/>
        <v>3018</v>
      </c>
      <c r="AL86" s="48"/>
      <c r="AM86" s="48"/>
    </row>
    <row r="87">
      <c r="A87" s="39">
        <v>86.0</v>
      </c>
      <c r="B87" s="40">
        <v>43682.0</v>
      </c>
      <c r="C87" s="17">
        <v>82019.0</v>
      </c>
      <c r="D87" s="41" t="s">
        <v>381</v>
      </c>
      <c r="E87" s="39" t="s">
        <v>38</v>
      </c>
      <c r="F87" s="41" t="s">
        <v>382</v>
      </c>
      <c r="G87" s="39" t="s">
        <v>40</v>
      </c>
      <c r="H87" s="39" t="s">
        <v>41</v>
      </c>
      <c r="I87" s="39" t="s">
        <v>42</v>
      </c>
      <c r="J87" s="42">
        <v>4.0</v>
      </c>
      <c r="K87" s="42">
        <v>9.0</v>
      </c>
      <c r="L87" s="43"/>
      <c r="M87" s="42">
        <v>1.0</v>
      </c>
      <c r="N87" s="43"/>
      <c r="O87" s="43"/>
      <c r="P87" s="43"/>
      <c r="Q87" s="44"/>
      <c r="R87" s="44"/>
      <c r="S87" s="39" t="s">
        <v>98</v>
      </c>
      <c r="T87" s="39" t="s">
        <v>66</v>
      </c>
      <c r="U87" s="39" t="s">
        <v>342</v>
      </c>
      <c r="V87" s="39" t="s">
        <v>59</v>
      </c>
      <c r="W87" s="45"/>
      <c r="X87" s="45"/>
      <c r="Y87" s="45"/>
      <c r="Z87" s="45"/>
      <c r="AA87" s="46">
        <v>40871.0</v>
      </c>
      <c r="AB87" s="46">
        <v>138960.0</v>
      </c>
      <c r="AC87" s="24" t="s">
        <v>383</v>
      </c>
      <c r="AD87" s="17">
        <v>3211.0</v>
      </c>
      <c r="AE87" s="27" t="s">
        <v>384</v>
      </c>
      <c r="AF87" s="39" t="str">
        <f t="shared" si="1"/>
        <v>Buenos Aires, Argentina</v>
      </c>
      <c r="AG87" s="39">
        <f t="shared" si="2"/>
        <v>14</v>
      </c>
      <c r="AH87" s="47">
        <f t="shared" si="3"/>
        <v>0</v>
      </c>
      <c r="AI87" s="47">
        <f t="shared" si="4"/>
        <v>0</v>
      </c>
      <c r="AJ87" s="46">
        <f t="shared" si="5"/>
        <v>179831</v>
      </c>
      <c r="AK87" s="46">
        <f t="shared" si="6"/>
        <v>179831</v>
      </c>
      <c r="AL87" s="48"/>
      <c r="AM87" s="48"/>
    </row>
    <row r="88">
      <c r="A88" s="39">
        <v>87.0</v>
      </c>
      <c r="B88" s="40">
        <v>43689.0</v>
      </c>
      <c r="C88" s="17">
        <v>82019.0</v>
      </c>
      <c r="D88" s="41" t="s">
        <v>385</v>
      </c>
      <c r="E88" s="39" t="s">
        <v>38</v>
      </c>
      <c r="F88" s="41" t="s">
        <v>386</v>
      </c>
      <c r="G88" s="39" t="s">
        <v>40</v>
      </c>
      <c r="H88" s="39" t="s">
        <v>41</v>
      </c>
      <c r="I88" s="39" t="s">
        <v>42</v>
      </c>
      <c r="J88" s="42">
        <v>1.0</v>
      </c>
      <c r="K88" s="42">
        <v>1.0</v>
      </c>
      <c r="L88" s="43"/>
      <c r="M88" s="42">
        <v>1.0</v>
      </c>
      <c r="N88" s="43"/>
      <c r="O88" s="43"/>
      <c r="P88" s="43"/>
      <c r="Q88" s="44"/>
      <c r="R88" s="44"/>
      <c r="S88" s="39" t="s">
        <v>137</v>
      </c>
      <c r="T88" s="39" t="s">
        <v>66</v>
      </c>
      <c r="U88" s="39" t="s">
        <v>53</v>
      </c>
      <c r="V88" s="39" t="s">
        <v>78</v>
      </c>
      <c r="W88" s="45"/>
      <c r="X88" s="45"/>
      <c r="Y88" s="45"/>
      <c r="Z88" s="45"/>
      <c r="AA88" s="46">
        <v>6242.0</v>
      </c>
      <c r="AB88" s="46">
        <v>27741.0</v>
      </c>
      <c r="AC88" s="24" t="s">
        <v>387</v>
      </c>
      <c r="AD88" s="81">
        <v>3093.0</v>
      </c>
      <c r="AE88" s="82" t="s">
        <v>388</v>
      </c>
      <c r="AF88" s="39" t="str">
        <f t="shared" si="1"/>
        <v>Buenos Aires, Argentina</v>
      </c>
      <c r="AG88" s="39">
        <f t="shared" si="2"/>
        <v>3</v>
      </c>
      <c r="AH88" s="47">
        <f t="shared" si="3"/>
        <v>0</v>
      </c>
      <c r="AI88" s="47">
        <f t="shared" si="4"/>
        <v>0</v>
      </c>
      <c r="AJ88" s="46">
        <f t="shared" si="5"/>
        <v>33983</v>
      </c>
      <c r="AK88" s="46">
        <f t="shared" si="6"/>
        <v>33983</v>
      </c>
      <c r="AL88" s="48"/>
      <c r="AM88" s="48"/>
    </row>
    <row r="89">
      <c r="A89" s="39">
        <v>88.0</v>
      </c>
      <c r="B89" s="40">
        <v>43692.0</v>
      </c>
      <c r="C89" s="17">
        <v>82019.0</v>
      </c>
      <c r="D89" s="41" t="s">
        <v>389</v>
      </c>
      <c r="E89" s="39" t="s">
        <v>38</v>
      </c>
      <c r="F89" s="41" t="s">
        <v>390</v>
      </c>
      <c r="G89" s="39" t="s">
        <v>40</v>
      </c>
      <c r="H89" s="39" t="s">
        <v>41</v>
      </c>
      <c r="I89" s="39" t="s">
        <v>42</v>
      </c>
      <c r="J89" s="42">
        <v>1.0</v>
      </c>
      <c r="K89" s="42">
        <v>3.0</v>
      </c>
      <c r="L89" s="43"/>
      <c r="M89" s="42">
        <v>1.0</v>
      </c>
      <c r="N89" s="43"/>
      <c r="O89" s="43"/>
      <c r="P89" s="43"/>
      <c r="Q89" s="44"/>
      <c r="R89" s="44"/>
      <c r="S89" s="39" t="s">
        <v>98</v>
      </c>
      <c r="T89" s="39" t="s">
        <v>83</v>
      </c>
      <c r="U89" s="39" t="s">
        <v>45</v>
      </c>
      <c r="V89" s="39" t="s">
        <v>59</v>
      </c>
      <c r="W89" s="45"/>
      <c r="X89" s="45"/>
      <c r="Y89" s="45"/>
      <c r="Z89" s="45"/>
      <c r="AA89" s="46">
        <v>10216.0</v>
      </c>
      <c r="AB89" s="46">
        <v>30650.0</v>
      </c>
      <c r="AC89" s="24" t="s">
        <v>391</v>
      </c>
      <c r="AD89" s="17">
        <v>3165.0</v>
      </c>
      <c r="AE89" s="27" t="s">
        <v>392</v>
      </c>
      <c r="AF89" s="39" t="str">
        <f t="shared" si="1"/>
        <v>Capital Federal, Argentina</v>
      </c>
      <c r="AG89" s="39">
        <f t="shared" si="2"/>
        <v>5</v>
      </c>
      <c r="AH89" s="47">
        <f t="shared" si="3"/>
        <v>0</v>
      </c>
      <c r="AI89" s="47">
        <f t="shared" si="4"/>
        <v>0</v>
      </c>
      <c r="AJ89" s="46">
        <f t="shared" si="5"/>
        <v>40866</v>
      </c>
      <c r="AK89" s="46">
        <f t="shared" si="6"/>
        <v>40866</v>
      </c>
      <c r="AL89" s="48"/>
      <c r="AM89" s="48"/>
    </row>
    <row r="90">
      <c r="A90" s="39">
        <v>89.0</v>
      </c>
      <c r="B90" s="40">
        <v>43692.0</v>
      </c>
      <c r="C90" s="17">
        <v>82019.0</v>
      </c>
      <c r="D90" s="41" t="s">
        <v>389</v>
      </c>
      <c r="E90" s="39" t="s">
        <v>38</v>
      </c>
      <c r="F90" s="41" t="s">
        <v>393</v>
      </c>
      <c r="G90" s="39" t="s">
        <v>64</v>
      </c>
      <c r="H90" s="39" t="s">
        <v>41</v>
      </c>
      <c r="I90" s="39" t="s">
        <v>42</v>
      </c>
      <c r="J90" s="43"/>
      <c r="K90" s="43"/>
      <c r="L90" s="43"/>
      <c r="M90" s="43"/>
      <c r="N90" s="42">
        <v>1.0</v>
      </c>
      <c r="O90" s="43"/>
      <c r="P90" s="43"/>
      <c r="Q90" s="44"/>
      <c r="R90" s="44"/>
      <c r="S90" s="39" t="s">
        <v>98</v>
      </c>
      <c r="T90" s="39" t="s">
        <v>83</v>
      </c>
      <c r="U90" s="39" t="s">
        <v>45</v>
      </c>
      <c r="V90" s="39" t="s">
        <v>59</v>
      </c>
      <c r="W90" s="46">
        <v>5006.0</v>
      </c>
      <c r="X90" s="46">
        <v>120000.0</v>
      </c>
      <c r="Y90" s="45"/>
      <c r="Z90" s="45"/>
      <c r="AA90" s="46">
        <v>0.0</v>
      </c>
      <c r="AB90" s="46">
        <v>0.0</v>
      </c>
      <c r="AC90" s="24" t="s">
        <v>391</v>
      </c>
      <c r="AD90" s="17">
        <v>3165.0</v>
      </c>
      <c r="AE90" s="27" t="s">
        <v>394</v>
      </c>
      <c r="AF90" s="39" t="str">
        <f t="shared" si="1"/>
        <v>Capital Federal, Argentina</v>
      </c>
      <c r="AG90" s="39">
        <f t="shared" si="2"/>
        <v>1</v>
      </c>
      <c r="AH90" s="47">
        <f t="shared" si="3"/>
        <v>125006</v>
      </c>
      <c r="AI90" s="47">
        <f t="shared" si="4"/>
        <v>0</v>
      </c>
      <c r="AJ90" s="46">
        <f t="shared" si="5"/>
        <v>0</v>
      </c>
      <c r="AK90" s="46">
        <f t="shared" si="6"/>
        <v>125006</v>
      </c>
      <c r="AL90" s="48"/>
      <c r="AM90" s="48"/>
    </row>
    <row r="91">
      <c r="A91" s="39">
        <v>90.0</v>
      </c>
      <c r="B91" s="40">
        <v>43692.0</v>
      </c>
      <c r="C91" s="17">
        <v>82019.0</v>
      </c>
      <c r="D91" s="41" t="s">
        <v>395</v>
      </c>
      <c r="E91" s="39" t="s">
        <v>38</v>
      </c>
      <c r="F91" s="41" t="s">
        <v>212</v>
      </c>
      <c r="G91" s="39" t="s">
        <v>64</v>
      </c>
      <c r="H91" s="39" t="s">
        <v>41</v>
      </c>
      <c r="I91" s="39" t="s">
        <v>42</v>
      </c>
      <c r="J91" s="43"/>
      <c r="K91" s="42">
        <v>1.0</v>
      </c>
      <c r="L91" s="43"/>
      <c r="M91" s="43"/>
      <c r="N91" s="43"/>
      <c r="O91" s="43"/>
      <c r="P91" s="43"/>
      <c r="Q91" s="44"/>
      <c r="R91" s="44"/>
      <c r="S91" s="60"/>
      <c r="T91" s="39" t="s">
        <v>73</v>
      </c>
      <c r="U91" s="39" t="s">
        <v>99</v>
      </c>
      <c r="V91" s="39" t="s">
        <v>78</v>
      </c>
      <c r="W91" s="45"/>
      <c r="X91" s="45"/>
      <c r="Y91" s="45"/>
      <c r="Z91" s="45"/>
      <c r="AA91" s="46">
        <v>2264.0</v>
      </c>
      <c r="AB91" s="46">
        <v>4527.0</v>
      </c>
      <c r="AC91" s="24" t="s">
        <v>396</v>
      </c>
      <c r="AD91" s="81">
        <v>3205.0</v>
      </c>
      <c r="AE91" s="82" t="s">
        <v>397</v>
      </c>
      <c r="AF91" s="39" t="str">
        <f t="shared" si="1"/>
        <v>Tierra de Fuego, Argentina</v>
      </c>
      <c r="AG91" s="39">
        <f t="shared" si="2"/>
        <v>1</v>
      </c>
      <c r="AH91" s="47">
        <f t="shared" si="3"/>
        <v>0</v>
      </c>
      <c r="AI91" s="47">
        <f t="shared" si="4"/>
        <v>0</v>
      </c>
      <c r="AJ91" s="46">
        <f t="shared" si="5"/>
        <v>6791</v>
      </c>
      <c r="AK91" s="46">
        <f t="shared" si="6"/>
        <v>6791</v>
      </c>
      <c r="AL91" s="48"/>
      <c r="AM91" s="48"/>
    </row>
    <row r="92">
      <c r="A92" s="39">
        <v>91.0</v>
      </c>
      <c r="B92" s="40">
        <v>43697.0</v>
      </c>
      <c r="C92" s="17">
        <v>82019.0</v>
      </c>
      <c r="D92" s="41" t="s">
        <v>398</v>
      </c>
      <c r="E92" s="39" t="s">
        <v>38</v>
      </c>
      <c r="F92" s="41" t="s">
        <v>212</v>
      </c>
      <c r="G92" s="39" t="s">
        <v>64</v>
      </c>
      <c r="H92" s="39" t="s">
        <v>41</v>
      </c>
      <c r="I92" s="39" t="s">
        <v>42</v>
      </c>
      <c r="J92" s="43"/>
      <c r="K92" s="42">
        <v>1.0</v>
      </c>
      <c r="L92" s="43"/>
      <c r="M92" s="43"/>
      <c r="N92" s="43"/>
      <c r="O92" s="43"/>
      <c r="P92" s="43"/>
      <c r="Q92" s="44"/>
      <c r="R92" s="44"/>
      <c r="S92" s="39" t="s">
        <v>276</v>
      </c>
      <c r="T92" s="39" t="s">
        <v>66</v>
      </c>
      <c r="U92" s="39" t="s">
        <v>99</v>
      </c>
      <c r="V92" s="39" t="s">
        <v>399</v>
      </c>
      <c r="W92" s="45"/>
      <c r="X92" s="45"/>
      <c r="Y92" s="45"/>
      <c r="Z92" s="45"/>
      <c r="AA92" s="46">
        <v>2264.0</v>
      </c>
      <c r="AB92" s="46">
        <v>0.0</v>
      </c>
      <c r="AC92" s="24" t="s">
        <v>400</v>
      </c>
      <c r="AD92" s="17">
        <v>3271.0</v>
      </c>
      <c r="AE92" s="27" t="s">
        <v>401</v>
      </c>
      <c r="AF92" s="39" t="str">
        <f t="shared" si="1"/>
        <v>Buenos Aires, Argentina</v>
      </c>
      <c r="AG92" s="39">
        <f t="shared" si="2"/>
        <v>1</v>
      </c>
      <c r="AH92" s="47">
        <f t="shared" si="3"/>
        <v>0</v>
      </c>
      <c r="AI92" s="47">
        <f t="shared" si="4"/>
        <v>0</v>
      </c>
      <c r="AJ92" s="46">
        <f t="shared" si="5"/>
        <v>2264</v>
      </c>
      <c r="AK92" s="46">
        <f t="shared" si="6"/>
        <v>2264</v>
      </c>
      <c r="AL92" s="48"/>
      <c r="AM92" s="48"/>
    </row>
    <row r="93">
      <c r="A93" s="39">
        <v>92.0</v>
      </c>
      <c r="B93" s="40">
        <v>43699.0</v>
      </c>
      <c r="C93" s="17">
        <v>82019.0</v>
      </c>
      <c r="D93" s="41" t="s">
        <v>402</v>
      </c>
      <c r="E93" s="39" t="s">
        <v>38</v>
      </c>
      <c r="F93" s="41" t="s">
        <v>403</v>
      </c>
      <c r="G93" s="39" t="s">
        <v>40</v>
      </c>
      <c r="H93" s="39" t="s">
        <v>41</v>
      </c>
      <c r="I93" s="39" t="s">
        <v>42</v>
      </c>
      <c r="J93" s="42">
        <v>1.0</v>
      </c>
      <c r="K93" s="43"/>
      <c r="L93" s="43"/>
      <c r="M93" s="43"/>
      <c r="N93" s="43"/>
      <c r="O93" s="43"/>
      <c r="P93" s="43"/>
      <c r="Q93" s="44"/>
      <c r="R93" s="44"/>
      <c r="S93" s="39" t="s">
        <v>82</v>
      </c>
      <c r="T93" s="39" t="s">
        <v>66</v>
      </c>
      <c r="U93" s="39" t="s">
        <v>53</v>
      </c>
      <c r="V93" s="39" t="s">
        <v>78</v>
      </c>
      <c r="W93" s="45"/>
      <c r="X93" s="45"/>
      <c r="Y93" s="45"/>
      <c r="Z93" s="45"/>
      <c r="AA93" s="46">
        <v>3883.0</v>
      </c>
      <c r="AB93" s="46">
        <v>0.0</v>
      </c>
      <c r="AC93" s="24" t="s">
        <v>404</v>
      </c>
      <c r="AD93" s="81">
        <v>3275.0</v>
      </c>
      <c r="AE93" s="82" t="s">
        <v>405</v>
      </c>
      <c r="AF93" s="39" t="str">
        <f t="shared" si="1"/>
        <v>Buenos Aires, Argentina</v>
      </c>
      <c r="AG93" s="39">
        <f t="shared" si="2"/>
        <v>1</v>
      </c>
      <c r="AH93" s="47">
        <f t="shared" si="3"/>
        <v>0</v>
      </c>
      <c r="AI93" s="47">
        <f t="shared" si="4"/>
        <v>0</v>
      </c>
      <c r="AJ93" s="46">
        <f t="shared" si="5"/>
        <v>3883</v>
      </c>
      <c r="AK93" s="46">
        <f t="shared" si="6"/>
        <v>3883</v>
      </c>
      <c r="AL93" s="48"/>
      <c r="AM93" s="48"/>
    </row>
    <row r="94">
      <c r="A94" s="39">
        <v>93.0</v>
      </c>
      <c r="B94" s="40">
        <v>43705.0</v>
      </c>
      <c r="C94" s="17">
        <v>82019.0</v>
      </c>
      <c r="D94" s="41" t="s">
        <v>406</v>
      </c>
      <c r="E94" s="39" t="s">
        <v>38</v>
      </c>
      <c r="F94" s="41" t="s">
        <v>407</v>
      </c>
      <c r="G94" s="39" t="s">
        <v>40</v>
      </c>
      <c r="H94" s="39" t="s">
        <v>41</v>
      </c>
      <c r="I94" s="39" t="s">
        <v>42</v>
      </c>
      <c r="J94" s="42">
        <v>3.0</v>
      </c>
      <c r="K94" s="43"/>
      <c r="L94" s="43"/>
      <c r="M94" s="43"/>
      <c r="N94" s="43"/>
      <c r="O94" s="43"/>
      <c r="P94" s="43"/>
      <c r="Q94" s="44"/>
      <c r="R94" s="44"/>
      <c r="S94" s="39" t="s">
        <v>72</v>
      </c>
      <c r="T94" s="39" t="s">
        <v>83</v>
      </c>
      <c r="U94" s="39" t="s">
        <v>163</v>
      </c>
      <c r="V94" s="39" t="s">
        <v>84</v>
      </c>
      <c r="W94" s="45"/>
      <c r="X94" s="45"/>
      <c r="Y94" s="45"/>
      <c r="Z94" s="45"/>
      <c r="AA94" s="46">
        <v>10484.0</v>
      </c>
      <c r="AB94" s="46">
        <v>41112.0</v>
      </c>
      <c r="AC94" s="24" t="s">
        <v>408</v>
      </c>
      <c r="AD94" s="17">
        <v>3183.0</v>
      </c>
      <c r="AE94" s="27" t="s">
        <v>409</v>
      </c>
      <c r="AF94" s="39" t="str">
        <f t="shared" si="1"/>
        <v>Capital Federal, Argentina</v>
      </c>
      <c r="AG94" s="39">
        <f t="shared" si="2"/>
        <v>3</v>
      </c>
      <c r="AH94" s="47">
        <f t="shared" si="3"/>
        <v>0</v>
      </c>
      <c r="AI94" s="47">
        <f t="shared" si="4"/>
        <v>0</v>
      </c>
      <c r="AJ94" s="46">
        <f t="shared" si="5"/>
        <v>51596</v>
      </c>
      <c r="AK94" s="46">
        <f t="shared" si="6"/>
        <v>51596</v>
      </c>
      <c r="AL94" s="48"/>
      <c r="AM94" s="48"/>
    </row>
    <row r="95">
      <c r="A95" s="39">
        <v>94.0</v>
      </c>
      <c r="B95" s="40">
        <v>43706.0</v>
      </c>
      <c r="C95" s="17">
        <v>82019.0</v>
      </c>
      <c r="D95" s="41" t="s">
        <v>410</v>
      </c>
      <c r="E95" s="39" t="s">
        <v>38</v>
      </c>
      <c r="F95" s="41" t="s">
        <v>411</v>
      </c>
      <c r="G95" s="39" t="s">
        <v>40</v>
      </c>
      <c r="H95" s="39" t="s">
        <v>41</v>
      </c>
      <c r="I95" s="39" t="s">
        <v>42</v>
      </c>
      <c r="J95" s="42">
        <v>3.0</v>
      </c>
      <c r="K95" s="43"/>
      <c r="L95" s="43"/>
      <c r="M95" s="43"/>
      <c r="N95" s="43"/>
      <c r="O95" s="43"/>
      <c r="P95" s="43"/>
      <c r="Q95" s="44"/>
      <c r="R95" s="44"/>
      <c r="S95" s="39" t="s">
        <v>167</v>
      </c>
      <c r="T95" s="39" t="s">
        <v>66</v>
      </c>
      <c r="U95" s="39" t="s">
        <v>45</v>
      </c>
      <c r="V95" s="39" t="s">
        <v>59</v>
      </c>
      <c r="W95" s="45"/>
      <c r="X95" s="45"/>
      <c r="Y95" s="45"/>
      <c r="Z95" s="45"/>
      <c r="AA95" s="46">
        <v>11648.0</v>
      </c>
      <c r="AB95" s="46">
        <v>45849.0</v>
      </c>
      <c r="AC95" s="24" t="s">
        <v>412</v>
      </c>
      <c r="AD95" s="17">
        <v>3379.0</v>
      </c>
      <c r="AE95" s="27" t="s">
        <v>413</v>
      </c>
      <c r="AF95" s="39" t="str">
        <f t="shared" si="1"/>
        <v>Buenos Aires, Argentina</v>
      </c>
      <c r="AG95" s="39">
        <f t="shared" si="2"/>
        <v>3</v>
      </c>
      <c r="AH95" s="47">
        <f t="shared" si="3"/>
        <v>0</v>
      </c>
      <c r="AI95" s="47">
        <f t="shared" si="4"/>
        <v>0</v>
      </c>
      <c r="AJ95" s="46">
        <f t="shared" si="5"/>
        <v>57497</v>
      </c>
      <c r="AK95" s="46">
        <f t="shared" si="6"/>
        <v>57497</v>
      </c>
      <c r="AL95" s="48"/>
      <c r="AM95" s="48"/>
    </row>
    <row r="96">
      <c r="A96" s="61">
        <v>95.0</v>
      </c>
      <c r="B96" s="62">
        <v>43710.0</v>
      </c>
      <c r="C96" s="17">
        <v>92019.0</v>
      </c>
      <c r="D96" s="63" t="s">
        <v>414</v>
      </c>
      <c r="E96" s="61" t="s">
        <v>38</v>
      </c>
      <c r="F96" s="63" t="s">
        <v>415</v>
      </c>
      <c r="G96" s="61" t="s">
        <v>40</v>
      </c>
      <c r="H96" s="61" t="s">
        <v>41</v>
      </c>
      <c r="I96" s="61" t="s">
        <v>42</v>
      </c>
      <c r="J96" s="64">
        <v>8.0</v>
      </c>
      <c r="K96" s="64">
        <v>2.0</v>
      </c>
      <c r="L96" s="65"/>
      <c r="M96" s="64">
        <v>2.0</v>
      </c>
      <c r="N96" s="65"/>
      <c r="O96" s="65"/>
      <c r="P96" s="65"/>
      <c r="Q96" s="66"/>
      <c r="R96" s="66"/>
      <c r="S96" s="61" t="s">
        <v>65</v>
      </c>
      <c r="T96" s="61" t="s">
        <v>66</v>
      </c>
      <c r="U96" s="61" t="s">
        <v>53</v>
      </c>
      <c r="V96" s="61" t="s">
        <v>84</v>
      </c>
      <c r="W96" s="67"/>
      <c r="X96" s="67"/>
      <c r="Y96" s="67"/>
      <c r="Z96" s="67"/>
      <c r="AA96" s="68">
        <v>46436.0</v>
      </c>
      <c r="AB96" s="68">
        <v>182100.0</v>
      </c>
      <c r="AC96" s="24" t="s">
        <v>416</v>
      </c>
      <c r="AD96" s="17">
        <v>3015.0</v>
      </c>
      <c r="AE96" s="27" t="s">
        <v>417</v>
      </c>
      <c r="AF96" s="61" t="str">
        <f t="shared" si="1"/>
        <v>Buenos Aires, Argentina</v>
      </c>
      <c r="AG96" s="61">
        <f t="shared" si="2"/>
        <v>12</v>
      </c>
      <c r="AH96" s="69">
        <f t="shared" si="3"/>
        <v>0</v>
      </c>
      <c r="AI96" s="69">
        <f t="shared" si="4"/>
        <v>0</v>
      </c>
      <c r="AJ96" s="68">
        <f t="shared" si="5"/>
        <v>228536</v>
      </c>
      <c r="AK96" s="68">
        <f t="shared" si="6"/>
        <v>228536</v>
      </c>
      <c r="AL96" s="70"/>
      <c r="AM96" s="70"/>
    </row>
    <row r="97">
      <c r="A97" s="61">
        <v>96.0</v>
      </c>
      <c r="B97" s="62">
        <v>43717.0</v>
      </c>
      <c r="C97" s="17">
        <v>92019.0</v>
      </c>
      <c r="D97" s="63" t="s">
        <v>418</v>
      </c>
      <c r="E97" s="61" t="s">
        <v>38</v>
      </c>
      <c r="F97" s="63" t="s">
        <v>280</v>
      </c>
      <c r="G97" s="61" t="s">
        <v>64</v>
      </c>
      <c r="H97" s="61" t="s">
        <v>41</v>
      </c>
      <c r="I97" s="61" t="s">
        <v>42</v>
      </c>
      <c r="J97" s="64">
        <v>1.0</v>
      </c>
      <c r="K97" s="65"/>
      <c r="L97" s="65"/>
      <c r="M97" s="65"/>
      <c r="N97" s="65"/>
      <c r="O97" s="65"/>
      <c r="P97" s="65"/>
      <c r="Q97" s="66"/>
      <c r="R97" s="66"/>
      <c r="S97" s="61" t="s">
        <v>43</v>
      </c>
      <c r="T97" s="61" t="s">
        <v>83</v>
      </c>
      <c r="U97" s="61" t="s">
        <v>53</v>
      </c>
      <c r="V97" s="61" t="s">
        <v>84</v>
      </c>
      <c r="W97" s="67"/>
      <c r="X97" s="67"/>
      <c r="Y97" s="67"/>
      <c r="Z97" s="67"/>
      <c r="AA97" s="68">
        <v>4582.0</v>
      </c>
      <c r="AB97" s="68">
        <v>0.0</v>
      </c>
      <c r="AC97" s="24" t="s">
        <v>419</v>
      </c>
      <c r="AD97" s="17">
        <v>3437.0</v>
      </c>
      <c r="AE97" s="27" t="s">
        <v>420</v>
      </c>
      <c r="AF97" s="61" t="str">
        <f t="shared" si="1"/>
        <v>Capital Federal, Argentina</v>
      </c>
      <c r="AG97" s="61">
        <f t="shared" si="2"/>
        <v>1</v>
      </c>
      <c r="AH97" s="69">
        <f t="shared" si="3"/>
        <v>0</v>
      </c>
      <c r="AI97" s="69">
        <f t="shared" si="4"/>
        <v>0</v>
      </c>
      <c r="AJ97" s="68">
        <f t="shared" si="5"/>
        <v>4582</v>
      </c>
      <c r="AK97" s="68">
        <f t="shared" si="6"/>
        <v>4582</v>
      </c>
      <c r="AL97" s="70"/>
      <c r="AM97" s="70"/>
    </row>
    <row r="98">
      <c r="A98" s="61">
        <v>97.0</v>
      </c>
      <c r="B98" s="62">
        <v>43717.0</v>
      </c>
      <c r="C98" s="17">
        <v>92019.0</v>
      </c>
      <c r="D98" s="63" t="s">
        <v>421</v>
      </c>
      <c r="E98" s="61" t="s">
        <v>38</v>
      </c>
      <c r="F98" s="63" t="s">
        <v>212</v>
      </c>
      <c r="G98" s="61" t="s">
        <v>64</v>
      </c>
      <c r="H98" s="61" t="s">
        <v>41</v>
      </c>
      <c r="I98" s="61" t="s">
        <v>42</v>
      </c>
      <c r="J98" s="65"/>
      <c r="K98" s="64">
        <v>1.0</v>
      </c>
      <c r="L98" s="65"/>
      <c r="M98" s="65"/>
      <c r="N98" s="65"/>
      <c r="O98" s="65"/>
      <c r="P98" s="65"/>
      <c r="Q98" s="66"/>
      <c r="R98" s="66"/>
      <c r="S98" s="61" t="s">
        <v>65</v>
      </c>
      <c r="T98" s="61" t="s">
        <v>66</v>
      </c>
      <c r="U98" s="61" t="s">
        <v>67</v>
      </c>
      <c r="V98" s="61" t="s">
        <v>59</v>
      </c>
      <c r="W98" s="67"/>
      <c r="X98" s="67"/>
      <c r="Y98" s="67"/>
      <c r="Z98" s="67"/>
      <c r="AA98" s="68">
        <v>2671.0</v>
      </c>
      <c r="AB98" s="68">
        <v>0.0</v>
      </c>
      <c r="AC98" s="24" t="s">
        <v>422</v>
      </c>
      <c r="AD98" s="17">
        <v>3445.0</v>
      </c>
      <c r="AE98" s="27" t="s">
        <v>423</v>
      </c>
      <c r="AF98" s="61" t="str">
        <f t="shared" si="1"/>
        <v>Buenos Aires, Argentina</v>
      </c>
      <c r="AG98" s="61">
        <f t="shared" si="2"/>
        <v>1</v>
      </c>
      <c r="AH98" s="69">
        <f t="shared" si="3"/>
        <v>0</v>
      </c>
      <c r="AI98" s="69">
        <f t="shared" si="4"/>
        <v>0</v>
      </c>
      <c r="AJ98" s="68">
        <f t="shared" si="5"/>
        <v>2671</v>
      </c>
      <c r="AK98" s="68">
        <f t="shared" si="6"/>
        <v>2671</v>
      </c>
      <c r="AL98" s="70"/>
      <c r="AM98" s="70"/>
    </row>
    <row r="99">
      <c r="A99" s="61">
        <v>98.0</v>
      </c>
      <c r="B99" s="62">
        <v>43719.0</v>
      </c>
      <c r="C99" s="17">
        <v>92019.0</v>
      </c>
      <c r="D99" s="63" t="s">
        <v>424</v>
      </c>
      <c r="E99" s="61" t="s">
        <v>38</v>
      </c>
      <c r="F99" s="63" t="s">
        <v>280</v>
      </c>
      <c r="G99" s="61" t="s">
        <v>64</v>
      </c>
      <c r="H99" s="61" t="s">
        <v>41</v>
      </c>
      <c r="I99" s="61" t="s">
        <v>42</v>
      </c>
      <c r="J99" s="64">
        <v>1.0</v>
      </c>
      <c r="K99" s="65"/>
      <c r="L99" s="65"/>
      <c r="M99" s="65"/>
      <c r="N99" s="65"/>
      <c r="O99" s="65"/>
      <c r="P99" s="65"/>
      <c r="Q99" s="66"/>
      <c r="R99" s="66"/>
      <c r="S99" s="61" t="s">
        <v>65</v>
      </c>
      <c r="T99" s="61" t="s">
        <v>66</v>
      </c>
      <c r="U99" s="61" t="s">
        <v>67</v>
      </c>
      <c r="V99" s="61" t="s">
        <v>84</v>
      </c>
      <c r="W99" s="67"/>
      <c r="X99" s="67"/>
      <c r="Y99" s="67"/>
      <c r="Z99" s="67"/>
      <c r="AA99" s="68">
        <v>5390.0</v>
      </c>
      <c r="AB99" s="68">
        <v>0.0</v>
      </c>
      <c r="AC99" s="24" t="s">
        <v>425</v>
      </c>
      <c r="AD99" s="17">
        <v>3461.0</v>
      </c>
      <c r="AE99" s="27" t="s">
        <v>426</v>
      </c>
      <c r="AF99" s="61" t="str">
        <f t="shared" si="1"/>
        <v>Buenos Aires, Argentina</v>
      </c>
      <c r="AG99" s="61">
        <f t="shared" si="2"/>
        <v>1</v>
      </c>
      <c r="AH99" s="69">
        <f t="shared" si="3"/>
        <v>0</v>
      </c>
      <c r="AI99" s="69">
        <f t="shared" si="4"/>
        <v>0</v>
      </c>
      <c r="AJ99" s="68">
        <f t="shared" si="5"/>
        <v>5390</v>
      </c>
      <c r="AK99" s="68">
        <f t="shared" si="6"/>
        <v>5390</v>
      </c>
      <c r="AL99" s="70"/>
      <c r="AM99" s="70"/>
    </row>
    <row r="100">
      <c r="A100" s="61">
        <v>99.0</v>
      </c>
      <c r="B100" s="62">
        <v>43720.0</v>
      </c>
      <c r="C100" s="17">
        <v>92019.0</v>
      </c>
      <c r="D100" s="63" t="s">
        <v>279</v>
      </c>
      <c r="E100" s="61" t="s">
        <v>38</v>
      </c>
      <c r="F100" s="63" t="s">
        <v>280</v>
      </c>
      <c r="G100" s="61" t="s">
        <v>64</v>
      </c>
      <c r="H100" s="61" t="s">
        <v>41</v>
      </c>
      <c r="I100" s="61" t="s">
        <v>42</v>
      </c>
      <c r="J100" s="64">
        <v>1.0</v>
      </c>
      <c r="K100" s="65"/>
      <c r="L100" s="65"/>
      <c r="M100" s="65"/>
      <c r="N100" s="65"/>
      <c r="O100" s="65"/>
      <c r="P100" s="65"/>
      <c r="Q100" s="66"/>
      <c r="R100" s="66"/>
      <c r="S100" s="61" t="s">
        <v>89</v>
      </c>
      <c r="T100" s="61" t="s">
        <v>83</v>
      </c>
      <c r="U100" s="61" t="s">
        <v>67</v>
      </c>
      <c r="V100" s="61" t="s">
        <v>84</v>
      </c>
      <c r="W100" s="67"/>
      <c r="X100" s="67"/>
      <c r="Y100" s="67"/>
      <c r="Z100" s="67"/>
      <c r="AA100" s="68">
        <v>4123.0</v>
      </c>
      <c r="AB100" s="68">
        <v>0.0</v>
      </c>
      <c r="AC100" s="24" t="s">
        <v>281</v>
      </c>
      <c r="AD100" s="17">
        <v>3317.0</v>
      </c>
      <c r="AE100" s="27" t="s">
        <v>282</v>
      </c>
      <c r="AF100" s="61" t="str">
        <f t="shared" si="1"/>
        <v>Capital Federal, Argentina</v>
      </c>
      <c r="AG100" s="61">
        <f t="shared" si="2"/>
        <v>1</v>
      </c>
      <c r="AH100" s="69">
        <f t="shared" si="3"/>
        <v>0</v>
      </c>
      <c r="AI100" s="69">
        <f t="shared" si="4"/>
        <v>0</v>
      </c>
      <c r="AJ100" s="68">
        <f t="shared" si="5"/>
        <v>4123</v>
      </c>
      <c r="AK100" s="68">
        <f t="shared" si="6"/>
        <v>4123</v>
      </c>
      <c r="AL100" s="70"/>
      <c r="AM100" s="70"/>
    </row>
    <row r="101">
      <c r="A101" s="61">
        <v>100.0</v>
      </c>
      <c r="B101" s="62">
        <v>43721.0</v>
      </c>
      <c r="C101" s="17">
        <v>92019.0</v>
      </c>
      <c r="D101" s="63" t="s">
        <v>427</v>
      </c>
      <c r="E101" s="61" t="s">
        <v>38</v>
      </c>
      <c r="F101" s="63" t="s">
        <v>212</v>
      </c>
      <c r="G101" s="61" t="s">
        <v>64</v>
      </c>
      <c r="H101" s="61" t="s">
        <v>41</v>
      </c>
      <c r="I101" s="61" t="s">
        <v>42</v>
      </c>
      <c r="J101" s="65"/>
      <c r="K101" s="64">
        <v>1.0</v>
      </c>
      <c r="L101" s="65"/>
      <c r="M101" s="65"/>
      <c r="N101" s="65"/>
      <c r="O101" s="65"/>
      <c r="P101" s="65"/>
      <c r="Q101" s="66"/>
      <c r="R101" s="66"/>
      <c r="S101" s="61" t="s">
        <v>98</v>
      </c>
      <c r="T101" s="61" t="s">
        <v>83</v>
      </c>
      <c r="U101" s="61" t="s">
        <v>67</v>
      </c>
      <c r="V101" s="61" t="s">
        <v>84</v>
      </c>
      <c r="W101" s="67"/>
      <c r="X101" s="67"/>
      <c r="Y101" s="67"/>
      <c r="Z101" s="67"/>
      <c r="AA101" s="68">
        <v>3561.0</v>
      </c>
      <c r="AB101" s="68">
        <v>0.0</v>
      </c>
      <c r="AC101" s="24" t="s">
        <v>428</v>
      </c>
      <c r="AD101" s="17">
        <v>3483.0</v>
      </c>
      <c r="AE101" s="27" t="s">
        <v>429</v>
      </c>
      <c r="AF101" s="61" t="str">
        <f t="shared" si="1"/>
        <v>Capital Federal, Argentina</v>
      </c>
      <c r="AG101" s="61">
        <f t="shared" si="2"/>
        <v>1</v>
      </c>
      <c r="AH101" s="69">
        <f t="shared" si="3"/>
        <v>0</v>
      </c>
      <c r="AI101" s="69">
        <f t="shared" si="4"/>
        <v>0</v>
      </c>
      <c r="AJ101" s="68">
        <f t="shared" si="5"/>
        <v>3561</v>
      </c>
      <c r="AK101" s="68">
        <f t="shared" si="6"/>
        <v>3561</v>
      </c>
      <c r="AL101" s="70"/>
      <c r="AM101" s="70"/>
    </row>
    <row r="102">
      <c r="A102" s="61">
        <v>101.0</v>
      </c>
      <c r="B102" s="62">
        <v>43727.0</v>
      </c>
      <c r="C102" s="17">
        <v>92019.0</v>
      </c>
      <c r="D102" s="63" t="s">
        <v>430</v>
      </c>
      <c r="E102" s="61" t="s">
        <v>38</v>
      </c>
      <c r="F102" s="63" t="s">
        <v>431</v>
      </c>
      <c r="G102" s="61" t="s">
        <v>40</v>
      </c>
      <c r="H102" s="61" t="s">
        <v>41</v>
      </c>
      <c r="I102" s="61" t="s">
        <v>42</v>
      </c>
      <c r="J102" s="64">
        <v>4.0</v>
      </c>
      <c r="K102" s="64">
        <v>2.0</v>
      </c>
      <c r="L102" s="65"/>
      <c r="M102" s="64">
        <v>1.0</v>
      </c>
      <c r="N102" s="65"/>
      <c r="O102" s="65"/>
      <c r="P102" s="64">
        <v>1.0</v>
      </c>
      <c r="Q102" s="66"/>
      <c r="R102" s="66"/>
      <c r="S102" s="61" t="s">
        <v>89</v>
      </c>
      <c r="T102" s="61" t="s">
        <v>66</v>
      </c>
      <c r="U102" s="61" t="s">
        <v>53</v>
      </c>
      <c r="V102" s="61" t="s">
        <v>84</v>
      </c>
      <c r="W102" s="67"/>
      <c r="X102" s="67"/>
      <c r="Y102" s="67"/>
      <c r="Z102" s="67"/>
      <c r="AA102" s="68">
        <v>24393.0</v>
      </c>
      <c r="AB102" s="68">
        <v>82842.0</v>
      </c>
      <c r="AC102" s="24" t="s">
        <v>432</v>
      </c>
      <c r="AD102" s="17">
        <v>3465.0</v>
      </c>
      <c r="AE102" s="27" t="s">
        <v>433</v>
      </c>
      <c r="AF102" s="61" t="str">
        <f t="shared" si="1"/>
        <v>Buenos Aires, Argentina</v>
      </c>
      <c r="AG102" s="61">
        <f t="shared" si="2"/>
        <v>8</v>
      </c>
      <c r="AH102" s="69">
        <f t="shared" si="3"/>
        <v>0</v>
      </c>
      <c r="AI102" s="69">
        <f t="shared" si="4"/>
        <v>0</v>
      </c>
      <c r="AJ102" s="68">
        <f t="shared" si="5"/>
        <v>107235</v>
      </c>
      <c r="AK102" s="68">
        <f t="shared" si="6"/>
        <v>107235</v>
      </c>
      <c r="AL102" s="70"/>
      <c r="AM102" s="70"/>
    </row>
    <row r="103">
      <c r="A103" s="61">
        <v>102.0</v>
      </c>
      <c r="B103" s="62">
        <v>43727.0</v>
      </c>
      <c r="C103" s="17">
        <v>92019.0</v>
      </c>
      <c r="D103" s="63" t="s">
        <v>434</v>
      </c>
      <c r="E103" s="61" t="s">
        <v>38</v>
      </c>
      <c r="F103" s="63" t="s">
        <v>260</v>
      </c>
      <c r="G103" s="61" t="s">
        <v>64</v>
      </c>
      <c r="H103" s="61" t="s">
        <v>41</v>
      </c>
      <c r="I103" s="61" t="s">
        <v>42</v>
      </c>
      <c r="J103" s="65"/>
      <c r="K103" s="65"/>
      <c r="L103" s="65"/>
      <c r="M103" s="64">
        <v>1.0</v>
      </c>
      <c r="N103" s="65"/>
      <c r="O103" s="65"/>
      <c r="P103" s="65"/>
      <c r="Q103" s="66"/>
      <c r="R103" s="66"/>
      <c r="S103" s="61" t="s">
        <v>189</v>
      </c>
      <c r="T103" s="61" t="s">
        <v>66</v>
      </c>
      <c r="U103" s="61" t="s">
        <v>67</v>
      </c>
      <c r="V103" s="61" t="s">
        <v>59</v>
      </c>
      <c r="W103" s="67"/>
      <c r="X103" s="67"/>
      <c r="Y103" s="67"/>
      <c r="Z103" s="67"/>
      <c r="AA103" s="68">
        <v>3629.0</v>
      </c>
      <c r="AB103" s="68">
        <v>0.0</v>
      </c>
      <c r="AC103" s="24" t="s">
        <v>435</v>
      </c>
      <c r="AD103" s="17">
        <v>962.0</v>
      </c>
      <c r="AE103" s="27" t="s">
        <v>436</v>
      </c>
      <c r="AF103" s="61" t="str">
        <f t="shared" si="1"/>
        <v>Buenos Aires, Argentina</v>
      </c>
      <c r="AG103" s="61">
        <f t="shared" si="2"/>
        <v>1</v>
      </c>
      <c r="AH103" s="69">
        <f t="shared" si="3"/>
        <v>0</v>
      </c>
      <c r="AI103" s="69">
        <f t="shared" si="4"/>
        <v>0</v>
      </c>
      <c r="AJ103" s="68">
        <f t="shared" si="5"/>
        <v>3629</v>
      </c>
      <c r="AK103" s="68">
        <f t="shared" si="6"/>
        <v>3629</v>
      </c>
      <c r="AL103" s="70"/>
      <c r="AM103" s="70"/>
    </row>
    <row r="104">
      <c r="A104" s="61">
        <v>103.0</v>
      </c>
      <c r="B104" s="62">
        <v>43710.0</v>
      </c>
      <c r="C104" s="17">
        <v>92019.0</v>
      </c>
      <c r="D104" s="63" t="s">
        <v>437</v>
      </c>
      <c r="E104" s="61" t="s">
        <v>438</v>
      </c>
      <c r="F104" s="63" t="s">
        <v>271</v>
      </c>
      <c r="G104" s="61" t="s">
        <v>40</v>
      </c>
      <c r="H104" s="61" t="s">
        <v>41</v>
      </c>
      <c r="I104" s="61" t="s">
        <v>42</v>
      </c>
      <c r="J104" s="64">
        <v>1.0</v>
      </c>
      <c r="K104" s="65"/>
      <c r="L104" s="65"/>
      <c r="M104" s="64">
        <v>1.0</v>
      </c>
      <c r="N104" s="65"/>
      <c r="O104" s="65"/>
      <c r="P104" s="65"/>
      <c r="Q104" s="66"/>
      <c r="R104" s="66"/>
      <c r="S104" s="61" t="s">
        <v>189</v>
      </c>
      <c r="T104" s="61" t="s">
        <v>66</v>
      </c>
      <c r="U104" s="61" t="s">
        <v>53</v>
      </c>
      <c r="V104" s="61" t="s">
        <v>59</v>
      </c>
      <c r="W104" s="67"/>
      <c r="X104" s="67"/>
      <c r="Y104" s="67"/>
      <c r="Z104" s="67"/>
      <c r="AA104" s="68">
        <v>4582.0</v>
      </c>
      <c r="AB104" s="68">
        <v>0.0</v>
      </c>
      <c r="AC104" s="24" t="s">
        <v>439</v>
      </c>
      <c r="AD104" s="17">
        <v>3407.0</v>
      </c>
      <c r="AE104" s="27" t="s">
        <v>440</v>
      </c>
      <c r="AF104" s="61" t="str">
        <f t="shared" si="1"/>
        <v>Buenos Aires, Argentina</v>
      </c>
      <c r="AG104" s="61">
        <f t="shared" si="2"/>
        <v>2</v>
      </c>
      <c r="AH104" s="69">
        <f t="shared" si="3"/>
        <v>0</v>
      </c>
      <c r="AI104" s="69">
        <f t="shared" si="4"/>
        <v>0</v>
      </c>
      <c r="AJ104" s="68">
        <f t="shared" si="5"/>
        <v>4582</v>
      </c>
      <c r="AK104" s="68">
        <f t="shared" si="6"/>
        <v>4582</v>
      </c>
      <c r="AL104" s="70"/>
      <c r="AM104" s="70"/>
    </row>
    <row r="105">
      <c r="A105" s="61">
        <v>104.0</v>
      </c>
      <c r="B105" s="62">
        <v>43732.0</v>
      </c>
      <c r="C105" s="17">
        <v>92019.0</v>
      </c>
      <c r="D105" s="63" t="s">
        <v>170</v>
      </c>
      <c r="E105" s="61" t="s">
        <v>38</v>
      </c>
      <c r="F105" s="63" t="s">
        <v>441</v>
      </c>
      <c r="G105" s="61" t="s">
        <v>64</v>
      </c>
      <c r="H105" s="61" t="s">
        <v>41</v>
      </c>
      <c r="I105" s="61" t="s">
        <v>42</v>
      </c>
      <c r="J105" s="65"/>
      <c r="K105" s="65"/>
      <c r="L105" s="65"/>
      <c r="M105" s="65"/>
      <c r="N105" s="65"/>
      <c r="O105" s="65"/>
      <c r="P105" s="64">
        <v>1.0</v>
      </c>
      <c r="Q105" s="66"/>
      <c r="R105" s="66"/>
      <c r="S105" s="61" t="s">
        <v>98</v>
      </c>
      <c r="T105" s="61" t="s">
        <v>66</v>
      </c>
      <c r="U105" s="61" t="s">
        <v>67</v>
      </c>
      <c r="V105" s="61" t="s">
        <v>59</v>
      </c>
      <c r="W105" s="68">
        <v>2490.0</v>
      </c>
      <c r="X105" s="68">
        <v>813.0</v>
      </c>
      <c r="Y105" s="67"/>
      <c r="Z105" s="67"/>
      <c r="AA105" s="68">
        <v>0.0</v>
      </c>
      <c r="AB105" s="68">
        <v>0.0</v>
      </c>
      <c r="AC105" s="24" t="s">
        <v>172</v>
      </c>
      <c r="AD105" s="17">
        <v>2531.0</v>
      </c>
      <c r="AE105" s="27" t="s">
        <v>173</v>
      </c>
      <c r="AF105" s="61" t="str">
        <f t="shared" si="1"/>
        <v>Buenos Aires, Argentina</v>
      </c>
      <c r="AG105" s="61">
        <f t="shared" si="2"/>
        <v>1</v>
      </c>
      <c r="AH105" s="69">
        <f t="shared" si="3"/>
        <v>3303</v>
      </c>
      <c r="AI105" s="69">
        <f t="shared" si="4"/>
        <v>0</v>
      </c>
      <c r="AJ105" s="68">
        <f t="shared" si="5"/>
        <v>0</v>
      </c>
      <c r="AK105" s="68">
        <f t="shared" si="6"/>
        <v>3303</v>
      </c>
      <c r="AL105" s="70"/>
      <c r="AM105" s="70"/>
    </row>
    <row r="106">
      <c r="A106" s="61">
        <v>105.0</v>
      </c>
      <c r="B106" s="62">
        <v>43732.0</v>
      </c>
      <c r="C106" s="17">
        <v>92019.0</v>
      </c>
      <c r="D106" s="63" t="s">
        <v>442</v>
      </c>
      <c r="E106" s="61" t="s">
        <v>38</v>
      </c>
      <c r="F106" s="63" t="s">
        <v>280</v>
      </c>
      <c r="G106" s="61" t="s">
        <v>64</v>
      </c>
      <c r="H106" s="61" t="s">
        <v>41</v>
      </c>
      <c r="I106" s="61" t="s">
        <v>42</v>
      </c>
      <c r="J106" s="64">
        <v>1.0</v>
      </c>
      <c r="K106" s="65"/>
      <c r="L106" s="65"/>
      <c r="M106" s="65"/>
      <c r="N106" s="65"/>
      <c r="O106" s="65"/>
      <c r="P106" s="65"/>
      <c r="Q106" s="66"/>
      <c r="R106" s="66"/>
      <c r="S106" s="61" t="s">
        <v>65</v>
      </c>
      <c r="T106" s="61" t="s">
        <v>66</v>
      </c>
      <c r="U106" s="61" t="s">
        <v>99</v>
      </c>
      <c r="V106" s="61" t="s">
        <v>84</v>
      </c>
      <c r="W106" s="67"/>
      <c r="X106" s="67"/>
      <c r="Y106" s="67"/>
      <c r="Z106" s="67"/>
      <c r="AA106" s="68">
        <v>4767.0</v>
      </c>
      <c r="AB106" s="68">
        <v>0.0</v>
      </c>
      <c r="AC106" s="24" t="s">
        <v>443</v>
      </c>
      <c r="AD106" s="17">
        <v>3525.0</v>
      </c>
      <c r="AE106" s="27" t="s">
        <v>444</v>
      </c>
      <c r="AF106" s="61" t="str">
        <f t="shared" si="1"/>
        <v>Buenos Aires, Argentina</v>
      </c>
      <c r="AG106" s="61">
        <f t="shared" si="2"/>
        <v>1</v>
      </c>
      <c r="AH106" s="69">
        <f t="shared" si="3"/>
        <v>0</v>
      </c>
      <c r="AI106" s="69">
        <f t="shared" si="4"/>
        <v>0</v>
      </c>
      <c r="AJ106" s="68">
        <f t="shared" si="5"/>
        <v>4767</v>
      </c>
      <c r="AK106" s="68">
        <f t="shared" si="6"/>
        <v>4767</v>
      </c>
      <c r="AL106" s="70"/>
      <c r="AM106" s="70"/>
    </row>
    <row r="107">
      <c r="A107" s="61">
        <v>106.0</v>
      </c>
      <c r="B107" s="62">
        <v>43732.0</v>
      </c>
      <c r="C107" s="17">
        <v>92019.0</v>
      </c>
      <c r="D107" s="63" t="s">
        <v>445</v>
      </c>
      <c r="E107" s="61" t="s">
        <v>38</v>
      </c>
      <c r="F107" s="63" t="s">
        <v>280</v>
      </c>
      <c r="G107" s="61" t="s">
        <v>64</v>
      </c>
      <c r="H107" s="61" t="s">
        <v>41</v>
      </c>
      <c r="I107" s="61" t="s">
        <v>42</v>
      </c>
      <c r="J107" s="64">
        <v>1.0</v>
      </c>
      <c r="K107" s="65"/>
      <c r="L107" s="65"/>
      <c r="M107" s="65"/>
      <c r="N107" s="65"/>
      <c r="O107" s="65"/>
      <c r="P107" s="65"/>
      <c r="Q107" s="66"/>
      <c r="R107" s="66"/>
      <c r="S107" s="61" t="s">
        <v>98</v>
      </c>
      <c r="T107" s="61" t="s">
        <v>83</v>
      </c>
      <c r="U107" s="61" t="s">
        <v>67</v>
      </c>
      <c r="V107" s="61" t="s">
        <v>59</v>
      </c>
      <c r="W107" s="67"/>
      <c r="X107" s="67"/>
      <c r="Y107" s="67"/>
      <c r="Z107" s="67"/>
      <c r="AA107" s="68">
        <v>3426.0</v>
      </c>
      <c r="AB107" s="68">
        <v>0.0</v>
      </c>
      <c r="AC107" s="24" t="s">
        <v>391</v>
      </c>
      <c r="AD107" s="17">
        <v>3165.0</v>
      </c>
      <c r="AE107" s="27" t="s">
        <v>446</v>
      </c>
      <c r="AF107" s="61" t="str">
        <f t="shared" si="1"/>
        <v>Capital Federal, Argentina</v>
      </c>
      <c r="AG107" s="61">
        <f t="shared" si="2"/>
        <v>1</v>
      </c>
      <c r="AH107" s="69">
        <f t="shared" si="3"/>
        <v>0</v>
      </c>
      <c r="AI107" s="69">
        <f t="shared" si="4"/>
        <v>0</v>
      </c>
      <c r="AJ107" s="68">
        <f t="shared" si="5"/>
        <v>3426</v>
      </c>
      <c r="AK107" s="68">
        <f t="shared" si="6"/>
        <v>3426</v>
      </c>
      <c r="AL107" s="70"/>
      <c r="AM107" s="70"/>
    </row>
    <row r="108">
      <c r="A108" s="61">
        <v>107.0</v>
      </c>
      <c r="B108" s="62">
        <v>43734.0</v>
      </c>
      <c r="C108" s="17">
        <v>92019.0</v>
      </c>
      <c r="D108" s="63" t="s">
        <v>447</v>
      </c>
      <c r="E108" s="61" t="s">
        <v>38</v>
      </c>
      <c r="F108" s="63" t="s">
        <v>71</v>
      </c>
      <c r="G108" s="61" t="s">
        <v>40</v>
      </c>
      <c r="H108" s="61" t="s">
        <v>41</v>
      </c>
      <c r="I108" s="61" t="s">
        <v>42</v>
      </c>
      <c r="J108" s="64">
        <v>1.0</v>
      </c>
      <c r="K108" s="65"/>
      <c r="L108" s="65"/>
      <c r="M108" s="64">
        <v>1.0</v>
      </c>
      <c r="N108" s="65"/>
      <c r="O108" s="65"/>
      <c r="P108" s="65"/>
      <c r="Q108" s="66"/>
      <c r="R108" s="66"/>
      <c r="S108" s="61" t="s">
        <v>65</v>
      </c>
      <c r="T108" s="61" t="s">
        <v>66</v>
      </c>
      <c r="U108" s="61" t="s">
        <v>342</v>
      </c>
      <c r="V108" s="61" t="s">
        <v>84</v>
      </c>
      <c r="W108" s="67"/>
      <c r="X108" s="67"/>
      <c r="Y108" s="67"/>
      <c r="Z108" s="67"/>
      <c r="AA108" s="68">
        <v>4123.0</v>
      </c>
      <c r="AB108" s="68">
        <v>16170.0</v>
      </c>
      <c r="AC108" s="24" t="s">
        <v>448</v>
      </c>
      <c r="AD108" s="17">
        <v>3254.0</v>
      </c>
      <c r="AE108" s="27" t="s">
        <v>449</v>
      </c>
      <c r="AF108" s="61" t="str">
        <f t="shared" si="1"/>
        <v>Buenos Aires, Argentina</v>
      </c>
      <c r="AG108" s="61">
        <f t="shared" si="2"/>
        <v>2</v>
      </c>
      <c r="AH108" s="69">
        <f t="shared" si="3"/>
        <v>0</v>
      </c>
      <c r="AI108" s="69">
        <f t="shared" si="4"/>
        <v>0</v>
      </c>
      <c r="AJ108" s="68">
        <f t="shared" si="5"/>
        <v>20293</v>
      </c>
      <c r="AK108" s="68">
        <f t="shared" si="6"/>
        <v>20293</v>
      </c>
      <c r="AL108" s="70"/>
      <c r="AM108" s="70"/>
    </row>
    <row r="109">
      <c r="A109" s="61">
        <v>108.0</v>
      </c>
      <c r="B109" s="62">
        <v>43738.0</v>
      </c>
      <c r="C109" s="17">
        <v>92019.0</v>
      </c>
      <c r="D109" s="63" t="s">
        <v>450</v>
      </c>
      <c r="E109" s="61" t="s">
        <v>38</v>
      </c>
      <c r="F109" s="63" t="s">
        <v>451</v>
      </c>
      <c r="G109" s="61" t="s">
        <v>64</v>
      </c>
      <c r="H109" s="61" t="s">
        <v>41</v>
      </c>
      <c r="I109" s="61" t="s">
        <v>42</v>
      </c>
      <c r="J109" s="65"/>
      <c r="K109" s="64">
        <v>2.0</v>
      </c>
      <c r="L109" s="65"/>
      <c r="M109" s="65"/>
      <c r="N109" s="65"/>
      <c r="O109" s="65"/>
      <c r="P109" s="65"/>
      <c r="Q109" s="66"/>
      <c r="R109" s="61">
        <v>2.0</v>
      </c>
      <c r="S109" s="61" t="s">
        <v>137</v>
      </c>
      <c r="T109" s="61" t="s">
        <v>73</v>
      </c>
      <c r="U109" s="61" t="s">
        <v>53</v>
      </c>
      <c r="V109" s="61" t="s">
        <v>78</v>
      </c>
      <c r="W109" s="67"/>
      <c r="X109" s="67"/>
      <c r="Y109" s="67"/>
      <c r="Z109" s="67"/>
      <c r="AA109" s="68">
        <v>6695.0</v>
      </c>
      <c r="AB109" s="68">
        <v>15752.0</v>
      </c>
      <c r="AC109" s="24" t="s">
        <v>452</v>
      </c>
      <c r="AD109" s="81">
        <v>2254.0</v>
      </c>
      <c r="AE109" s="27" t="s">
        <v>453</v>
      </c>
      <c r="AF109" s="61" t="str">
        <f t="shared" si="1"/>
        <v>Tierra de Fuego, Argentina</v>
      </c>
      <c r="AG109" s="61">
        <f t="shared" si="2"/>
        <v>2</v>
      </c>
      <c r="AH109" s="69">
        <f t="shared" si="3"/>
        <v>0</v>
      </c>
      <c r="AI109" s="69">
        <f t="shared" si="4"/>
        <v>0</v>
      </c>
      <c r="AJ109" s="68">
        <f t="shared" si="5"/>
        <v>22447</v>
      </c>
      <c r="AK109" s="68">
        <f t="shared" si="6"/>
        <v>22447</v>
      </c>
      <c r="AL109" s="70"/>
      <c r="AM109" s="70"/>
    </row>
    <row r="110">
      <c r="A110" s="61">
        <v>109.0</v>
      </c>
      <c r="B110" s="62">
        <v>43738.0</v>
      </c>
      <c r="C110" s="17">
        <v>92019.0</v>
      </c>
      <c r="D110" s="63" t="s">
        <v>454</v>
      </c>
      <c r="E110" s="61" t="s">
        <v>38</v>
      </c>
      <c r="F110" s="63" t="s">
        <v>455</v>
      </c>
      <c r="G110" s="61" t="s">
        <v>40</v>
      </c>
      <c r="H110" s="61" t="s">
        <v>41</v>
      </c>
      <c r="I110" s="61" t="s">
        <v>42</v>
      </c>
      <c r="J110" s="64">
        <v>1.0</v>
      </c>
      <c r="K110" s="64">
        <v>2.0</v>
      </c>
      <c r="L110" s="65"/>
      <c r="M110" s="64">
        <v>1.0</v>
      </c>
      <c r="N110" s="65"/>
      <c r="O110" s="65"/>
      <c r="P110" s="65"/>
      <c r="Q110" s="66"/>
      <c r="R110" s="61">
        <v>7.0</v>
      </c>
      <c r="S110" s="61" t="s">
        <v>105</v>
      </c>
      <c r="T110" s="61" t="s">
        <v>66</v>
      </c>
      <c r="U110" s="61" t="s">
        <v>53</v>
      </c>
      <c r="V110" s="61" t="s">
        <v>84</v>
      </c>
      <c r="W110" s="67"/>
      <c r="X110" s="67"/>
      <c r="Y110" s="67"/>
      <c r="Z110" s="68">
        <v>31500.0</v>
      </c>
      <c r="AA110" s="68">
        <v>18567.0</v>
      </c>
      <c r="AB110" s="68">
        <v>75186.0</v>
      </c>
      <c r="AC110" s="24" t="s">
        <v>456</v>
      </c>
      <c r="AD110" s="17">
        <v>3489.0</v>
      </c>
      <c r="AE110" s="27" t="s">
        <v>457</v>
      </c>
      <c r="AF110" s="61" t="str">
        <f t="shared" si="1"/>
        <v>Buenos Aires, Argentina</v>
      </c>
      <c r="AG110" s="61">
        <f t="shared" si="2"/>
        <v>4</v>
      </c>
      <c r="AH110" s="69">
        <f t="shared" si="3"/>
        <v>0</v>
      </c>
      <c r="AI110" s="69">
        <f t="shared" si="4"/>
        <v>31500</v>
      </c>
      <c r="AJ110" s="68">
        <f t="shared" si="5"/>
        <v>93753</v>
      </c>
      <c r="AK110" s="68">
        <f t="shared" si="6"/>
        <v>125253</v>
      </c>
      <c r="AL110" s="70"/>
      <c r="AM110" s="70"/>
    </row>
    <row r="111">
      <c r="A111" s="39">
        <v>110.0</v>
      </c>
      <c r="B111" s="40">
        <v>43756.0</v>
      </c>
      <c r="C111" s="17">
        <v>102019.0</v>
      </c>
      <c r="D111" s="41" t="s">
        <v>458</v>
      </c>
      <c r="E111" s="39" t="s">
        <v>38</v>
      </c>
      <c r="F111" s="41" t="s">
        <v>88</v>
      </c>
      <c r="G111" s="39" t="s">
        <v>40</v>
      </c>
      <c r="H111" s="39" t="s">
        <v>41</v>
      </c>
      <c r="I111" s="39" t="s">
        <v>42</v>
      </c>
      <c r="J111" s="42">
        <v>1.0</v>
      </c>
      <c r="K111" s="43"/>
      <c r="L111" s="43"/>
      <c r="M111" s="42">
        <v>1.0</v>
      </c>
      <c r="N111" s="43"/>
      <c r="O111" s="43"/>
      <c r="P111" s="43"/>
      <c r="Q111" s="44"/>
      <c r="R111" s="44"/>
      <c r="S111" s="39" t="s">
        <v>114</v>
      </c>
      <c r="T111" s="39" t="s">
        <v>66</v>
      </c>
      <c r="U111" s="39" t="s">
        <v>342</v>
      </c>
      <c r="V111" s="39" t="s">
        <v>59</v>
      </c>
      <c r="W111" s="45"/>
      <c r="X111" s="45"/>
      <c r="Y111" s="45"/>
      <c r="Z111" s="45"/>
      <c r="AA111" s="46">
        <v>4582.0</v>
      </c>
      <c r="AB111" s="46">
        <v>16170.0</v>
      </c>
      <c r="AC111" s="24" t="s">
        <v>459</v>
      </c>
      <c r="AD111" s="17">
        <v>2647.0</v>
      </c>
      <c r="AE111" s="27" t="s">
        <v>460</v>
      </c>
      <c r="AF111" s="39" t="str">
        <f t="shared" si="1"/>
        <v>Buenos Aires, Argentina</v>
      </c>
      <c r="AG111" s="39">
        <f t="shared" si="2"/>
        <v>2</v>
      </c>
      <c r="AH111" s="47">
        <f t="shared" si="3"/>
        <v>0</v>
      </c>
      <c r="AI111" s="47">
        <f t="shared" si="4"/>
        <v>0</v>
      </c>
      <c r="AJ111" s="46">
        <f t="shared" si="5"/>
        <v>20752</v>
      </c>
      <c r="AK111" s="46">
        <f t="shared" si="6"/>
        <v>20752</v>
      </c>
      <c r="AL111" s="48"/>
      <c r="AM111" s="48"/>
    </row>
    <row r="112">
      <c r="A112" s="39">
        <v>111.0</v>
      </c>
      <c r="B112" s="40">
        <v>43746.0</v>
      </c>
      <c r="C112" s="17">
        <v>102019.0</v>
      </c>
      <c r="D112" s="41" t="s">
        <v>461</v>
      </c>
      <c r="E112" s="39" t="s">
        <v>38</v>
      </c>
      <c r="F112" s="41" t="s">
        <v>77</v>
      </c>
      <c r="G112" s="39" t="s">
        <v>64</v>
      </c>
      <c r="H112" s="39" t="s">
        <v>41</v>
      </c>
      <c r="I112" s="39" t="s">
        <v>42</v>
      </c>
      <c r="J112" s="43"/>
      <c r="K112" s="42">
        <v>1.0</v>
      </c>
      <c r="L112" s="43"/>
      <c r="M112" s="43"/>
      <c r="N112" s="43"/>
      <c r="O112" s="43"/>
      <c r="P112" s="43"/>
      <c r="Q112" s="44"/>
      <c r="R112" s="44"/>
      <c r="S112" s="39" t="s">
        <v>137</v>
      </c>
      <c r="T112" s="39" t="s">
        <v>66</v>
      </c>
      <c r="U112" s="39" t="s">
        <v>53</v>
      </c>
      <c r="V112" s="39" t="s">
        <v>78</v>
      </c>
      <c r="W112" s="45"/>
      <c r="X112" s="45"/>
      <c r="Y112" s="45"/>
      <c r="Z112" s="45"/>
      <c r="AA112" s="46">
        <v>2954.0</v>
      </c>
      <c r="AB112" s="46">
        <v>7876.0</v>
      </c>
      <c r="AC112" s="24" t="s">
        <v>462</v>
      </c>
      <c r="AD112" s="81">
        <v>3539.0</v>
      </c>
      <c r="AE112" s="82" t="s">
        <v>463</v>
      </c>
      <c r="AF112" s="39" t="str">
        <f t="shared" si="1"/>
        <v>Buenos Aires, Argentina</v>
      </c>
      <c r="AG112" s="39">
        <f t="shared" si="2"/>
        <v>1</v>
      </c>
      <c r="AH112" s="47">
        <f t="shared" si="3"/>
        <v>0</v>
      </c>
      <c r="AI112" s="47">
        <f t="shared" si="4"/>
        <v>0</v>
      </c>
      <c r="AJ112" s="46">
        <f t="shared" si="5"/>
        <v>10830</v>
      </c>
      <c r="AK112" s="46">
        <f t="shared" si="6"/>
        <v>10830</v>
      </c>
      <c r="AL112" s="48"/>
      <c r="AM112" s="48"/>
    </row>
    <row r="113">
      <c r="A113" s="39">
        <v>112.0</v>
      </c>
      <c r="B113" s="40">
        <v>43761.0</v>
      </c>
      <c r="C113" s="17">
        <v>102019.0</v>
      </c>
      <c r="D113" s="41" t="s">
        <v>421</v>
      </c>
      <c r="E113" s="39" t="s">
        <v>38</v>
      </c>
      <c r="F113" s="41" t="s">
        <v>280</v>
      </c>
      <c r="G113" s="39" t="s">
        <v>64</v>
      </c>
      <c r="H113" s="39" t="s">
        <v>41</v>
      </c>
      <c r="I113" s="39" t="s">
        <v>42</v>
      </c>
      <c r="J113" s="42">
        <v>1.0</v>
      </c>
      <c r="K113" s="43"/>
      <c r="L113" s="43"/>
      <c r="M113" s="43"/>
      <c r="N113" s="43"/>
      <c r="O113" s="43"/>
      <c r="P113" s="43"/>
      <c r="Q113" s="44"/>
      <c r="R113" s="44"/>
      <c r="S113" s="39" t="s">
        <v>65</v>
      </c>
      <c r="T113" s="39" t="s">
        <v>66</v>
      </c>
      <c r="U113" s="39" t="s">
        <v>67</v>
      </c>
      <c r="V113" s="39" t="s">
        <v>399</v>
      </c>
      <c r="W113" s="45"/>
      <c r="X113" s="45"/>
      <c r="Y113" s="45"/>
      <c r="Z113" s="45"/>
      <c r="AA113" s="46">
        <v>4042.0</v>
      </c>
      <c r="AB113" s="46">
        <v>0.0</v>
      </c>
      <c r="AC113" s="24" t="s">
        <v>464</v>
      </c>
      <c r="AD113" s="17">
        <v>3657.0</v>
      </c>
      <c r="AE113" s="27" t="s">
        <v>465</v>
      </c>
      <c r="AF113" s="39" t="str">
        <f t="shared" si="1"/>
        <v>Buenos Aires, Argentina</v>
      </c>
      <c r="AG113" s="39">
        <f t="shared" si="2"/>
        <v>1</v>
      </c>
      <c r="AH113" s="47">
        <f t="shared" si="3"/>
        <v>0</v>
      </c>
      <c r="AI113" s="47">
        <f t="shared" si="4"/>
        <v>0</v>
      </c>
      <c r="AJ113" s="46">
        <f t="shared" si="5"/>
        <v>4042</v>
      </c>
      <c r="AK113" s="46">
        <f t="shared" si="6"/>
        <v>4042</v>
      </c>
      <c r="AL113" s="48"/>
      <c r="AM113" s="48"/>
    </row>
    <row r="114">
      <c r="A114" s="39">
        <v>113.0</v>
      </c>
      <c r="B114" s="40">
        <v>43762.0</v>
      </c>
      <c r="C114" s="17">
        <v>102019.0</v>
      </c>
      <c r="D114" s="41" t="s">
        <v>466</v>
      </c>
      <c r="E114" s="39" t="s">
        <v>38</v>
      </c>
      <c r="F114" s="41" t="s">
        <v>88</v>
      </c>
      <c r="G114" s="39" t="s">
        <v>64</v>
      </c>
      <c r="H114" s="39" t="s">
        <v>41</v>
      </c>
      <c r="I114" s="39" t="s">
        <v>42</v>
      </c>
      <c r="J114" s="42">
        <v>1.0</v>
      </c>
      <c r="K114" s="43"/>
      <c r="L114" s="43"/>
      <c r="M114" s="42">
        <v>1.0</v>
      </c>
      <c r="N114" s="43"/>
      <c r="O114" s="43"/>
      <c r="P114" s="43"/>
      <c r="Q114" s="44"/>
      <c r="R114" s="44"/>
      <c r="S114" s="39" t="s">
        <v>65</v>
      </c>
      <c r="T114" s="39" t="s">
        <v>66</v>
      </c>
      <c r="U114" s="39" t="s">
        <v>99</v>
      </c>
      <c r="V114" s="39" t="s">
        <v>84</v>
      </c>
      <c r="W114" s="45"/>
      <c r="X114" s="45"/>
      <c r="Y114" s="45"/>
      <c r="Z114" s="45"/>
      <c r="AA114" s="46">
        <v>6615.0</v>
      </c>
      <c r="AB114" s="46">
        <v>16170.0</v>
      </c>
      <c r="AC114" s="24" t="s">
        <v>467</v>
      </c>
      <c r="AD114" s="17">
        <v>3665.0</v>
      </c>
      <c r="AE114" s="27" t="s">
        <v>468</v>
      </c>
      <c r="AF114" s="39" t="str">
        <f t="shared" si="1"/>
        <v>Buenos Aires, Argentina</v>
      </c>
      <c r="AG114" s="39">
        <f t="shared" si="2"/>
        <v>2</v>
      </c>
      <c r="AH114" s="47">
        <f t="shared" si="3"/>
        <v>0</v>
      </c>
      <c r="AI114" s="47">
        <f t="shared" si="4"/>
        <v>0</v>
      </c>
      <c r="AJ114" s="46">
        <f t="shared" si="5"/>
        <v>22785</v>
      </c>
      <c r="AK114" s="46">
        <f t="shared" si="6"/>
        <v>22785</v>
      </c>
      <c r="AL114" s="48"/>
      <c r="AM114" s="48"/>
    </row>
    <row r="115">
      <c r="A115" s="39">
        <v>114.0</v>
      </c>
      <c r="B115" s="40">
        <v>43763.0</v>
      </c>
      <c r="C115" s="17">
        <v>102019.0</v>
      </c>
      <c r="D115" s="41" t="s">
        <v>469</v>
      </c>
      <c r="E115" s="39" t="s">
        <v>38</v>
      </c>
      <c r="F115" s="41" t="s">
        <v>284</v>
      </c>
      <c r="G115" s="39" t="s">
        <v>40</v>
      </c>
      <c r="H115" s="39" t="s">
        <v>41</v>
      </c>
      <c r="I115" s="39" t="s">
        <v>42</v>
      </c>
      <c r="J115" s="42">
        <v>2.0</v>
      </c>
      <c r="K115" s="43"/>
      <c r="L115" s="43"/>
      <c r="M115" s="43"/>
      <c r="N115" s="43"/>
      <c r="O115" s="43"/>
      <c r="P115" s="43"/>
      <c r="Q115" s="44"/>
      <c r="R115" s="44"/>
      <c r="S115" s="39" t="s">
        <v>114</v>
      </c>
      <c r="T115" s="39" t="s">
        <v>73</v>
      </c>
      <c r="U115" s="39" t="s">
        <v>45</v>
      </c>
      <c r="V115" s="39" t="s">
        <v>78</v>
      </c>
      <c r="W115" s="45"/>
      <c r="X115" s="45"/>
      <c r="Y115" s="45"/>
      <c r="Z115" s="45"/>
      <c r="AA115" s="46">
        <v>9163.0</v>
      </c>
      <c r="AB115" s="46">
        <v>32340.0</v>
      </c>
      <c r="AC115" s="24" t="s">
        <v>470</v>
      </c>
      <c r="AD115" s="81">
        <v>3577.0</v>
      </c>
      <c r="AE115" s="82" t="s">
        <v>471</v>
      </c>
      <c r="AF115" s="39" t="str">
        <f t="shared" si="1"/>
        <v>Tierra de Fuego, Argentina</v>
      </c>
      <c r="AG115" s="39">
        <f t="shared" si="2"/>
        <v>2</v>
      </c>
      <c r="AH115" s="47">
        <f t="shared" si="3"/>
        <v>0</v>
      </c>
      <c r="AI115" s="47">
        <f t="shared" si="4"/>
        <v>0</v>
      </c>
      <c r="AJ115" s="46">
        <f t="shared" si="5"/>
        <v>41503</v>
      </c>
      <c r="AK115" s="46">
        <f t="shared" si="6"/>
        <v>41503</v>
      </c>
      <c r="AL115" s="48"/>
      <c r="AM115" s="48"/>
    </row>
    <row r="116">
      <c r="A116" s="39">
        <v>115.0</v>
      </c>
      <c r="B116" s="40">
        <v>43769.0</v>
      </c>
      <c r="C116" s="17">
        <v>102019.0</v>
      </c>
      <c r="D116" s="41" t="s">
        <v>472</v>
      </c>
      <c r="E116" s="39" t="s">
        <v>38</v>
      </c>
      <c r="F116" s="41" t="s">
        <v>473</v>
      </c>
      <c r="G116" s="39" t="s">
        <v>40</v>
      </c>
      <c r="H116" s="39" t="s">
        <v>41</v>
      </c>
      <c r="I116" s="39" t="s">
        <v>42</v>
      </c>
      <c r="J116" s="42">
        <v>3.0</v>
      </c>
      <c r="K116" s="43"/>
      <c r="L116" s="43"/>
      <c r="M116" s="42">
        <v>1.0</v>
      </c>
      <c r="N116" s="43"/>
      <c r="O116" s="43"/>
      <c r="P116" s="43"/>
      <c r="Q116" s="44"/>
      <c r="R116" s="44"/>
      <c r="S116" s="39" t="s">
        <v>137</v>
      </c>
      <c r="T116" s="39" t="s">
        <v>66</v>
      </c>
      <c r="U116" s="39" t="s">
        <v>53</v>
      </c>
      <c r="V116" s="39" t="s">
        <v>78</v>
      </c>
      <c r="W116" s="45"/>
      <c r="X116" s="45"/>
      <c r="Y116" s="45"/>
      <c r="Z116" s="45"/>
      <c r="AA116" s="46">
        <v>15410.0</v>
      </c>
      <c r="AB116" s="46">
        <v>48510.0</v>
      </c>
      <c r="AC116" s="24" t="s">
        <v>474</v>
      </c>
      <c r="AD116" s="81">
        <v>596.0</v>
      </c>
      <c r="AE116" s="82" t="s">
        <v>475</v>
      </c>
      <c r="AF116" s="39" t="str">
        <f t="shared" si="1"/>
        <v>Buenos Aires, Argentina</v>
      </c>
      <c r="AG116" s="39">
        <f t="shared" si="2"/>
        <v>4</v>
      </c>
      <c r="AH116" s="47">
        <f t="shared" si="3"/>
        <v>0</v>
      </c>
      <c r="AI116" s="47">
        <f t="shared" si="4"/>
        <v>0</v>
      </c>
      <c r="AJ116" s="46">
        <f t="shared" si="5"/>
        <v>63920</v>
      </c>
      <c r="AK116" s="46">
        <f t="shared" si="6"/>
        <v>63920</v>
      </c>
      <c r="AL116" s="48"/>
      <c r="AM116" s="48"/>
    </row>
    <row r="117">
      <c r="A117" s="39">
        <v>116.0</v>
      </c>
      <c r="B117" s="40">
        <v>43769.0</v>
      </c>
      <c r="C117" s="17">
        <v>102019.0</v>
      </c>
      <c r="D117" s="41" t="s">
        <v>476</v>
      </c>
      <c r="E117" s="39" t="s">
        <v>38</v>
      </c>
      <c r="F117" s="41" t="s">
        <v>88</v>
      </c>
      <c r="G117" s="39" t="s">
        <v>40</v>
      </c>
      <c r="H117" s="39" t="s">
        <v>41</v>
      </c>
      <c r="I117" s="39" t="s">
        <v>42</v>
      </c>
      <c r="J117" s="42">
        <v>1.0</v>
      </c>
      <c r="K117" s="43"/>
      <c r="L117" s="43"/>
      <c r="M117" s="42">
        <v>1.0</v>
      </c>
      <c r="N117" s="43"/>
      <c r="O117" s="43"/>
      <c r="P117" s="43"/>
      <c r="Q117" s="44"/>
      <c r="R117" s="44"/>
      <c r="S117" s="39" t="s">
        <v>141</v>
      </c>
      <c r="T117" s="39" t="s">
        <v>66</v>
      </c>
      <c r="U117" s="39" t="s">
        <v>342</v>
      </c>
      <c r="V117" s="39" t="s">
        <v>59</v>
      </c>
      <c r="W117" s="45"/>
      <c r="X117" s="45"/>
      <c r="Y117" s="45"/>
      <c r="Z117" s="45"/>
      <c r="AA117" s="46">
        <v>4582.0</v>
      </c>
      <c r="AB117" s="46">
        <v>16170.0</v>
      </c>
      <c r="AC117" s="24" t="s">
        <v>477</v>
      </c>
      <c r="AD117" s="17">
        <v>3616.0</v>
      </c>
      <c r="AE117" s="27" t="s">
        <v>478</v>
      </c>
      <c r="AF117" s="39" t="str">
        <f t="shared" si="1"/>
        <v>Buenos Aires, Argentina</v>
      </c>
      <c r="AG117" s="39">
        <f t="shared" si="2"/>
        <v>2</v>
      </c>
      <c r="AH117" s="47">
        <f t="shared" si="3"/>
        <v>0</v>
      </c>
      <c r="AI117" s="47">
        <f t="shared" si="4"/>
        <v>0</v>
      </c>
      <c r="AJ117" s="46">
        <f t="shared" si="5"/>
        <v>20752</v>
      </c>
      <c r="AK117" s="46">
        <f t="shared" si="6"/>
        <v>20752</v>
      </c>
      <c r="AL117" s="48"/>
      <c r="AM117" s="48"/>
    </row>
    <row r="118">
      <c r="A118" s="83">
        <v>117.0</v>
      </c>
      <c r="B118" s="84">
        <v>43777.0</v>
      </c>
      <c r="C118" s="17">
        <v>112019.0</v>
      </c>
      <c r="D118" s="85" t="s">
        <v>479</v>
      </c>
      <c r="E118" s="83" t="s">
        <v>38</v>
      </c>
      <c r="F118" s="85" t="s">
        <v>280</v>
      </c>
      <c r="G118" s="83" t="s">
        <v>64</v>
      </c>
      <c r="H118" s="83" t="s">
        <v>41</v>
      </c>
      <c r="I118" s="83" t="s">
        <v>42</v>
      </c>
      <c r="J118" s="86">
        <v>1.0</v>
      </c>
      <c r="K118" s="87"/>
      <c r="L118" s="87"/>
      <c r="M118" s="87"/>
      <c r="N118" s="87"/>
      <c r="O118" s="87"/>
      <c r="P118" s="87"/>
      <c r="Q118" s="88"/>
      <c r="R118" s="88"/>
      <c r="S118" s="83" t="s">
        <v>65</v>
      </c>
      <c r="T118" s="83" t="s">
        <v>66</v>
      </c>
      <c r="U118" s="83" t="s">
        <v>99</v>
      </c>
      <c r="V118" s="83" t="s">
        <v>84</v>
      </c>
      <c r="W118" s="89"/>
      <c r="X118" s="89"/>
      <c r="Y118" s="89"/>
      <c r="Z118" s="89"/>
      <c r="AA118" s="90">
        <v>3087.0</v>
      </c>
      <c r="AB118" s="90">
        <v>0.0</v>
      </c>
      <c r="AC118" s="24" t="s">
        <v>480</v>
      </c>
      <c r="AD118" s="17">
        <v>3701.0</v>
      </c>
      <c r="AE118" s="27" t="s">
        <v>481</v>
      </c>
      <c r="AF118" s="83" t="str">
        <f t="shared" si="1"/>
        <v>Buenos Aires, Argentina</v>
      </c>
      <c r="AG118" s="83">
        <f t="shared" si="2"/>
        <v>1</v>
      </c>
      <c r="AH118" s="91">
        <f t="shared" si="3"/>
        <v>0</v>
      </c>
      <c r="AI118" s="91">
        <f t="shared" si="4"/>
        <v>0</v>
      </c>
      <c r="AJ118" s="90">
        <f t="shared" si="5"/>
        <v>3087</v>
      </c>
      <c r="AK118" s="90">
        <f t="shared" si="6"/>
        <v>3087</v>
      </c>
      <c r="AL118" s="92"/>
      <c r="AM118" s="92"/>
    </row>
    <row r="119">
      <c r="A119" s="83">
        <v>118.0</v>
      </c>
      <c r="B119" s="84">
        <v>43777.0</v>
      </c>
      <c r="C119" s="17">
        <v>112019.0</v>
      </c>
      <c r="D119" s="85" t="s">
        <v>482</v>
      </c>
      <c r="E119" s="83" t="s">
        <v>38</v>
      </c>
      <c r="F119" s="85" t="s">
        <v>280</v>
      </c>
      <c r="G119" s="83" t="s">
        <v>64</v>
      </c>
      <c r="H119" s="83" t="s">
        <v>41</v>
      </c>
      <c r="I119" s="83" t="s">
        <v>42</v>
      </c>
      <c r="J119" s="86">
        <v>1.0</v>
      </c>
      <c r="K119" s="87"/>
      <c r="L119" s="87"/>
      <c r="M119" s="87"/>
      <c r="N119" s="87"/>
      <c r="O119" s="87"/>
      <c r="P119" s="87"/>
      <c r="Q119" s="88"/>
      <c r="R119" s="88"/>
      <c r="S119" s="83" t="s">
        <v>65</v>
      </c>
      <c r="T119" s="83" t="s">
        <v>66</v>
      </c>
      <c r="U119" s="83" t="s">
        <v>67</v>
      </c>
      <c r="V119" s="83" t="s">
        <v>84</v>
      </c>
      <c r="W119" s="89"/>
      <c r="X119" s="89"/>
      <c r="Y119" s="89"/>
      <c r="Z119" s="89"/>
      <c r="AA119" s="90">
        <v>3638.0</v>
      </c>
      <c r="AB119" s="90">
        <v>0.0</v>
      </c>
      <c r="AC119" s="24" t="s">
        <v>483</v>
      </c>
      <c r="AD119" s="17">
        <v>3703.0</v>
      </c>
      <c r="AE119" s="27" t="s">
        <v>484</v>
      </c>
      <c r="AF119" s="83" t="str">
        <f t="shared" si="1"/>
        <v>Buenos Aires, Argentina</v>
      </c>
      <c r="AG119" s="83">
        <f t="shared" si="2"/>
        <v>1</v>
      </c>
      <c r="AH119" s="91">
        <f t="shared" si="3"/>
        <v>0</v>
      </c>
      <c r="AI119" s="91">
        <f t="shared" si="4"/>
        <v>0</v>
      </c>
      <c r="AJ119" s="90">
        <f t="shared" si="5"/>
        <v>3638</v>
      </c>
      <c r="AK119" s="90">
        <f t="shared" si="6"/>
        <v>3638</v>
      </c>
      <c r="AL119" s="92"/>
      <c r="AM119" s="92"/>
    </row>
    <row r="120">
      <c r="A120" s="83">
        <v>119.0</v>
      </c>
      <c r="B120" s="84">
        <v>43781.0</v>
      </c>
      <c r="C120" s="17">
        <v>112019.0</v>
      </c>
      <c r="D120" s="85" t="s">
        <v>485</v>
      </c>
      <c r="E120" s="83" t="s">
        <v>38</v>
      </c>
      <c r="F120" s="85" t="s">
        <v>71</v>
      </c>
      <c r="G120" s="83" t="s">
        <v>40</v>
      </c>
      <c r="H120" s="83" t="s">
        <v>41</v>
      </c>
      <c r="I120" s="83" t="s">
        <v>42</v>
      </c>
      <c r="J120" s="86">
        <v>1.0</v>
      </c>
      <c r="K120" s="87"/>
      <c r="L120" s="87"/>
      <c r="M120" s="87"/>
      <c r="N120" s="87"/>
      <c r="O120" s="87"/>
      <c r="P120" s="87"/>
      <c r="Q120" s="88"/>
      <c r="R120" s="88"/>
      <c r="S120" s="83" t="s">
        <v>65</v>
      </c>
      <c r="T120" s="83" t="s">
        <v>66</v>
      </c>
      <c r="U120" s="83" t="s">
        <v>53</v>
      </c>
      <c r="V120" s="83" t="s">
        <v>84</v>
      </c>
      <c r="W120" s="89"/>
      <c r="X120" s="89"/>
      <c r="Y120" s="89"/>
      <c r="Z120" s="89"/>
      <c r="AA120" s="90">
        <v>4582.0</v>
      </c>
      <c r="AB120" s="90">
        <v>16170.0</v>
      </c>
      <c r="AC120" s="24" t="s">
        <v>486</v>
      </c>
      <c r="AD120" s="17">
        <v>3693.0</v>
      </c>
      <c r="AE120" s="27" t="s">
        <v>487</v>
      </c>
      <c r="AF120" s="83" t="str">
        <f t="shared" si="1"/>
        <v>Buenos Aires, Argentina</v>
      </c>
      <c r="AG120" s="83">
        <f t="shared" si="2"/>
        <v>1</v>
      </c>
      <c r="AH120" s="91">
        <f t="shared" si="3"/>
        <v>0</v>
      </c>
      <c r="AI120" s="91">
        <f t="shared" si="4"/>
        <v>0</v>
      </c>
      <c r="AJ120" s="90">
        <f t="shared" si="5"/>
        <v>20752</v>
      </c>
      <c r="AK120" s="90">
        <f t="shared" si="6"/>
        <v>20752</v>
      </c>
      <c r="AL120" s="92"/>
      <c r="AM120" s="92"/>
    </row>
    <row r="121">
      <c r="A121" s="83">
        <v>120.0</v>
      </c>
      <c r="B121" s="84">
        <v>43784.0</v>
      </c>
      <c r="C121" s="17">
        <v>112019.0</v>
      </c>
      <c r="D121" s="85" t="s">
        <v>488</v>
      </c>
      <c r="E121" s="83" t="s">
        <v>38</v>
      </c>
      <c r="F121" s="85" t="s">
        <v>489</v>
      </c>
      <c r="G121" s="83" t="s">
        <v>40</v>
      </c>
      <c r="H121" s="83" t="s">
        <v>41</v>
      </c>
      <c r="I121" s="83" t="s">
        <v>42</v>
      </c>
      <c r="J121" s="86">
        <v>2.0</v>
      </c>
      <c r="K121" s="86">
        <v>2.0</v>
      </c>
      <c r="L121" s="87"/>
      <c r="M121" s="86">
        <v>1.0</v>
      </c>
      <c r="N121" s="87"/>
      <c r="O121" s="87"/>
      <c r="P121" s="87"/>
      <c r="Q121" s="88"/>
      <c r="R121" s="88"/>
      <c r="S121" s="83" t="s">
        <v>65</v>
      </c>
      <c r="T121" s="83" t="s">
        <v>58</v>
      </c>
      <c r="U121" s="83" t="s">
        <v>45</v>
      </c>
      <c r="V121" s="83" t="s">
        <v>217</v>
      </c>
      <c r="W121" s="89"/>
      <c r="X121" s="89"/>
      <c r="Y121" s="89"/>
      <c r="Z121" s="89"/>
      <c r="AA121" s="90">
        <v>12910.3</v>
      </c>
      <c r="AB121" s="90">
        <v>53706.0</v>
      </c>
      <c r="AC121" s="24" t="s">
        <v>490</v>
      </c>
      <c r="AD121" s="17">
        <v>3415.0</v>
      </c>
      <c r="AE121" s="27" t="s">
        <v>491</v>
      </c>
      <c r="AF121" s="83" t="str">
        <f t="shared" si="1"/>
        <v>Córdoba, Argentina</v>
      </c>
      <c r="AG121" s="83">
        <f t="shared" si="2"/>
        <v>5</v>
      </c>
      <c r="AH121" s="91">
        <f t="shared" si="3"/>
        <v>0</v>
      </c>
      <c r="AI121" s="91">
        <f t="shared" si="4"/>
        <v>0</v>
      </c>
      <c r="AJ121" s="90">
        <f t="shared" si="5"/>
        <v>66616.3</v>
      </c>
      <c r="AK121" s="90">
        <f t="shared" si="6"/>
        <v>66616.3</v>
      </c>
      <c r="AL121" s="92"/>
      <c r="AM121" s="92"/>
    </row>
    <row r="122">
      <c r="A122" s="83">
        <v>121.0</v>
      </c>
      <c r="B122" s="84">
        <v>43789.0</v>
      </c>
      <c r="C122" s="17">
        <v>112019.0</v>
      </c>
      <c r="D122" s="85" t="s">
        <v>492</v>
      </c>
      <c r="E122" s="83" t="s">
        <v>38</v>
      </c>
      <c r="F122" s="85" t="s">
        <v>93</v>
      </c>
      <c r="G122" s="83" t="s">
        <v>40</v>
      </c>
      <c r="H122" s="83" t="s">
        <v>41</v>
      </c>
      <c r="I122" s="83" t="s">
        <v>42</v>
      </c>
      <c r="J122" s="86">
        <v>2.0</v>
      </c>
      <c r="K122" s="87"/>
      <c r="L122" s="87"/>
      <c r="M122" s="86">
        <v>1.0</v>
      </c>
      <c r="N122" s="87"/>
      <c r="O122" s="87"/>
      <c r="P122" s="87"/>
      <c r="Q122" s="88"/>
      <c r="R122" s="88"/>
      <c r="S122" s="83" t="s">
        <v>276</v>
      </c>
      <c r="T122" s="83" t="s">
        <v>83</v>
      </c>
      <c r="U122" s="83" t="s">
        <v>163</v>
      </c>
      <c r="V122" s="83" t="s">
        <v>399</v>
      </c>
      <c r="W122" s="89"/>
      <c r="X122" s="89"/>
      <c r="Y122" s="89"/>
      <c r="Z122" s="89"/>
      <c r="AA122" s="90">
        <v>9555.0</v>
      </c>
      <c r="AB122" s="90">
        <v>38220.0</v>
      </c>
      <c r="AC122" s="24" t="s">
        <v>493</v>
      </c>
      <c r="AD122" s="17">
        <v>3589.0</v>
      </c>
      <c r="AE122" s="27" t="s">
        <v>494</v>
      </c>
      <c r="AF122" s="83" t="str">
        <f t="shared" si="1"/>
        <v>Capital Federal, Argentina</v>
      </c>
      <c r="AG122" s="83">
        <f t="shared" si="2"/>
        <v>3</v>
      </c>
      <c r="AH122" s="91">
        <f t="shared" si="3"/>
        <v>0</v>
      </c>
      <c r="AI122" s="91">
        <f t="shared" si="4"/>
        <v>0</v>
      </c>
      <c r="AJ122" s="90">
        <f t="shared" si="5"/>
        <v>47775</v>
      </c>
      <c r="AK122" s="90">
        <f t="shared" si="6"/>
        <v>47775</v>
      </c>
      <c r="AL122" s="92"/>
      <c r="AM122" s="92"/>
    </row>
    <row r="123">
      <c r="A123" s="83">
        <v>122.0</v>
      </c>
      <c r="B123" s="84">
        <v>43790.0</v>
      </c>
      <c r="C123" s="17">
        <v>112019.0</v>
      </c>
      <c r="D123" s="85" t="s">
        <v>495</v>
      </c>
      <c r="E123" s="83" t="s">
        <v>38</v>
      </c>
      <c r="F123" s="85" t="s">
        <v>496</v>
      </c>
      <c r="G123" s="83" t="s">
        <v>40</v>
      </c>
      <c r="H123" s="83" t="s">
        <v>41</v>
      </c>
      <c r="I123" s="83" t="s">
        <v>42</v>
      </c>
      <c r="J123" s="86">
        <v>1.0</v>
      </c>
      <c r="K123" s="87"/>
      <c r="L123" s="87"/>
      <c r="M123" s="86">
        <v>1.0</v>
      </c>
      <c r="N123" s="87"/>
      <c r="O123" s="87"/>
      <c r="P123" s="87"/>
      <c r="Q123" s="88"/>
      <c r="R123" s="88"/>
      <c r="S123" s="83" t="s">
        <v>137</v>
      </c>
      <c r="T123" s="83" t="s">
        <v>497</v>
      </c>
      <c r="U123" s="83" t="s">
        <v>45</v>
      </c>
      <c r="V123" s="83" t="s">
        <v>217</v>
      </c>
      <c r="W123" s="89"/>
      <c r="X123" s="89"/>
      <c r="Y123" s="89"/>
      <c r="Z123" s="89"/>
      <c r="AA123" s="90">
        <v>4042.5</v>
      </c>
      <c r="AB123" s="90">
        <v>16170.0</v>
      </c>
      <c r="AC123" s="24" t="s">
        <v>498</v>
      </c>
      <c r="AD123" s="17">
        <v>3393.0</v>
      </c>
      <c r="AE123" s="27" t="s">
        <v>499</v>
      </c>
      <c r="AF123" s="83" t="str">
        <f t="shared" si="1"/>
        <v>Tucumán, Argentina</v>
      </c>
      <c r="AG123" s="83">
        <f t="shared" si="2"/>
        <v>2</v>
      </c>
      <c r="AH123" s="91">
        <f t="shared" si="3"/>
        <v>0</v>
      </c>
      <c r="AI123" s="91">
        <f t="shared" si="4"/>
        <v>0</v>
      </c>
      <c r="AJ123" s="90">
        <f t="shared" si="5"/>
        <v>20212.5</v>
      </c>
      <c r="AK123" s="90">
        <f t="shared" si="6"/>
        <v>20212.5</v>
      </c>
      <c r="AL123" s="92"/>
      <c r="AM123" s="92"/>
    </row>
    <row r="124">
      <c r="A124" s="83">
        <v>123.0</v>
      </c>
      <c r="B124" s="84">
        <v>43794.0</v>
      </c>
      <c r="C124" s="17">
        <v>112019.0</v>
      </c>
      <c r="D124" s="85" t="s">
        <v>500</v>
      </c>
      <c r="E124" s="83" t="s">
        <v>38</v>
      </c>
      <c r="F124" s="85" t="s">
        <v>501</v>
      </c>
      <c r="G124" s="83" t="s">
        <v>64</v>
      </c>
      <c r="H124" s="83" t="s">
        <v>41</v>
      </c>
      <c r="I124" s="83" t="s">
        <v>42</v>
      </c>
      <c r="J124" s="86">
        <v>3.0</v>
      </c>
      <c r="K124" s="87"/>
      <c r="L124" s="87"/>
      <c r="M124" s="87"/>
      <c r="N124" s="87"/>
      <c r="O124" s="87"/>
      <c r="P124" s="87"/>
      <c r="Q124" s="88"/>
      <c r="R124" s="88"/>
      <c r="S124" s="83" t="s">
        <v>65</v>
      </c>
      <c r="T124" s="83" t="s">
        <v>66</v>
      </c>
      <c r="U124" s="83" t="s">
        <v>99</v>
      </c>
      <c r="V124" s="83" t="s">
        <v>59</v>
      </c>
      <c r="W124" s="89"/>
      <c r="X124" s="89"/>
      <c r="Y124" s="89"/>
      <c r="Z124" s="89"/>
      <c r="AA124" s="90">
        <v>12170.0</v>
      </c>
      <c r="AB124" s="90">
        <v>0.0</v>
      </c>
      <c r="AC124" s="24" t="s">
        <v>228</v>
      </c>
      <c r="AD124" s="17">
        <v>2723.0</v>
      </c>
      <c r="AE124" s="27" t="s">
        <v>229</v>
      </c>
      <c r="AF124" s="83" t="str">
        <f t="shared" si="1"/>
        <v>Buenos Aires, Argentina</v>
      </c>
      <c r="AG124" s="83">
        <f t="shared" si="2"/>
        <v>3</v>
      </c>
      <c r="AH124" s="91">
        <f t="shared" si="3"/>
        <v>0</v>
      </c>
      <c r="AI124" s="91">
        <f t="shared" si="4"/>
        <v>0</v>
      </c>
      <c r="AJ124" s="90">
        <f t="shared" si="5"/>
        <v>12170</v>
      </c>
      <c r="AK124" s="90">
        <f t="shared" si="6"/>
        <v>12170</v>
      </c>
      <c r="AL124" s="92"/>
      <c r="AM124" s="92"/>
    </row>
    <row r="125">
      <c r="A125" s="83">
        <v>124.0</v>
      </c>
      <c r="B125" s="84">
        <v>43794.0</v>
      </c>
      <c r="C125" s="17">
        <v>112019.0</v>
      </c>
      <c r="D125" s="85" t="s">
        <v>502</v>
      </c>
      <c r="E125" s="83" t="s">
        <v>38</v>
      </c>
      <c r="F125" s="85" t="s">
        <v>503</v>
      </c>
      <c r="G125" s="83" t="s">
        <v>64</v>
      </c>
      <c r="H125" s="83" t="s">
        <v>41</v>
      </c>
      <c r="I125" s="83" t="s">
        <v>42</v>
      </c>
      <c r="J125" s="87"/>
      <c r="K125" s="87"/>
      <c r="L125" s="87"/>
      <c r="M125" s="87"/>
      <c r="N125" s="87"/>
      <c r="O125" s="87"/>
      <c r="P125" s="86">
        <v>1.0</v>
      </c>
      <c r="Q125" s="88"/>
      <c r="R125" s="88"/>
      <c r="S125" s="83" t="s">
        <v>65</v>
      </c>
      <c r="T125" s="83" t="s">
        <v>66</v>
      </c>
      <c r="U125" s="83" t="s">
        <v>53</v>
      </c>
      <c r="V125" s="83" t="s">
        <v>84</v>
      </c>
      <c r="W125" s="90">
        <v>6491.0</v>
      </c>
      <c r="X125" s="89"/>
      <c r="Y125" s="89"/>
      <c r="Z125" s="89"/>
      <c r="AA125" s="90">
        <v>919.0</v>
      </c>
      <c r="AB125" s="90">
        <v>0.0</v>
      </c>
      <c r="AC125" s="24" t="s">
        <v>504</v>
      </c>
      <c r="AD125" s="17">
        <v>3335.0</v>
      </c>
      <c r="AE125" s="27" t="s">
        <v>505</v>
      </c>
      <c r="AF125" s="83" t="str">
        <f t="shared" si="1"/>
        <v>Buenos Aires, Argentina</v>
      </c>
      <c r="AG125" s="83">
        <f t="shared" si="2"/>
        <v>1</v>
      </c>
      <c r="AH125" s="91">
        <f t="shared" si="3"/>
        <v>6491</v>
      </c>
      <c r="AI125" s="91">
        <f t="shared" si="4"/>
        <v>0</v>
      </c>
      <c r="AJ125" s="90">
        <f t="shared" si="5"/>
        <v>919</v>
      </c>
      <c r="AK125" s="90">
        <f t="shared" si="6"/>
        <v>7410</v>
      </c>
      <c r="AL125" s="92"/>
      <c r="AM125" s="92"/>
    </row>
    <row r="126">
      <c r="A126" s="83">
        <v>125.0</v>
      </c>
      <c r="B126" s="84">
        <v>43794.0</v>
      </c>
      <c r="C126" s="17">
        <v>112019.0</v>
      </c>
      <c r="D126" s="85" t="s">
        <v>506</v>
      </c>
      <c r="E126" s="83" t="s">
        <v>38</v>
      </c>
      <c r="F126" s="85" t="s">
        <v>88</v>
      </c>
      <c r="G126" s="83" t="s">
        <v>40</v>
      </c>
      <c r="H126" s="83" t="s">
        <v>41</v>
      </c>
      <c r="I126" s="83" t="s">
        <v>42</v>
      </c>
      <c r="J126" s="86">
        <v>1.0</v>
      </c>
      <c r="K126" s="87"/>
      <c r="L126" s="87"/>
      <c r="M126" s="87"/>
      <c r="N126" s="87"/>
      <c r="O126" s="87"/>
      <c r="P126" s="87"/>
      <c r="Q126" s="88"/>
      <c r="R126" s="88"/>
      <c r="S126" s="83" t="s">
        <v>114</v>
      </c>
      <c r="T126" s="83" t="s">
        <v>66</v>
      </c>
      <c r="U126" s="83" t="s">
        <v>53</v>
      </c>
      <c r="V126" s="83" t="s">
        <v>46</v>
      </c>
      <c r="W126" s="89"/>
      <c r="X126" s="89"/>
      <c r="Y126" s="89"/>
      <c r="Z126" s="89"/>
      <c r="AA126" s="90">
        <v>4123.35</v>
      </c>
      <c r="AB126" s="90">
        <v>16170.0</v>
      </c>
      <c r="AC126" s="24" t="s">
        <v>507</v>
      </c>
      <c r="AD126" s="17">
        <v>3747.0</v>
      </c>
      <c r="AE126" s="27" t="s">
        <v>508</v>
      </c>
      <c r="AF126" s="83" t="str">
        <f t="shared" si="1"/>
        <v>Buenos Aires, Argentina</v>
      </c>
      <c r="AG126" s="83">
        <f t="shared" si="2"/>
        <v>1</v>
      </c>
      <c r="AH126" s="91">
        <f t="shared" si="3"/>
        <v>0</v>
      </c>
      <c r="AI126" s="91">
        <f t="shared" si="4"/>
        <v>0</v>
      </c>
      <c r="AJ126" s="90">
        <f t="shared" si="5"/>
        <v>20293.35</v>
      </c>
      <c r="AK126" s="90">
        <f t="shared" si="6"/>
        <v>20293.35</v>
      </c>
      <c r="AL126" s="92"/>
      <c r="AM126" s="92"/>
    </row>
    <row r="127">
      <c r="A127" s="83">
        <v>126.0</v>
      </c>
      <c r="B127" s="84">
        <v>43796.0</v>
      </c>
      <c r="C127" s="17">
        <v>112019.0</v>
      </c>
      <c r="D127" s="85" t="s">
        <v>509</v>
      </c>
      <c r="E127" s="83" t="s">
        <v>38</v>
      </c>
      <c r="F127" s="85" t="s">
        <v>510</v>
      </c>
      <c r="G127" s="83" t="s">
        <v>40</v>
      </c>
      <c r="H127" s="83" t="s">
        <v>41</v>
      </c>
      <c r="I127" s="83" t="s">
        <v>42</v>
      </c>
      <c r="J127" s="86">
        <v>2.0</v>
      </c>
      <c r="K127" s="86">
        <v>3.0</v>
      </c>
      <c r="L127" s="87"/>
      <c r="M127" s="86">
        <v>1.0</v>
      </c>
      <c r="N127" s="87"/>
      <c r="O127" s="87"/>
      <c r="P127" s="87"/>
      <c r="Q127" s="88"/>
      <c r="R127" s="88"/>
      <c r="S127" s="83" t="s">
        <v>189</v>
      </c>
      <c r="T127" s="83" t="s">
        <v>52</v>
      </c>
      <c r="U127" s="83" t="s">
        <v>342</v>
      </c>
      <c r="V127" s="83" t="s">
        <v>84</v>
      </c>
      <c r="W127" s="89"/>
      <c r="X127" s="89"/>
      <c r="Y127" s="89"/>
      <c r="Z127" s="89"/>
      <c r="AA127" s="90">
        <v>25414.0</v>
      </c>
      <c r="AB127" s="90">
        <v>88839.0</v>
      </c>
      <c r="AC127" s="24" t="s">
        <v>511</v>
      </c>
      <c r="AD127" s="17">
        <v>3748.0</v>
      </c>
      <c r="AE127" s="27" t="s">
        <v>512</v>
      </c>
      <c r="AF127" s="83" t="str">
        <f t="shared" si="1"/>
        <v>San Luis, Argentina</v>
      </c>
      <c r="AG127" s="83">
        <f t="shared" si="2"/>
        <v>6</v>
      </c>
      <c r="AH127" s="91">
        <f t="shared" si="3"/>
        <v>0</v>
      </c>
      <c r="AI127" s="91">
        <f t="shared" si="4"/>
        <v>0</v>
      </c>
      <c r="AJ127" s="90">
        <f t="shared" si="5"/>
        <v>114253</v>
      </c>
      <c r="AK127" s="90">
        <f t="shared" si="6"/>
        <v>114253</v>
      </c>
      <c r="AL127" s="92"/>
      <c r="AM127" s="92"/>
    </row>
    <row r="128">
      <c r="A128" s="83">
        <v>127.0</v>
      </c>
      <c r="B128" s="84">
        <v>43796.0</v>
      </c>
      <c r="C128" s="17">
        <v>112019.0</v>
      </c>
      <c r="D128" s="85" t="s">
        <v>513</v>
      </c>
      <c r="E128" s="83" t="s">
        <v>38</v>
      </c>
      <c r="F128" s="85" t="s">
        <v>88</v>
      </c>
      <c r="G128" s="83" t="s">
        <v>40</v>
      </c>
      <c r="H128" s="83" t="s">
        <v>41</v>
      </c>
      <c r="I128" s="83" t="s">
        <v>42</v>
      </c>
      <c r="J128" s="86">
        <v>1.0</v>
      </c>
      <c r="K128" s="87"/>
      <c r="L128" s="87"/>
      <c r="M128" s="87"/>
      <c r="N128" s="87"/>
      <c r="O128" s="87"/>
      <c r="P128" s="87"/>
      <c r="Q128" s="88"/>
      <c r="R128" s="88"/>
      <c r="S128" s="83" t="s">
        <v>51</v>
      </c>
      <c r="T128" s="83" t="s">
        <v>148</v>
      </c>
      <c r="U128" s="83" t="s">
        <v>45</v>
      </c>
      <c r="V128" s="83" t="s">
        <v>46</v>
      </c>
      <c r="W128" s="89"/>
      <c r="X128" s="89"/>
      <c r="Y128" s="89"/>
      <c r="Z128" s="89"/>
      <c r="AA128" s="90">
        <v>4123.35</v>
      </c>
      <c r="AB128" s="90">
        <v>0.0</v>
      </c>
      <c r="AC128" s="24" t="s">
        <v>514</v>
      </c>
      <c r="AD128" s="17">
        <v>3715.0</v>
      </c>
      <c r="AE128" s="27" t="s">
        <v>515</v>
      </c>
      <c r="AF128" s="83" t="str">
        <f t="shared" si="1"/>
        <v>Formosa, Argentina</v>
      </c>
      <c r="AG128" s="83">
        <f t="shared" si="2"/>
        <v>1</v>
      </c>
      <c r="AH128" s="91">
        <f t="shared" si="3"/>
        <v>0</v>
      </c>
      <c r="AI128" s="91">
        <f t="shared" si="4"/>
        <v>0</v>
      </c>
      <c r="AJ128" s="90">
        <f t="shared" si="5"/>
        <v>4123.35</v>
      </c>
      <c r="AK128" s="90">
        <f t="shared" si="6"/>
        <v>4123.35</v>
      </c>
      <c r="AL128" s="92"/>
      <c r="AM128" s="92"/>
    </row>
    <row r="129">
      <c r="A129" s="71">
        <v>128.0</v>
      </c>
      <c r="B129" s="72">
        <v>43801.0</v>
      </c>
      <c r="C129" s="17">
        <v>122019.0</v>
      </c>
      <c r="D129" s="73" t="s">
        <v>516</v>
      </c>
      <c r="E129" s="71" t="s">
        <v>38</v>
      </c>
      <c r="F129" s="73" t="s">
        <v>517</v>
      </c>
      <c r="G129" s="71" t="s">
        <v>40</v>
      </c>
      <c r="H129" s="71" t="s">
        <v>41</v>
      </c>
      <c r="I129" s="71" t="s">
        <v>42</v>
      </c>
      <c r="J129" s="74">
        <v>1.0</v>
      </c>
      <c r="K129" s="75"/>
      <c r="L129" s="75"/>
      <c r="M129" s="74">
        <v>1.0</v>
      </c>
      <c r="N129" s="75"/>
      <c r="O129" s="75"/>
      <c r="P129" s="75"/>
      <c r="Q129" s="76"/>
      <c r="R129" s="71">
        <v>2.0</v>
      </c>
      <c r="S129" s="71" t="s">
        <v>189</v>
      </c>
      <c r="T129" s="71" t="s">
        <v>83</v>
      </c>
      <c r="U129" s="71" t="s">
        <v>53</v>
      </c>
      <c r="V129" s="71" t="s">
        <v>84</v>
      </c>
      <c r="W129" s="77"/>
      <c r="X129" s="77"/>
      <c r="Y129" s="77"/>
      <c r="Z129" s="77"/>
      <c r="AA129" s="78">
        <v>6248.0</v>
      </c>
      <c r="AB129" s="78">
        <v>22050.0</v>
      </c>
      <c r="AC129" s="24" t="s">
        <v>518</v>
      </c>
      <c r="AD129" s="17">
        <v>3751.0</v>
      </c>
      <c r="AE129" s="27" t="s">
        <v>519</v>
      </c>
      <c r="AF129" s="71" t="str">
        <f t="shared" si="1"/>
        <v>Capital Federal, Argentina</v>
      </c>
      <c r="AG129" s="71">
        <f t="shared" si="2"/>
        <v>2</v>
      </c>
      <c r="AH129" s="79">
        <f t="shared" si="3"/>
        <v>0</v>
      </c>
      <c r="AI129" s="79">
        <f t="shared" si="4"/>
        <v>0</v>
      </c>
      <c r="AJ129" s="78">
        <f t="shared" si="5"/>
        <v>28298</v>
      </c>
      <c r="AK129" s="78">
        <f t="shared" si="6"/>
        <v>28298</v>
      </c>
      <c r="AL129" s="80"/>
      <c r="AM129" s="80"/>
    </row>
    <row r="130">
      <c r="A130" s="71">
        <v>129.0</v>
      </c>
      <c r="B130" s="72">
        <v>43804.0</v>
      </c>
      <c r="C130" s="17">
        <v>122019.0</v>
      </c>
      <c r="D130" s="73" t="s">
        <v>520</v>
      </c>
      <c r="E130" s="71" t="s">
        <v>38</v>
      </c>
      <c r="F130" s="73" t="s">
        <v>521</v>
      </c>
      <c r="G130" s="71" t="s">
        <v>40</v>
      </c>
      <c r="H130" s="71" t="s">
        <v>41</v>
      </c>
      <c r="I130" s="71" t="s">
        <v>42</v>
      </c>
      <c r="J130" s="74">
        <v>2.0</v>
      </c>
      <c r="K130" s="75"/>
      <c r="L130" s="75"/>
      <c r="M130" s="75"/>
      <c r="N130" s="75"/>
      <c r="O130" s="75"/>
      <c r="P130" s="75"/>
      <c r="Q130" s="76"/>
      <c r="R130" s="76"/>
      <c r="S130" s="71" t="s">
        <v>43</v>
      </c>
      <c r="T130" s="71" t="s">
        <v>83</v>
      </c>
      <c r="U130" s="71" t="s">
        <v>45</v>
      </c>
      <c r="V130" s="71" t="s">
        <v>84</v>
      </c>
      <c r="W130" s="77"/>
      <c r="X130" s="77"/>
      <c r="Y130" s="77"/>
      <c r="Z130" s="77"/>
      <c r="AA130" s="78">
        <v>8247.0</v>
      </c>
      <c r="AB130" s="78">
        <v>32340.0</v>
      </c>
      <c r="AC130" s="24" t="s">
        <v>522</v>
      </c>
      <c r="AD130" s="17">
        <v>3787.0</v>
      </c>
      <c r="AE130" s="27" t="s">
        <v>523</v>
      </c>
      <c r="AF130" s="71" t="str">
        <f t="shared" si="1"/>
        <v>Capital Federal, Argentina</v>
      </c>
      <c r="AG130" s="71">
        <f t="shared" si="2"/>
        <v>2</v>
      </c>
      <c r="AH130" s="79">
        <f t="shared" si="3"/>
        <v>0</v>
      </c>
      <c r="AI130" s="79">
        <f t="shared" si="4"/>
        <v>0</v>
      </c>
      <c r="AJ130" s="78">
        <f t="shared" si="5"/>
        <v>40587</v>
      </c>
      <c r="AK130" s="78">
        <f t="shared" si="6"/>
        <v>40587</v>
      </c>
      <c r="AL130" s="80"/>
      <c r="AM130" s="80"/>
    </row>
    <row r="131">
      <c r="A131" s="71">
        <v>130.0</v>
      </c>
      <c r="B131" s="72">
        <v>43808.0</v>
      </c>
      <c r="C131" s="17">
        <v>122019.0</v>
      </c>
      <c r="D131" s="73" t="s">
        <v>524</v>
      </c>
      <c r="E131" s="71" t="s">
        <v>38</v>
      </c>
      <c r="F131" s="73" t="s">
        <v>525</v>
      </c>
      <c r="G131" s="71" t="s">
        <v>40</v>
      </c>
      <c r="H131" s="71" t="s">
        <v>41</v>
      </c>
      <c r="I131" s="71" t="s">
        <v>42</v>
      </c>
      <c r="J131" s="74">
        <v>3.0</v>
      </c>
      <c r="K131" s="74">
        <v>2.0</v>
      </c>
      <c r="L131" s="75"/>
      <c r="M131" s="74">
        <v>1.0</v>
      </c>
      <c r="N131" s="75"/>
      <c r="O131" s="75"/>
      <c r="P131" s="75"/>
      <c r="Q131" s="76"/>
      <c r="R131" s="76"/>
      <c r="S131" s="71" t="s">
        <v>72</v>
      </c>
      <c r="T131" s="71" t="s">
        <v>216</v>
      </c>
      <c r="U131" s="71" t="s">
        <v>99</v>
      </c>
      <c r="V131" s="71" t="s">
        <v>217</v>
      </c>
      <c r="W131" s="77"/>
      <c r="X131" s="77"/>
      <c r="Y131" s="77"/>
      <c r="Z131" s="77"/>
      <c r="AA131" s="78">
        <v>13120.0</v>
      </c>
      <c r="AB131" s="78">
        <v>39360.0</v>
      </c>
      <c r="AC131" s="24" t="s">
        <v>526</v>
      </c>
      <c r="AD131" s="17">
        <v>3833.0</v>
      </c>
      <c r="AE131" s="27" t="s">
        <v>527</v>
      </c>
      <c r="AF131" s="71" t="str">
        <f t="shared" si="1"/>
        <v>Catamarca, Argentina</v>
      </c>
      <c r="AG131" s="71">
        <f t="shared" si="2"/>
        <v>6</v>
      </c>
      <c r="AH131" s="79">
        <f t="shared" si="3"/>
        <v>0</v>
      </c>
      <c r="AI131" s="79">
        <f t="shared" si="4"/>
        <v>0</v>
      </c>
      <c r="AJ131" s="78">
        <f t="shared" si="5"/>
        <v>52480</v>
      </c>
      <c r="AK131" s="78">
        <f t="shared" si="6"/>
        <v>52480</v>
      </c>
      <c r="AL131" s="80"/>
      <c r="AM131" s="80"/>
    </row>
    <row r="132">
      <c r="A132" s="71">
        <v>131.0</v>
      </c>
      <c r="B132" s="72">
        <v>43810.0</v>
      </c>
      <c r="C132" s="17">
        <v>122019.0</v>
      </c>
      <c r="D132" s="73" t="s">
        <v>445</v>
      </c>
      <c r="E132" s="71" t="s">
        <v>38</v>
      </c>
      <c r="F132" s="73" t="s">
        <v>528</v>
      </c>
      <c r="G132" s="71" t="s">
        <v>64</v>
      </c>
      <c r="H132" s="71" t="s">
        <v>41</v>
      </c>
      <c r="I132" s="71" t="s">
        <v>42</v>
      </c>
      <c r="J132" s="74">
        <v>1.0</v>
      </c>
      <c r="K132" s="75"/>
      <c r="L132" s="75"/>
      <c r="M132" s="75"/>
      <c r="N132" s="75"/>
      <c r="O132" s="75"/>
      <c r="P132" s="75"/>
      <c r="Q132" s="76"/>
      <c r="R132" s="76"/>
      <c r="S132" s="71" t="s">
        <v>98</v>
      </c>
      <c r="T132" s="71" t="s">
        <v>83</v>
      </c>
      <c r="U132" s="71" t="s">
        <v>67</v>
      </c>
      <c r="V132" s="71" t="s">
        <v>59</v>
      </c>
      <c r="W132" s="77"/>
      <c r="X132" s="77"/>
      <c r="Y132" s="77"/>
      <c r="Z132" s="77"/>
      <c r="AA132" s="78">
        <v>4042.0</v>
      </c>
      <c r="AB132" s="78">
        <v>0.0</v>
      </c>
      <c r="AC132" s="24" t="s">
        <v>391</v>
      </c>
      <c r="AD132" s="17">
        <v>3165.0</v>
      </c>
      <c r="AE132" s="27" t="s">
        <v>529</v>
      </c>
      <c r="AF132" s="71" t="str">
        <f t="shared" si="1"/>
        <v>Capital Federal, Argentina</v>
      </c>
      <c r="AG132" s="71">
        <f t="shared" si="2"/>
        <v>1</v>
      </c>
      <c r="AH132" s="79">
        <f t="shared" si="3"/>
        <v>0</v>
      </c>
      <c r="AI132" s="79">
        <f t="shared" si="4"/>
        <v>0</v>
      </c>
      <c r="AJ132" s="78">
        <f t="shared" si="5"/>
        <v>4042</v>
      </c>
      <c r="AK132" s="78">
        <f t="shared" si="6"/>
        <v>4042</v>
      </c>
      <c r="AL132" s="80"/>
      <c r="AM132" s="80"/>
    </row>
    <row r="133">
      <c r="A133" s="71">
        <v>132.0</v>
      </c>
      <c r="B133" s="72">
        <v>43811.0</v>
      </c>
      <c r="C133" s="17">
        <v>122019.0</v>
      </c>
      <c r="D133" s="73" t="s">
        <v>530</v>
      </c>
      <c r="E133" s="71" t="s">
        <v>531</v>
      </c>
      <c r="F133" s="73" t="s">
        <v>532</v>
      </c>
      <c r="G133" s="71" t="s">
        <v>64</v>
      </c>
      <c r="H133" s="71" t="s">
        <v>41</v>
      </c>
      <c r="I133" s="71" t="s">
        <v>42</v>
      </c>
      <c r="J133" s="75"/>
      <c r="K133" s="75"/>
      <c r="L133" s="75"/>
      <c r="M133" s="75"/>
      <c r="N133" s="74">
        <v>1.0</v>
      </c>
      <c r="O133" s="75"/>
      <c r="P133" s="75"/>
      <c r="Q133" s="76"/>
      <c r="R133" s="76"/>
      <c r="S133" s="71" t="s">
        <v>89</v>
      </c>
      <c r="T133" s="71" t="s">
        <v>66</v>
      </c>
      <c r="U133" s="71" t="s">
        <v>67</v>
      </c>
      <c r="V133" s="71" t="s">
        <v>84</v>
      </c>
      <c r="W133" s="78">
        <v>15200.0</v>
      </c>
      <c r="X133" s="78">
        <v>292000.0</v>
      </c>
      <c r="Y133" s="77"/>
      <c r="Z133" s="77"/>
      <c r="AA133" s="78">
        <v>5123.0</v>
      </c>
      <c r="AB133" s="78">
        <v>0.0</v>
      </c>
      <c r="AC133" s="24" t="s">
        <v>533</v>
      </c>
      <c r="AD133" s="17">
        <v>1104.0</v>
      </c>
      <c r="AE133" s="27" t="s">
        <v>534</v>
      </c>
      <c r="AF133" s="71" t="str">
        <f t="shared" si="1"/>
        <v>Buenos Aires, Argentina</v>
      </c>
      <c r="AG133" s="71">
        <f t="shared" si="2"/>
        <v>1</v>
      </c>
      <c r="AH133" s="79">
        <f t="shared" si="3"/>
        <v>307200</v>
      </c>
      <c r="AI133" s="79">
        <f t="shared" si="4"/>
        <v>0</v>
      </c>
      <c r="AJ133" s="78">
        <f t="shared" si="5"/>
        <v>5123</v>
      </c>
      <c r="AK133" s="78">
        <f t="shared" si="6"/>
        <v>312323</v>
      </c>
      <c r="AL133" s="80"/>
      <c r="AM133" s="80"/>
    </row>
    <row r="134">
      <c r="A134" s="71">
        <v>133.0</v>
      </c>
      <c r="B134" s="72">
        <v>43812.0</v>
      </c>
      <c r="C134" s="17">
        <v>122019.0</v>
      </c>
      <c r="D134" s="73" t="s">
        <v>535</v>
      </c>
      <c r="E134" s="71" t="s">
        <v>38</v>
      </c>
      <c r="F134" s="73" t="s">
        <v>517</v>
      </c>
      <c r="G134" s="71" t="s">
        <v>40</v>
      </c>
      <c r="H134" s="71" t="s">
        <v>41</v>
      </c>
      <c r="I134" s="71" t="s">
        <v>42</v>
      </c>
      <c r="J134" s="74">
        <v>1.0</v>
      </c>
      <c r="K134" s="75"/>
      <c r="L134" s="75"/>
      <c r="M134" s="75"/>
      <c r="N134" s="75"/>
      <c r="O134" s="75"/>
      <c r="P134" s="75"/>
      <c r="Q134" s="76"/>
      <c r="R134" s="76"/>
      <c r="S134" s="71" t="s">
        <v>141</v>
      </c>
      <c r="T134" s="71" t="s">
        <v>66</v>
      </c>
      <c r="U134" s="71" t="s">
        <v>53</v>
      </c>
      <c r="V134" s="71" t="s">
        <v>84</v>
      </c>
      <c r="W134" s="77"/>
      <c r="X134" s="77"/>
      <c r="Y134" s="77"/>
      <c r="Z134" s="77"/>
      <c r="AA134" s="78">
        <v>4582.0</v>
      </c>
      <c r="AB134" s="78">
        <v>16170.0</v>
      </c>
      <c r="AC134" s="24" t="s">
        <v>536</v>
      </c>
      <c r="AD134" s="17">
        <v>3789.0</v>
      </c>
      <c r="AE134" s="27" t="s">
        <v>537</v>
      </c>
      <c r="AF134" s="71" t="str">
        <f t="shared" si="1"/>
        <v>Buenos Aires, Argentina</v>
      </c>
      <c r="AG134" s="71">
        <f t="shared" si="2"/>
        <v>1</v>
      </c>
      <c r="AH134" s="79">
        <f t="shared" si="3"/>
        <v>0</v>
      </c>
      <c r="AI134" s="79">
        <f t="shared" si="4"/>
        <v>0</v>
      </c>
      <c r="AJ134" s="78">
        <f t="shared" si="5"/>
        <v>20752</v>
      </c>
      <c r="AK134" s="78">
        <f t="shared" si="6"/>
        <v>20752</v>
      </c>
      <c r="AL134" s="80"/>
      <c r="AM134" s="80"/>
    </row>
    <row r="135">
      <c r="A135" s="71">
        <v>134.0</v>
      </c>
      <c r="B135" s="72">
        <v>43817.0</v>
      </c>
      <c r="C135" s="17">
        <v>122019.0</v>
      </c>
      <c r="D135" s="93">
        <v>1917.0</v>
      </c>
      <c r="E135" s="71" t="s">
        <v>38</v>
      </c>
      <c r="F135" s="73" t="s">
        <v>538</v>
      </c>
      <c r="G135" s="71" t="s">
        <v>64</v>
      </c>
      <c r="H135" s="71" t="s">
        <v>41</v>
      </c>
      <c r="I135" s="71" t="s">
        <v>42</v>
      </c>
      <c r="J135" s="75"/>
      <c r="K135" s="75"/>
      <c r="L135" s="75"/>
      <c r="M135" s="75"/>
      <c r="N135" s="74">
        <v>1.0</v>
      </c>
      <c r="O135" s="75"/>
      <c r="P135" s="75"/>
      <c r="Q135" s="76"/>
      <c r="R135" s="76"/>
      <c r="S135" s="71" t="s">
        <v>98</v>
      </c>
      <c r="T135" s="71" t="s">
        <v>539</v>
      </c>
      <c r="U135" s="71" t="s">
        <v>67</v>
      </c>
      <c r="V135" s="71" t="s">
        <v>399</v>
      </c>
      <c r="W135" s="78">
        <v>6750.0</v>
      </c>
      <c r="X135" s="78">
        <v>199500.0</v>
      </c>
      <c r="Y135" s="77"/>
      <c r="Z135" s="77"/>
      <c r="AA135" s="78">
        <v>5390.0</v>
      </c>
      <c r="AB135" s="78">
        <v>0.0</v>
      </c>
      <c r="AC135" s="24" t="s">
        <v>540</v>
      </c>
      <c r="AD135" s="17">
        <v>3729.0</v>
      </c>
      <c r="AE135" s="27" t="s">
        <v>541</v>
      </c>
      <c r="AF135" s="71" t="str">
        <f t="shared" si="1"/>
        <v>Misiones, Argentina</v>
      </c>
      <c r="AG135" s="71">
        <f t="shared" si="2"/>
        <v>1</v>
      </c>
      <c r="AH135" s="79">
        <f t="shared" si="3"/>
        <v>206250</v>
      </c>
      <c r="AI135" s="79">
        <f t="shared" si="4"/>
        <v>0</v>
      </c>
      <c r="AJ135" s="78">
        <f t="shared" si="5"/>
        <v>5390</v>
      </c>
      <c r="AK135" s="78">
        <f t="shared" si="6"/>
        <v>211640</v>
      </c>
      <c r="AL135" s="80"/>
      <c r="AM135" s="80"/>
    </row>
    <row r="136">
      <c r="A136" s="71">
        <v>135.0</v>
      </c>
      <c r="B136" s="72">
        <v>43815.0</v>
      </c>
      <c r="C136" s="17">
        <v>122019.0</v>
      </c>
      <c r="D136" s="73" t="s">
        <v>542</v>
      </c>
      <c r="E136" s="71" t="s">
        <v>38</v>
      </c>
      <c r="F136" s="73" t="s">
        <v>517</v>
      </c>
      <c r="G136" s="71" t="s">
        <v>40</v>
      </c>
      <c r="H136" s="71" t="s">
        <v>41</v>
      </c>
      <c r="I136" s="71" t="s">
        <v>42</v>
      </c>
      <c r="J136" s="74">
        <v>1.0</v>
      </c>
      <c r="K136" s="75"/>
      <c r="L136" s="75"/>
      <c r="M136" s="75"/>
      <c r="N136" s="75"/>
      <c r="O136" s="75"/>
      <c r="P136" s="75"/>
      <c r="Q136" s="76"/>
      <c r="R136" s="76"/>
      <c r="S136" s="71" t="s">
        <v>189</v>
      </c>
      <c r="T136" s="71" t="s">
        <v>66</v>
      </c>
      <c r="U136" s="71" t="s">
        <v>67</v>
      </c>
      <c r="V136" s="71" t="s">
        <v>78</v>
      </c>
      <c r="W136" s="77"/>
      <c r="X136" s="77"/>
      <c r="Y136" s="77"/>
      <c r="Z136" s="77"/>
      <c r="AA136" s="78">
        <v>4042.0</v>
      </c>
      <c r="AB136" s="78">
        <v>16170.0</v>
      </c>
      <c r="AC136" s="24" t="s">
        <v>543</v>
      </c>
      <c r="AD136" s="81">
        <v>3835.0</v>
      </c>
      <c r="AE136" s="82" t="s">
        <v>544</v>
      </c>
      <c r="AF136" s="71" t="str">
        <f t="shared" si="1"/>
        <v>Buenos Aires, Argentina</v>
      </c>
      <c r="AG136" s="71">
        <f t="shared" si="2"/>
        <v>1</v>
      </c>
      <c r="AH136" s="79">
        <f t="shared" si="3"/>
        <v>0</v>
      </c>
      <c r="AI136" s="79">
        <f t="shared" si="4"/>
        <v>0</v>
      </c>
      <c r="AJ136" s="78">
        <f t="shared" si="5"/>
        <v>20212</v>
      </c>
      <c r="AK136" s="78">
        <f t="shared" si="6"/>
        <v>20212</v>
      </c>
      <c r="AL136" s="80"/>
      <c r="AM136" s="80"/>
    </row>
    <row r="137">
      <c r="A137" s="71">
        <v>136.0</v>
      </c>
      <c r="B137" s="72">
        <v>43816.0</v>
      </c>
      <c r="C137" s="17">
        <v>122019.0</v>
      </c>
      <c r="D137" s="73" t="s">
        <v>545</v>
      </c>
      <c r="E137" s="71" t="s">
        <v>38</v>
      </c>
      <c r="F137" s="73" t="s">
        <v>546</v>
      </c>
      <c r="G137" s="71" t="s">
        <v>40</v>
      </c>
      <c r="H137" s="71" t="s">
        <v>547</v>
      </c>
      <c r="I137" s="71" t="s">
        <v>42</v>
      </c>
      <c r="J137" s="74">
        <v>1.0</v>
      </c>
      <c r="K137" s="75"/>
      <c r="L137" s="75"/>
      <c r="M137" s="75"/>
      <c r="N137" s="75"/>
      <c r="O137" s="75"/>
      <c r="P137" s="75"/>
      <c r="Q137" s="76"/>
      <c r="R137" s="76"/>
      <c r="S137" s="71" t="s">
        <v>114</v>
      </c>
      <c r="T137" s="71" t="s">
        <v>73</v>
      </c>
      <c r="U137" s="71" t="s">
        <v>342</v>
      </c>
      <c r="V137" s="71" t="s">
        <v>78</v>
      </c>
      <c r="W137" s="77"/>
      <c r="X137" s="77"/>
      <c r="Y137" s="77"/>
      <c r="Z137" s="77"/>
      <c r="AA137" s="78">
        <v>1975.0</v>
      </c>
      <c r="AB137" s="78">
        <v>0.0</v>
      </c>
      <c r="AC137" s="24" t="s">
        <v>548</v>
      </c>
      <c r="AD137" s="81">
        <v>3859.0</v>
      </c>
      <c r="AE137" s="82" t="s">
        <v>549</v>
      </c>
      <c r="AF137" s="71" t="str">
        <f t="shared" si="1"/>
        <v>Tierra de Fuego, Argentina</v>
      </c>
      <c r="AG137" s="71">
        <f t="shared" si="2"/>
        <v>1</v>
      </c>
      <c r="AH137" s="79">
        <f t="shared" si="3"/>
        <v>0</v>
      </c>
      <c r="AI137" s="79">
        <f t="shared" si="4"/>
        <v>0</v>
      </c>
      <c r="AJ137" s="78">
        <f t="shared" si="5"/>
        <v>1975</v>
      </c>
      <c r="AK137" s="78">
        <f t="shared" si="6"/>
        <v>1975</v>
      </c>
      <c r="AL137" s="80"/>
      <c r="AM137" s="80"/>
    </row>
    <row r="138">
      <c r="A138" s="71">
        <v>137.0</v>
      </c>
      <c r="B138" s="72">
        <v>43817.0</v>
      </c>
      <c r="C138" s="17">
        <v>122019.0</v>
      </c>
      <c r="D138" s="73" t="s">
        <v>550</v>
      </c>
      <c r="E138" s="71" t="s">
        <v>38</v>
      </c>
      <c r="F138" s="73" t="s">
        <v>551</v>
      </c>
      <c r="G138" s="71" t="s">
        <v>64</v>
      </c>
      <c r="H138" s="71" t="s">
        <v>41</v>
      </c>
      <c r="I138" s="71" t="s">
        <v>42</v>
      </c>
      <c r="J138" s="75"/>
      <c r="K138" s="74">
        <v>10.0</v>
      </c>
      <c r="L138" s="75"/>
      <c r="M138" s="75"/>
      <c r="N138" s="75"/>
      <c r="O138" s="75"/>
      <c r="P138" s="75"/>
      <c r="Q138" s="76"/>
      <c r="R138" s="76"/>
      <c r="S138" s="71" t="s">
        <v>109</v>
      </c>
      <c r="T138" s="71" t="s">
        <v>254</v>
      </c>
      <c r="U138" s="71" t="s">
        <v>99</v>
      </c>
      <c r="V138" s="71" t="s">
        <v>46</v>
      </c>
      <c r="W138" s="77"/>
      <c r="X138" s="77"/>
      <c r="Y138" s="77"/>
      <c r="Z138" s="77"/>
      <c r="AA138" s="78">
        <v>30750.0</v>
      </c>
      <c r="AB138" s="78">
        <v>69187.0</v>
      </c>
      <c r="AC138" s="24" t="s">
        <v>552</v>
      </c>
      <c r="AD138" s="17">
        <v>3997.0</v>
      </c>
      <c r="AE138" s="27" t="s">
        <v>553</v>
      </c>
      <c r="AF138" s="71" t="str">
        <f t="shared" si="1"/>
        <v>La Rioja, Argentina</v>
      </c>
      <c r="AG138" s="71">
        <f t="shared" si="2"/>
        <v>10</v>
      </c>
      <c r="AH138" s="79">
        <f t="shared" si="3"/>
        <v>0</v>
      </c>
      <c r="AI138" s="79">
        <f t="shared" si="4"/>
        <v>0</v>
      </c>
      <c r="AJ138" s="78">
        <f t="shared" si="5"/>
        <v>99937</v>
      </c>
      <c r="AK138" s="78">
        <f t="shared" si="6"/>
        <v>99937</v>
      </c>
      <c r="AL138" s="80"/>
      <c r="AM138" s="80"/>
    </row>
    <row r="139">
      <c r="A139" s="71">
        <v>138.0</v>
      </c>
      <c r="B139" s="72">
        <v>43825.0</v>
      </c>
      <c r="C139" s="17">
        <v>122019.0</v>
      </c>
      <c r="D139" s="73" t="s">
        <v>554</v>
      </c>
      <c r="E139" s="71" t="s">
        <v>38</v>
      </c>
      <c r="F139" s="73" t="s">
        <v>555</v>
      </c>
      <c r="G139" s="71" t="s">
        <v>64</v>
      </c>
      <c r="H139" s="71" t="s">
        <v>41</v>
      </c>
      <c r="I139" s="71" t="s">
        <v>42</v>
      </c>
      <c r="J139" s="75"/>
      <c r="K139" s="75"/>
      <c r="L139" s="75"/>
      <c r="M139" s="74">
        <v>1.0</v>
      </c>
      <c r="N139" s="75"/>
      <c r="O139" s="75"/>
      <c r="P139" s="75"/>
      <c r="Q139" s="76"/>
      <c r="R139" s="76"/>
      <c r="S139" s="71" t="s">
        <v>65</v>
      </c>
      <c r="T139" s="71" t="s">
        <v>66</v>
      </c>
      <c r="U139" s="71" t="s">
        <v>99</v>
      </c>
      <c r="V139" s="71" t="s">
        <v>84</v>
      </c>
      <c r="W139" s="77"/>
      <c r="X139" s="77"/>
      <c r="Y139" s="77"/>
      <c r="Z139" s="77"/>
      <c r="AA139" s="78">
        <v>4042.0</v>
      </c>
      <c r="AB139" s="78">
        <v>0.0</v>
      </c>
      <c r="AC139" s="24" t="s">
        <v>556</v>
      </c>
      <c r="AD139" s="17">
        <v>3893.0</v>
      </c>
      <c r="AE139" s="27" t="s">
        <v>557</v>
      </c>
      <c r="AF139" s="71" t="str">
        <f t="shared" si="1"/>
        <v>Buenos Aires, Argentina</v>
      </c>
      <c r="AG139" s="71">
        <f t="shared" si="2"/>
        <v>1</v>
      </c>
      <c r="AH139" s="79">
        <f t="shared" si="3"/>
        <v>0</v>
      </c>
      <c r="AI139" s="79">
        <f t="shared" si="4"/>
        <v>0</v>
      </c>
      <c r="AJ139" s="78">
        <f t="shared" si="5"/>
        <v>4042</v>
      </c>
      <c r="AK139" s="78">
        <f t="shared" si="6"/>
        <v>4042</v>
      </c>
      <c r="AL139" s="80"/>
      <c r="AM139" s="80"/>
    </row>
    <row r="140">
      <c r="A140" s="71">
        <v>139.0</v>
      </c>
      <c r="B140" s="72">
        <v>43825.0</v>
      </c>
      <c r="C140" s="17">
        <v>122019.0</v>
      </c>
      <c r="D140" s="73" t="s">
        <v>558</v>
      </c>
      <c r="E140" s="71" t="s">
        <v>38</v>
      </c>
      <c r="F140" s="73" t="s">
        <v>546</v>
      </c>
      <c r="G140" s="71" t="s">
        <v>40</v>
      </c>
      <c r="H140" s="71" t="s">
        <v>547</v>
      </c>
      <c r="I140" s="71" t="s">
        <v>42</v>
      </c>
      <c r="J140" s="74">
        <v>1.0</v>
      </c>
      <c r="K140" s="75"/>
      <c r="L140" s="75"/>
      <c r="M140" s="75"/>
      <c r="N140" s="75"/>
      <c r="O140" s="75"/>
      <c r="P140" s="75"/>
      <c r="Q140" s="76"/>
      <c r="R140" s="76"/>
      <c r="S140" s="71" t="s">
        <v>65</v>
      </c>
      <c r="T140" s="71" t="s">
        <v>66</v>
      </c>
      <c r="U140" s="71" t="s">
        <v>45</v>
      </c>
      <c r="V140" s="71" t="s">
        <v>84</v>
      </c>
      <c r="W140" s="77"/>
      <c r="X140" s="77"/>
      <c r="Y140" s="77"/>
      <c r="Z140" s="77"/>
      <c r="AA140" s="78">
        <v>1975.0</v>
      </c>
      <c r="AB140" s="78">
        <v>0.0</v>
      </c>
      <c r="AC140" s="24" t="s">
        <v>559</v>
      </c>
      <c r="AD140" s="17">
        <v>3889.0</v>
      </c>
      <c r="AE140" s="27" t="s">
        <v>560</v>
      </c>
      <c r="AF140" s="71" t="str">
        <f t="shared" si="1"/>
        <v>Buenos Aires, Argentina</v>
      </c>
      <c r="AG140" s="71">
        <f t="shared" si="2"/>
        <v>1</v>
      </c>
      <c r="AH140" s="79">
        <f t="shared" si="3"/>
        <v>0</v>
      </c>
      <c r="AI140" s="79">
        <f t="shared" si="4"/>
        <v>0</v>
      </c>
      <c r="AJ140" s="78">
        <f t="shared" si="5"/>
        <v>1975</v>
      </c>
      <c r="AK140" s="78">
        <f t="shared" si="6"/>
        <v>1975</v>
      </c>
      <c r="AL140" s="80"/>
      <c r="AM140" s="80"/>
    </row>
    <row r="141">
      <c r="A141" s="71">
        <v>140.0</v>
      </c>
      <c r="B141" s="72">
        <v>43829.0</v>
      </c>
      <c r="C141" s="17">
        <v>122019.0</v>
      </c>
      <c r="D141" s="73" t="s">
        <v>561</v>
      </c>
      <c r="E141" s="71" t="s">
        <v>38</v>
      </c>
      <c r="F141" s="73" t="s">
        <v>562</v>
      </c>
      <c r="G141" s="71" t="s">
        <v>64</v>
      </c>
      <c r="H141" s="71" t="s">
        <v>41</v>
      </c>
      <c r="I141" s="71" t="s">
        <v>42</v>
      </c>
      <c r="J141" s="75"/>
      <c r="K141" s="74">
        <v>2.0</v>
      </c>
      <c r="L141" s="75"/>
      <c r="M141" s="75"/>
      <c r="N141" s="75"/>
      <c r="O141" s="75"/>
      <c r="P141" s="75"/>
      <c r="Q141" s="76"/>
      <c r="R141" s="76"/>
      <c r="S141" s="71" t="s">
        <v>89</v>
      </c>
      <c r="T141" s="71" t="s">
        <v>66</v>
      </c>
      <c r="U141" s="71" t="s">
        <v>67</v>
      </c>
      <c r="V141" s="71" t="s">
        <v>59</v>
      </c>
      <c r="W141" s="77"/>
      <c r="X141" s="77"/>
      <c r="Y141" s="77"/>
      <c r="Z141" s="77"/>
      <c r="AA141" s="78">
        <v>5342.0</v>
      </c>
      <c r="AB141" s="78">
        <v>0.0</v>
      </c>
      <c r="AC141" s="24" t="s">
        <v>563</v>
      </c>
      <c r="AD141" s="17">
        <v>1998.0</v>
      </c>
      <c r="AE141" s="27" t="s">
        <v>564</v>
      </c>
      <c r="AF141" s="71" t="str">
        <f t="shared" si="1"/>
        <v>Buenos Aires, Argentina</v>
      </c>
      <c r="AG141" s="71">
        <f t="shared" si="2"/>
        <v>2</v>
      </c>
      <c r="AH141" s="79">
        <f t="shared" si="3"/>
        <v>0</v>
      </c>
      <c r="AI141" s="79">
        <f t="shared" si="4"/>
        <v>0</v>
      </c>
      <c r="AJ141" s="78">
        <f t="shared" si="5"/>
        <v>5342</v>
      </c>
      <c r="AK141" s="78">
        <f t="shared" si="6"/>
        <v>5342</v>
      </c>
      <c r="AL141" s="80"/>
      <c r="AM141" s="80"/>
    </row>
    <row r="142">
      <c r="A142" s="71">
        <v>141.0</v>
      </c>
      <c r="B142" s="72">
        <v>43829.0</v>
      </c>
      <c r="C142" s="17">
        <v>122019.0</v>
      </c>
      <c r="D142" s="73" t="s">
        <v>565</v>
      </c>
      <c r="E142" s="71" t="s">
        <v>38</v>
      </c>
      <c r="F142" s="73" t="s">
        <v>566</v>
      </c>
      <c r="G142" s="71" t="s">
        <v>40</v>
      </c>
      <c r="H142" s="71" t="s">
        <v>547</v>
      </c>
      <c r="I142" s="71" t="s">
        <v>42</v>
      </c>
      <c r="J142" s="74">
        <v>2.0</v>
      </c>
      <c r="K142" s="75"/>
      <c r="L142" s="75"/>
      <c r="M142" s="75"/>
      <c r="N142" s="75"/>
      <c r="O142" s="75"/>
      <c r="P142" s="75"/>
      <c r="Q142" s="76"/>
      <c r="R142" s="76"/>
      <c r="S142" s="71" t="s">
        <v>137</v>
      </c>
      <c r="T142" s="71" t="s">
        <v>66</v>
      </c>
      <c r="U142" s="71" t="s">
        <v>45</v>
      </c>
      <c r="V142" s="71" t="s">
        <v>78</v>
      </c>
      <c r="W142" s="77"/>
      <c r="X142" s="77"/>
      <c r="Y142" s="77"/>
      <c r="Z142" s="77"/>
      <c r="AA142" s="78">
        <v>3950.0</v>
      </c>
      <c r="AB142" s="78">
        <v>0.0</v>
      </c>
      <c r="AC142" s="24" t="s">
        <v>567</v>
      </c>
      <c r="AD142" s="81">
        <v>3877.0</v>
      </c>
      <c r="AE142" s="82" t="s">
        <v>568</v>
      </c>
      <c r="AF142" s="71" t="str">
        <f t="shared" si="1"/>
        <v>Buenos Aires, Argentina</v>
      </c>
      <c r="AG142" s="71">
        <f t="shared" si="2"/>
        <v>2</v>
      </c>
      <c r="AH142" s="79">
        <f t="shared" si="3"/>
        <v>0</v>
      </c>
      <c r="AI142" s="79">
        <f t="shared" si="4"/>
        <v>0</v>
      </c>
      <c r="AJ142" s="78">
        <f t="shared" si="5"/>
        <v>3950</v>
      </c>
      <c r="AK142" s="78">
        <f t="shared" si="6"/>
        <v>3950</v>
      </c>
      <c r="AL142" s="80"/>
      <c r="AM142" s="80"/>
    </row>
    <row r="143">
      <c r="A143" s="71">
        <v>142.0</v>
      </c>
      <c r="B143" s="72">
        <v>43830.0</v>
      </c>
      <c r="C143" s="17">
        <v>122019.0</v>
      </c>
      <c r="D143" s="73" t="s">
        <v>454</v>
      </c>
      <c r="E143" s="71" t="s">
        <v>38</v>
      </c>
      <c r="F143" s="73" t="s">
        <v>562</v>
      </c>
      <c r="G143" s="71" t="s">
        <v>64</v>
      </c>
      <c r="H143" s="71" t="s">
        <v>41</v>
      </c>
      <c r="I143" s="71" t="s">
        <v>42</v>
      </c>
      <c r="J143" s="75"/>
      <c r="K143" s="74">
        <v>2.0</v>
      </c>
      <c r="L143" s="75"/>
      <c r="M143" s="75"/>
      <c r="N143" s="75"/>
      <c r="O143" s="75"/>
      <c r="P143" s="75"/>
      <c r="Q143" s="76"/>
      <c r="R143" s="76"/>
      <c r="S143" s="71" t="s">
        <v>114</v>
      </c>
      <c r="T143" s="71" t="s">
        <v>66</v>
      </c>
      <c r="U143" s="71" t="s">
        <v>67</v>
      </c>
      <c r="V143" s="71" t="s">
        <v>84</v>
      </c>
      <c r="W143" s="77"/>
      <c r="X143" s="77"/>
      <c r="Y143" s="77"/>
      <c r="Z143" s="77"/>
      <c r="AA143" s="78">
        <v>5448.0</v>
      </c>
      <c r="AB143" s="78">
        <v>21366.0</v>
      </c>
      <c r="AC143" s="24" t="s">
        <v>569</v>
      </c>
      <c r="AD143" s="17">
        <v>3873.0</v>
      </c>
      <c r="AE143" s="27" t="s">
        <v>570</v>
      </c>
      <c r="AF143" s="71" t="str">
        <f t="shared" si="1"/>
        <v>Buenos Aires, Argentina</v>
      </c>
      <c r="AG143" s="71">
        <f t="shared" si="2"/>
        <v>2</v>
      </c>
      <c r="AH143" s="79">
        <f t="shared" si="3"/>
        <v>0</v>
      </c>
      <c r="AI143" s="79">
        <f t="shared" si="4"/>
        <v>0</v>
      </c>
      <c r="AJ143" s="78">
        <f t="shared" si="5"/>
        <v>26814</v>
      </c>
      <c r="AK143" s="78">
        <f t="shared" si="6"/>
        <v>26814</v>
      </c>
      <c r="AL143" s="80"/>
      <c r="AM143" s="80"/>
    </row>
    <row r="144">
      <c r="A144" s="94">
        <v>143.0</v>
      </c>
      <c r="B144" s="95">
        <v>43836.0</v>
      </c>
      <c r="C144" s="17">
        <v>12020.0</v>
      </c>
      <c r="D144" s="96" t="s">
        <v>571</v>
      </c>
      <c r="E144" s="94" t="s">
        <v>38</v>
      </c>
      <c r="F144" s="96" t="s">
        <v>517</v>
      </c>
      <c r="G144" s="94" t="s">
        <v>40</v>
      </c>
      <c r="H144" s="94" t="s">
        <v>41</v>
      </c>
      <c r="I144" s="94" t="s">
        <v>42</v>
      </c>
      <c r="J144" s="97">
        <v>1.0</v>
      </c>
      <c r="K144" s="98"/>
      <c r="L144" s="98"/>
      <c r="M144" s="98"/>
      <c r="N144" s="98"/>
      <c r="O144" s="98"/>
      <c r="P144" s="98"/>
      <c r="Q144" s="99"/>
      <c r="R144" s="99"/>
      <c r="S144" s="94" t="s">
        <v>72</v>
      </c>
      <c r="T144" s="94" t="s">
        <v>66</v>
      </c>
      <c r="U144" s="94" t="s">
        <v>572</v>
      </c>
      <c r="V144" s="94" t="s">
        <v>217</v>
      </c>
      <c r="W144" s="100"/>
      <c r="X144" s="100"/>
      <c r="Y144" s="100"/>
      <c r="Z144" s="100"/>
      <c r="AA144" s="101">
        <v>3950.0</v>
      </c>
      <c r="AB144" s="101">
        <v>11850.0</v>
      </c>
      <c r="AC144" s="24" t="s">
        <v>573</v>
      </c>
      <c r="AD144" s="17">
        <v>3719.0</v>
      </c>
      <c r="AE144" s="27" t="s">
        <v>574</v>
      </c>
      <c r="AF144" s="94" t="str">
        <f t="shared" si="1"/>
        <v>Buenos Aires, Argentina</v>
      </c>
      <c r="AG144" s="94">
        <f t="shared" si="2"/>
        <v>1</v>
      </c>
      <c r="AH144" s="102">
        <f t="shared" si="3"/>
        <v>0</v>
      </c>
      <c r="AI144" s="102">
        <f t="shared" si="4"/>
        <v>0</v>
      </c>
      <c r="AJ144" s="101">
        <f t="shared" si="5"/>
        <v>15800</v>
      </c>
      <c r="AK144" s="101">
        <f t="shared" si="6"/>
        <v>15800</v>
      </c>
      <c r="AL144" s="103"/>
      <c r="AM144" s="103"/>
    </row>
    <row r="145">
      <c r="A145" s="94">
        <v>144.0</v>
      </c>
      <c r="B145" s="95">
        <v>43847.0</v>
      </c>
      <c r="C145" s="17">
        <v>12020.0</v>
      </c>
      <c r="D145" s="96" t="s">
        <v>575</v>
      </c>
      <c r="E145" s="94" t="s">
        <v>38</v>
      </c>
      <c r="F145" s="96" t="s">
        <v>521</v>
      </c>
      <c r="G145" s="94" t="s">
        <v>64</v>
      </c>
      <c r="H145" s="94" t="s">
        <v>41</v>
      </c>
      <c r="I145" s="94" t="s">
        <v>42</v>
      </c>
      <c r="J145" s="97">
        <v>2.0</v>
      </c>
      <c r="K145" s="98"/>
      <c r="L145" s="98"/>
      <c r="M145" s="98"/>
      <c r="N145" s="98"/>
      <c r="O145" s="98"/>
      <c r="P145" s="98"/>
      <c r="Q145" s="99"/>
      <c r="R145" s="99"/>
      <c r="S145" s="94" t="s">
        <v>65</v>
      </c>
      <c r="T145" s="94" t="s">
        <v>83</v>
      </c>
      <c r="U145" s="94" t="s">
        <v>45</v>
      </c>
      <c r="V145" s="94" t="s">
        <v>84</v>
      </c>
      <c r="W145" s="100"/>
      <c r="X145" s="100"/>
      <c r="Y145" s="100"/>
      <c r="Z145" s="100"/>
      <c r="AA145" s="101">
        <v>7900.0</v>
      </c>
      <c r="AB145" s="101">
        <v>23700.0</v>
      </c>
      <c r="AC145" s="24" t="s">
        <v>576</v>
      </c>
      <c r="AD145" s="17">
        <v>3927.0</v>
      </c>
      <c r="AE145" s="27" t="s">
        <v>577</v>
      </c>
      <c r="AF145" s="94" t="str">
        <f t="shared" si="1"/>
        <v>Capital Federal, Argentina</v>
      </c>
      <c r="AG145" s="94">
        <f t="shared" si="2"/>
        <v>2</v>
      </c>
      <c r="AH145" s="102">
        <f t="shared" si="3"/>
        <v>0</v>
      </c>
      <c r="AI145" s="102">
        <f t="shared" si="4"/>
        <v>0</v>
      </c>
      <c r="AJ145" s="101">
        <f t="shared" si="5"/>
        <v>31600</v>
      </c>
      <c r="AK145" s="101">
        <f t="shared" si="6"/>
        <v>31600</v>
      </c>
      <c r="AL145" s="103"/>
      <c r="AM145" s="103"/>
    </row>
    <row r="146">
      <c r="A146" s="94">
        <v>145.0</v>
      </c>
      <c r="B146" s="95">
        <v>43851.0</v>
      </c>
      <c r="C146" s="17">
        <v>12020.0</v>
      </c>
      <c r="D146" s="96" t="s">
        <v>578</v>
      </c>
      <c r="E146" s="94" t="s">
        <v>38</v>
      </c>
      <c r="F146" s="96" t="s">
        <v>579</v>
      </c>
      <c r="G146" s="94" t="s">
        <v>64</v>
      </c>
      <c r="H146" s="94" t="s">
        <v>41</v>
      </c>
      <c r="I146" s="94" t="s">
        <v>42</v>
      </c>
      <c r="J146" s="98"/>
      <c r="K146" s="98"/>
      <c r="L146" s="98"/>
      <c r="M146" s="98"/>
      <c r="N146" s="97">
        <v>1.0</v>
      </c>
      <c r="O146" s="98"/>
      <c r="P146" s="98"/>
      <c r="Q146" s="99"/>
      <c r="R146" s="99"/>
      <c r="S146" s="94" t="s">
        <v>89</v>
      </c>
      <c r="T146" s="94" t="s">
        <v>83</v>
      </c>
      <c r="U146" s="94" t="s">
        <v>67</v>
      </c>
      <c r="V146" s="94" t="s">
        <v>84</v>
      </c>
      <c r="W146" s="100"/>
      <c r="X146" s="100"/>
      <c r="Y146" s="100"/>
      <c r="Z146" s="100"/>
      <c r="AA146" s="101">
        <v>6037.0</v>
      </c>
      <c r="AB146" s="101">
        <v>0.0</v>
      </c>
      <c r="AC146" s="24" t="s">
        <v>580</v>
      </c>
      <c r="AD146" s="17">
        <v>3957.0</v>
      </c>
      <c r="AE146" s="27" t="s">
        <v>581</v>
      </c>
      <c r="AF146" s="94" t="str">
        <f t="shared" si="1"/>
        <v>Capital Federal, Argentina</v>
      </c>
      <c r="AG146" s="94">
        <f t="shared" si="2"/>
        <v>1</v>
      </c>
      <c r="AH146" s="102">
        <f t="shared" si="3"/>
        <v>0</v>
      </c>
      <c r="AI146" s="102">
        <f t="shared" si="4"/>
        <v>0</v>
      </c>
      <c r="AJ146" s="101">
        <f t="shared" si="5"/>
        <v>6037</v>
      </c>
      <c r="AK146" s="101">
        <f t="shared" si="6"/>
        <v>6037</v>
      </c>
      <c r="AL146" s="103"/>
      <c r="AM146" s="103"/>
    </row>
    <row r="147">
      <c r="A147" s="94">
        <v>146.0</v>
      </c>
      <c r="B147" s="95">
        <v>43853.0</v>
      </c>
      <c r="C147" s="17">
        <v>12020.0</v>
      </c>
      <c r="D147" s="96" t="s">
        <v>582</v>
      </c>
      <c r="E147" s="94" t="s">
        <v>38</v>
      </c>
      <c r="F147" s="96" t="s">
        <v>546</v>
      </c>
      <c r="G147" s="94" t="s">
        <v>40</v>
      </c>
      <c r="H147" s="94" t="s">
        <v>547</v>
      </c>
      <c r="I147" s="94" t="s">
        <v>42</v>
      </c>
      <c r="J147" s="97">
        <v>1.0</v>
      </c>
      <c r="K147" s="98"/>
      <c r="L147" s="98"/>
      <c r="M147" s="98"/>
      <c r="N147" s="98"/>
      <c r="O147" s="98"/>
      <c r="P147" s="98"/>
      <c r="Q147" s="99"/>
      <c r="R147" s="99"/>
      <c r="S147" s="94" t="s">
        <v>114</v>
      </c>
      <c r="T147" s="94" t="s">
        <v>83</v>
      </c>
      <c r="U147" s="94" t="s">
        <v>342</v>
      </c>
      <c r="V147" s="94" t="s">
        <v>84</v>
      </c>
      <c r="W147" s="100"/>
      <c r="X147" s="100"/>
      <c r="Y147" s="100"/>
      <c r="Z147" s="100"/>
      <c r="AA147" s="101">
        <v>1975.0</v>
      </c>
      <c r="AB147" s="101">
        <v>0.0</v>
      </c>
      <c r="AC147" s="24" t="s">
        <v>583</v>
      </c>
      <c r="AD147" s="17">
        <v>3967.0</v>
      </c>
      <c r="AE147" s="27" t="s">
        <v>584</v>
      </c>
      <c r="AF147" s="94" t="str">
        <f t="shared" si="1"/>
        <v>Capital Federal, Argentina</v>
      </c>
      <c r="AG147" s="94">
        <f t="shared" si="2"/>
        <v>1</v>
      </c>
      <c r="AH147" s="102">
        <f t="shared" si="3"/>
        <v>0</v>
      </c>
      <c r="AI147" s="102">
        <f t="shared" si="4"/>
        <v>0</v>
      </c>
      <c r="AJ147" s="101">
        <f t="shared" si="5"/>
        <v>1975</v>
      </c>
      <c r="AK147" s="101">
        <f t="shared" si="6"/>
        <v>1975</v>
      </c>
      <c r="AL147" s="103"/>
      <c r="AM147" s="103"/>
    </row>
    <row r="148">
      <c r="A148" s="94">
        <v>147.0</v>
      </c>
      <c r="B148" s="95">
        <v>43857.0</v>
      </c>
      <c r="C148" s="17">
        <v>12020.0</v>
      </c>
      <c r="D148" s="96" t="s">
        <v>199</v>
      </c>
      <c r="E148" s="94" t="s">
        <v>38</v>
      </c>
      <c r="F148" s="96" t="s">
        <v>585</v>
      </c>
      <c r="G148" s="94" t="s">
        <v>64</v>
      </c>
      <c r="H148" s="94" t="s">
        <v>41</v>
      </c>
      <c r="I148" s="94" t="s">
        <v>42</v>
      </c>
      <c r="J148" s="98"/>
      <c r="K148" s="98"/>
      <c r="L148" s="98"/>
      <c r="M148" s="98"/>
      <c r="N148" s="98"/>
      <c r="O148" s="97">
        <v>1.0</v>
      </c>
      <c r="P148" s="98"/>
      <c r="Q148" s="99"/>
      <c r="R148" s="99"/>
      <c r="S148" s="94" t="s">
        <v>65</v>
      </c>
      <c r="T148" s="94" t="s">
        <v>44</v>
      </c>
      <c r="U148" s="94" t="s">
        <v>99</v>
      </c>
      <c r="V148" s="94" t="s">
        <v>84</v>
      </c>
      <c r="W148" s="100"/>
      <c r="X148" s="100"/>
      <c r="Y148" s="100"/>
      <c r="Z148" s="100"/>
      <c r="AA148" s="101">
        <v>3366.0</v>
      </c>
      <c r="AB148" s="101">
        <v>0.0</v>
      </c>
      <c r="AC148" s="24" t="s">
        <v>586</v>
      </c>
      <c r="AD148" s="17">
        <v>3969.0</v>
      </c>
      <c r="AE148" s="27" t="s">
        <v>587</v>
      </c>
      <c r="AF148" s="94" t="str">
        <f t="shared" si="1"/>
        <v>Mendoza, Argentina</v>
      </c>
      <c r="AG148" s="94">
        <f t="shared" si="2"/>
        <v>1</v>
      </c>
      <c r="AH148" s="102">
        <f t="shared" si="3"/>
        <v>0</v>
      </c>
      <c r="AI148" s="102">
        <f t="shared" si="4"/>
        <v>0</v>
      </c>
      <c r="AJ148" s="101">
        <f t="shared" si="5"/>
        <v>3366</v>
      </c>
      <c r="AK148" s="101">
        <f t="shared" si="6"/>
        <v>3366</v>
      </c>
      <c r="AL148" s="103"/>
      <c r="AM148" s="103"/>
    </row>
    <row r="149">
      <c r="A149" s="94">
        <v>148.0</v>
      </c>
      <c r="B149" s="95">
        <v>43857.0</v>
      </c>
      <c r="C149" s="17">
        <v>12020.0</v>
      </c>
      <c r="D149" s="96" t="s">
        <v>588</v>
      </c>
      <c r="E149" s="94" t="s">
        <v>38</v>
      </c>
      <c r="F149" s="96" t="s">
        <v>517</v>
      </c>
      <c r="G149" s="94" t="s">
        <v>40</v>
      </c>
      <c r="H149" s="94" t="s">
        <v>41</v>
      </c>
      <c r="I149" s="94" t="s">
        <v>42</v>
      </c>
      <c r="J149" s="97">
        <v>1.0</v>
      </c>
      <c r="K149" s="98"/>
      <c r="L149" s="98"/>
      <c r="M149" s="98"/>
      <c r="N149" s="98"/>
      <c r="O149" s="98"/>
      <c r="P149" s="98"/>
      <c r="Q149" s="99"/>
      <c r="R149" s="99"/>
      <c r="S149" s="94" t="s">
        <v>43</v>
      </c>
      <c r="T149" s="94" t="s">
        <v>66</v>
      </c>
      <c r="U149" s="94" t="s">
        <v>45</v>
      </c>
      <c r="V149" s="94" t="s">
        <v>84</v>
      </c>
      <c r="W149" s="100"/>
      <c r="X149" s="100"/>
      <c r="Y149" s="100"/>
      <c r="Z149" s="100"/>
      <c r="AA149" s="101">
        <v>3950.0</v>
      </c>
      <c r="AB149" s="101">
        <v>11850.0</v>
      </c>
      <c r="AC149" s="24" t="s">
        <v>589</v>
      </c>
      <c r="AD149" s="17">
        <v>3973.0</v>
      </c>
      <c r="AE149" s="27" t="s">
        <v>590</v>
      </c>
      <c r="AF149" s="94" t="str">
        <f t="shared" si="1"/>
        <v>Buenos Aires, Argentina</v>
      </c>
      <c r="AG149" s="94">
        <f t="shared" si="2"/>
        <v>1</v>
      </c>
      <c r="AH149" s="102">
        <f t="shared" si="3"/>
        <v>0</v>
      </c>
      <c r="AI149" s="102">
        <f t="shared" si="4"/>
        <v>0</v>
      </c>
      <c r="AJ149" s="101">
        <f t="shared" si="5"/>
        <v>15800</v>
      </c>
      <c r="AK149" s="101">
        <f t="shared" si="6"/>
        <v>15800</v>
      </c>
      <c r="AL149" s="103"/>
      <c r="AM149" s="103"/>
    </row>
    <row r="150">
      <c r="A150" s="94">
        <v>149.0</v>
      </c>
      <c r="B150" s="95">
        <v>43839.0</v>
      </c>
      <c r="C150" s="17">
        <v>12020.0</v>
      </c>
      <c r="D150" s="96" t="s">
        <v>591</v>
      </c>
      <c r="E150" s="94" t="s">
        <v>38</v>
      </c>
      <c r="F150" s="96" t="s">
        <v>592</v>
      </c>
      <c r="G150" s="94" t="s">
        <v>64</v>
      </c>
      <c r="H150" s="94" t="s">
        <v>41</v>
      </c>
      <c r="I150" s="94" t="s">
        <v>42</v>
      </c>
      <c r="J150" s="97">
        <v>1.0</v>
      </c>
      <c r="K150" s="98"/>
      <c r="L150" s="98"/>
      <c r="M150" s="98"/>
      <c r="N150" s="98"/>
      <c r="O150" s="98"/>
      <c r="P150" s="98"/>
      <c r="Q150" s="99"/>
      <c r="R150" s="99"/>
      <c r="S150" s="94" t="s">
        <v>105</v>
      </c>
      <c r="T150" s="94" t="s">
        <v>66</v>
      </c>
      <c r="U150" s="94" t="s">
        <v>67</v>
      </c>
      <c r="V150" s="94" t="s">
        <v>78</v>
      </c>
      <c r="W150" s="100"/>
      <c r="X150" s="100"/>
      <c r="Y150" s="100"/>
      <c r="Z150" s="100"/>
      <c r="AA150" s="101">
        <v>3950.0</v>
      </c>
      <c r="AB150" s="101">
        <v>11850.0</v>
      </c>
      <c r="AC150" s="24" t="s">
        <v>593</v>
      </c>
      <c r="AD150" s="17">
        <v>3821.0</v>
      </c>
      <c r="AE150" s="27" t="s">
        <v>594</v>
      </c>
      <c r="AF150" s="94" t="str">
        <f t="shared" si="1"/>
        <v>Buenos Aires, Argentina</v>
      </c>
      <c r="AG150" s="94">
        <f t="shared" si="2"/>
        <v>1</v>
      </c>
      <c r="AH150" s="102">
        <f t="shared" si="3"/>
        <v>0</v>
      </c>
      <c r="AI150" s="102">
        <f t="shared" si="4"/>
        <v>0</v>
      </c>
      <c r="AJ150" s="101">
        <f t="shared" si="5"/>
        <v>15800</v>
      </c>
      <c r="AK150" s="101">
        <f t="shared" si="6"/>
        <v>15800</v>
      </c>
      <c r="AL150" s="103"/>
      <c r="AM150" s="103"/>
    </row>
    <row r="151">
      <c r="A151" s="94">
        <v>150.0</v>
      </c>
      <c r="B151" s="95">
        <v>43857.0</v>
      </c>
      <c r="C151" s="17">
        <v>12020.0</v>
      </c>
      <c r="D151" s="96" t="s">
        <v>595</v>
      </c>
      <c r="E151" s="94" t="s">
        <v>38</v>
      </c>
      <c r="F151" s="96" t="s">
        <v>596</v>
      </c>
      <c r="G151" s="94" t="s">
        <v>40</v>
      </c>
      <c r="H151" s="94" t="s">
        <v>547</v>
      </c>
      <c r="I151" s="94" t="s">
        <v>42</v>
      </c>
      <c r="J151" s="97">
        <v>1.0</v>
      </c>
      <c r="K151" s="97">
        <v>2.0</v>
      </c>
      <c r="L151" s="98"/>
      <c r="M151" s="98"/>
      <c r="N151" s="98"/>
      <c r="O151" s="98"/>
      <c r="P151" s="98"/>
      <c r="Q151" s="99"/>
      <c r="R151" s="99"/>
      <c r="S151" s="94" t="s">
        <v>109</v>
      </c>
      <c r="T151" s="94" t="s">
        <v>66</v>
      </c>
      <c r="U151" s="94" t="s">
        <v>342</v>
      </c>
      <c r="V151" s="94" t="s">
        <v>78</v>
      </c>
      <c r="W151" s="100"/>
      <c r="X151" s="100"/>
      <c r="Y151" s="100"/>
      <c r="Z151" s="100"/>
      <c r="AA151" s="101">
        <v>4127.0</v>
      </c>
      <c r="AB151" s="101">
        <v>0.0</v>
      </c>
      <c r="AC151" s="24" t="s">
        <v>597</v>
      </c>
      <c r="AD151" s="17">
        <v>3971.0</v>
      </c>
      <c r="AE151" s="27" t="s">
        <v>598</v>
      </c>
      <c r="AF151" s="94" t="str">
        <f t="shared" si="1"/>
        <v>Buenos Aires, Argentina</v>
      </c>
      <c r="AG151" s="94">
        <f t="shared" si="2"/>
        <v>3</v>
      </c>
      <c r="AH151" s="102">
        <f t="shared" si="3"/>
        <v>0</v>
      </c>
      <c r="AI151" s="102">
        <f t="shared" si="4"/>
        <v>0</v>
      </c>
      <c r="AJ151" s="101">
        <f t="shared" si="5"/>
        <v>4127</v>
      </c>
      <c r="AK151" s="101">
        <f t="shared" si="6"/>
        <v>4127</v>
      </c>
      <c r="AL151" s="103"/>
      <c r="AM151" s="103"/>
    </row>
    <row r="152">
      <c r="A152" s="94">
        <v>151.0</v>
      </c>
      <c r="B152" s="95">
        <v>43859.0</v>
      </c>
      <c r="C152" s="17">
        <v>12020.0</v>
      </c>
      <c r="D152" s="96" t="s">
        <v>599</v>
      </c>
      <c r="E152" s="94" t="s">
        <v>38</v>
      </c>
      <c r="F152" s="96" t="s">
        <v>600</v>
      </c>
      <c r="G152" s="94" t="s">
        <v>64</v>
      </c>
      <c r="H152" s="94" t="s">
        <v>41</v>
      </c>
      <c r="I152" s="94" t="s">
        <v>42</v>
      </c>
      <c r="J152" s="97">
        <v>2.0</v>
      </c>
      <c r="K152" s="97">
        <v>2.0</v>
      </c>
      <c r="L152" s="98"/>
      <c r="M152" s="98"/>
      <c r="N152" s="98"/>
      <c r="O152" s="98"/>
      <c r="P152" s="98"/>
      <c r="Q152" s="99"/>
      <c r="R152" s="99"/>
      <c r="S152" s="94" t="s">
        <v>114</v>
      </c>
      <c r="T152" s="94" t="s">
        <v>66</v>
      </c>
      <c r="U152" s="94" t="s">
        <v>67</v>
      </c>
      <c r="V152" s="94" t="s">
        <v>78</v>
      </c>
      <c r="W152" s="100"/>
      <c r="X152" s="100"/>
      <c r="Y152" s="100"/>
      <c r="Z152" s="100"/>
      <c r="AA152" s="101">
        <v>11628.0</v>
      </c>
      <c r="AB152" s="101">
        <v>34882.0</v>
      </c>
      <c r="AC152" s="24" t="s">
        <v>601</v>
      </c>
      <c r="AD152" s="17">
        <v>3907.0</v>
      </c>
      <c r="AE152" s="27" t="s">
        <v>602</v>
      </c>
      <c r="AF152" s="94" t="str">
        <f t="shared" si="1"/>
        <v>Buenos Aires, Argentina</v>
      </c>
      <c r="AG152" s="94">
        <f t="shared" si="2"/>
        <v>4</v>
      </c>
      <c r="AH152" s="102">
        <f t="shared" si="3"/>
        <v>0</v>
      </c>
      <c r="AI152" s="102">
        <f t="shared" si="4"/>
        <v>0</v>
      </c>
      <c r="AJ152" s="101">
        <f t="shared" si="5"/>
        <v>46510</v>
      </c>
      <c r="AK152" s="101">
        <f t="shared" si="6"/>
        <v>46510</v>
      </c>
      <c r="AL152" s="103"/>
      <c r="AM152" s="103"/>
    </row>
    <row r="153">
      <c r="A153" s="94">
        <v>152.0</v>
      </c>
      <c r="B153" s="95">
        <v>43861.0</v>
      </c>
      <c r="C153" s="17">
        <v>12020.0</v>
      </c>
      <c r="D153" s="96" t="s">
        <v>603</v>
      </c>
      <c r="E153" s="94" t="s">
        <v>38</v>
      </c>
      <c r="F153" s="96" t="s">
        <v>604</v>
      </c>
      <c r="G153" s="94" t="s">
        <v>40</v>
      </c>
      <c r="H153" s="94" t="s">
        <v>41</v>
      </c>
      <c r="I153" s="94" t="s">
        <v>42</v>
      </c>
      <c r="J153" s="97">
        <v>7.0</v>
      </c>
      <c r="K153" s="97">
        <v>4.0</v>
      </c>
      <c r="L153" s="98"/>
      <c r="M153" s="98"/>
      <c r="N153" s="98"/>
      <c r="O153" s="98"/>
      <c r="P153" s="98"/>
      <c r="Q153" s="99"/>
      <c r="R153" s="99"/>
      <c r="S153" s="94" t="s">
        <v>98</v>
      </c>
      <c r="T153" s="94" t="s">
        <v>58</v>
      </c>
      <c r="U153" s="94" t="s">
        <v>342</v>
      </c>
      <c r="V153" s="94" t="s">
        <v>217</v>
      </c>
      <c r="W153" s="100"/>
      <c r="X153" s="100"/>
      <c r="Y153" s="100"/>
      <c r="Z153" s="100"/>
      <c r="AA153" s="101">
        <v>34281.0</v>
      </c>
      <c r="AB153" s="101">
        <v>102843.0</v>
      </c>
      <c r="AC153" s="24" t="s">
        <v>605</v>
      </c>
      <c r="AD153" s="17">
        <v>3913.0</v>
      </c>
      <c r="AE153" s="27" t="s">
        <v>606</v>
      </c>
      <c r="AF153" s="94" t="str">
        <f t="shared" si="1"/>
        <v>Córdoba, Argentina</v>
      </c>
      <c r="AG153" s="94">
        <f t="shared" si="2"/>
        <v>11</v>
      </c>
      <c r="AH153" s="102">
        <f t="shared" si="3"/>
        <v>0</v>
      </c>
      <c r="AI153" s="102">
        <f t="shared" si="4"/>
        <v>0</v>
      </c>
      <c r="AJ153" s="101">
        <f t="shared" si="5"/>
        <v>137124</v>
      </c>
      <c r="AK153" s="101">
        <f t="shared" si="6"/>
        <v>137124</v>
      </c>
      <c r="AL153" s="103"/>
      <c r="AM153" s="103"/>
    </row>
    <row r="154">
      <c r="A154" s="94">
        <v>153.0</v>
      </c>
      <c r="B154" s="95">
        <v>43858.0</v>
      </c>
      <c r="C154" s="17">
        <v>12020.0</v>
      </c>
      <c r="D154" s="96" t="s">
        <v>607</v>
      </c>
      <c r="E154" s="94" t="s">
        <v>38</v>
      </c>
      <c r="F154" s="96" t="s">
        <v>517</v>
      </c>
      <c r="G154" s="94" t="s">
        <v>40</v>
      </c>
      <c r="H154" s="94" t="s">
        <v>41</v>
      </c>
      <c r="I154" s="94" t="s">
        <v>42</v>
      </c>
      <c r="J154" s="97">
        <v>1.0</v>
      </c>
      <c r="K154" s="98"/>
      <c r="L154" s="98"/>
      <c r="M154" s="98"/>
      <c r="N154" s="98"/>
      <c r="O154" s="98"/>
      <c r="P154" s="98"/>
      <c r="Q154" s="99"/>
      <c r="R154" s="99"/>
      <c r="S154" s="94" t="s">
        <v>189</v>
      </c>
      <c r="T154" s="94" t="s">
        <v>66</v>
      </c>
      <c r="U154" s="94" t="s">
        <v>163</v>
      </c>
      <c r="V154" s="94" t="s">
        <v>59</v>
      </c>
      <c r="W154" s="100"/>
      <c r="X154" s="100"/>
      <c r="Y154" s="100"/>
      <c r="Z154" s="100"/>
      <c r="AA154" s="101">
        <v>3950.0</v>
      </c>
      <c r="AB154" s="101">
        <v>11850.0</v>
      </c>
      <c r="AC154" s="24" t="s">
        <v>608</v>
      </c>
      <c r="AD154" s="17">
        <v>3767.0</v>
      </c>
      <c r="AE154" s="27" t="s">
        <v>609</v>
      </c>
      <c r="AF154" s="94" t="str">
        <f t="shared" si="1"/>
        <v>Buenos Aires, Argentina</v>
      </c>
      <c r="AG154" s="94">
        <f t="shared" si="2"/>
        <v>1</v>
      </c>
      <c r="AH154" s="102">
        <f t="shared" si="3"/>
        <v>0</v>
      </c>
      <c r="AI154" s="102">
        <f t="shared" si="4"/>
        <v>0</v>
      </c>
      <c r="AJ154" s="101">
        <f t="shared" si="5"/>
        <v>15800</v>
      </c>
      <c r="AK154" s="101">
        <f t="shared" si="6"/>
        <v>15800</v>
      </c>
      <c r="AL154" s="103"/>
      <c r="AM154" s="103"/>
    </row>
    <row r="155">
      <c r="A155" s="94">
        <v>154.0</v>
      </c>
      <c r="B155" s="95">
        <v>43859.0</v>
      </c>
      <c r="C155" s="17">
        <v>12020.0</v>
      </c>
      <c r="D155" s="96" t="s">
        <v>610</v>
      </c>
      <c r="E155" s="94" t="s">
        <v>38</v>
      </c>
      <c r="F155" s="96" t="s">
        <v>611</v>
      </c>
      <c r="G155" s="94" t="s">
        <v>40</v>
      </c>
      <c r="H155" s="94" t="s">
        <v>547</v>
      </c>
      <c r="I155" s="94" t="s">
        <v>42</v>
      </c>
      <c r="J155" s="97">
        <v>1.0</v>
      </c>
      <c r="K155" s="98"/>
      <c r="L155" s="98"/>
      <c r="M155" s="97">
        <v>1.0</v>
      </c>
      <c r="N155" s="98"/>
      <c r="O155" s="98"/>
      <c r="P155" s="98"/>
      <c r="Q155" s="99"/>
      <c r="R155" s="99"/>
      <c r="S155" s="94" t="s">
        <v>105</v>
      </c>
      <c r="T155" s="94" t="s">
        <v>66</v>
      </c>
      <c r="U155" s="94" t="s">
        <v>45</v>
      </c>
      <c r="V155" s="94" t="s">
        <v>59</v>
      </c>
      <c r="W155" s="100"/>
      <c r="X155" s="100"/>
      <c r="Y155" s="100"/>
      <c r="Z155" s="100"/>
      <c r="AA155" s="101">
        <v>1975.0</v>
      </c>
      <c r="AB155" s="101">
        <v>0.0</v>
      </c>
      <c r="AC155" s="24" t="s">
        <v>612</v>
      </c>
      <c r="AD155" s="17">
        <v>3921.0</v>
      </c>
      <c r="AE155" s="27" t="s">
        <v>613</v>
      </c>
      <c r="AF155" s="94" t="str">
        <f t="shared" si="1"/>
        <v>Buenos Aires, Argentina</v>
      </c>
      <c r="AG155" s="94">
        <f t="shared" si="2"/>
        <v>2</v>
      </c>
      <c r="AH155" s="102">
        <f t="shared" si="3"/>
        <v>0</v>
      </c>
      <c r="AI155" s="102">
        <f t="shared" si="4"/>
        <v>0</v>
      </c>
      <c r="AJ155" s="101">
        <f t="shared" si="5"/>
        <v>1975</v>
      </c>
      <c r="AK155" s="101">
        <f t="shared" si="6"/>
        <v>1975</v>
      </c>
      <c r="AL155" s="103"/>
      <c r="AM155" s="103"/>
    </row>
    <row r="156">
      <c r="A156" s="94">
        <v>155.0</v>
      </c>
      <c r="B156" s="95">
        <v>43860.0</v>
      </c>
      <c r="C156" s="17">
        <v>12020.0</v>
      </c>
      <c r="D156" s="96" t="s">
        <v>614</v>
      </c>
      <c r="E156" s="94" t="s">
        <v>38</v>
      </c>
      <c r="F156" s="96" t="s">
        <v>615</v>
      </c>
      <c r="G156" s="94" t="s">
        <v>40</v>
      </c>
      <c r="H156" s="94" t="s">
        <v>41</v>
      </c>
      <c r="I156" s="94" t="s">
        <v>42</v>
      </c>
      <c r="J156" s="97">
        <v>2.0</v>
      </c>
      <c r="K156" s="97">
        <v>2.0</v>
      </c>
      <c r="L156" s="98"/>
      <c r="M156" s="97">
        <v>1.0</v>
      </c>
      <c r="N156" s="98"/>
      <c r="O156" s="98"/>
      <c r="P156" s="98"/>
      <c r="Q156" s="99"/>
      <c r="R156" s="99"/>
      <c r="S156" s="94" t="s">
        <v>105</v>
      </c>
      <c r="T156" s="94" t="s">
        <v>66</v>
      </c>
      <c r="U156" s="94" t="s">
        <v>342</v>
      </c>
      <c r="V156" s="94" t="s">
        <v>59</v>
      </c>
      <c r="W156" s="100"/>
      <c r="X156" s="100"/>
      <c r="Y156" s="100"/>
      <c r="Z156" s="100"/>
      <c r="AA156" s="101">
        <v>13120.0</v>
      </c>
      <c r="AB156" s="101">
        <v>39360.0</v>
      </c>
      <c r="AC156" s="24" t="s">
        <v>616</v>
      </c>
      <c r="AD156" s="17">
        <v>3985.0</v>
      </c>
      <c r="AE156" s="27" t="s">
        <v>617</v>
      </c>
      <c r="AF156" s="94" t="str">
        <f t="shared" si="1"/>
        <v>Buenos Aires, Argentina</v>
      </c>
      <c r="AG156" s="94">
        <f t="shared" si="2"/>
        <v>5</v>
      </c>
      <c r="AH156" s="102">
        <f t="shared" si="3"/>
        <v>0</v>
      </c>
      <c r="AI156" s="102">
        <f t="shared" si="4"/>
        <v>0</v>
      </c>
      <c r="AJ156" s="101">
        <f t="shared" si="5"/>
        <v>52480</v>
      </c>
      <c r="AK156" s="101">
        <f t="shared" si="6"/>
        <v>52480</v>
      </c>
      <c r="AL156" s="103"/>
      <c r="AM156" s="103"/>
    </row>
    <row r="157">
      <c r="A157" s="94">
        <v>156.0</v>
      </c>
      <c r="B157" s="95">
        <v>43860.0</v>
      </c>
      <c r="C157" s="17">
        <v>12020.0</v>
      </c>
      <c r="D157" s="96" t="s">
        <v>618</v>
      </c>
      <c r="E157" s="94" t="s">
        <v>38</v>
      </c>
      <c r="F157" s="96" t="s">
        <v>546</v>
      </c>
      <c r="G157" s="94" t="s">
        <v>40</v>
      </c>
      <c r="H157" s="94" t="s">
        <v>547</v>
      </c>
      <c r="I157" s="94" t="s">
        <v>42</v>
      </c>
      <c r="J157" s="97">
        <v>1.0</v>
      </c>
      <c r="K157" s="98"/>
      <c r="L157" s="98"/>
      <c r="M157" s="98"/>
      <c r="N157" s="98"/>
      <c r="O157" s="98"/>
      <c r="P157" s="98"/>
      <c r="Q157" s="99"/>
      <c r="R157" s="99"/>
      <c r="S157" s="94" t="s">
        <v>43</v>
      </c>
      <c r="T157" s="94" t="s">
        <v>66</v>
      </c>
      <c r="U157" s="94" t="s">
        <v>163</v>
      </c>
      <c r="V157" s="94" t="s">
        <v>399</v>
      </c>
      <c r="W157" s="100"/>
      <c r="X157" s="100"/>
      <c r="Y157" s="100"/>
      <c r="Z157" s="100"/>
      <c r="AA157" s="101">
        <v>1975.0</v>
      </c>
      <c r="AB157" s="101">
        <v>0.0</v>
      </c>
      <c r="AC157" s="24" t="s">
        <v>619</v>
      </c>
      <c r="AD157" s="17">
        <v>3983.0</v>
      </c>
      <c r="AE157" s="27" t="s">
        <v>620</v>
      </c>
      <c r="AF157" s="94" t="str">
        <f t="shared" si="1"/>
        <v>Buenos Aires, Argentina</v>
      </c>
      <c r="AG157" s="94">
        <f t="shared" si="2"/>
        <v>1</v>
      </c>
      <c r="AH157" s="102">
        <f t="shared" si="3"/>
        <v>0</v>
      </c>
      <c r="AI157" s="102">
        <f t="shared" si="4"/>
        <v>0</v>
      </c>
      <c r="AJ157" s="101">
        <f t="shared" si="5"/>
        <v>1975</v>
      </c>
      <c r="AK157" s="101">
        <f t="shared" si="6"/>
        <v>1975</v>
      </c>
      <c r="AL157" s="103"/>
      <c r="AM157" s="103"/>
    </row>
    <row r="158">
      <c r="A158" s="94">
        <v>157.0</v>
      </c>
      <c r="B158" s="95">
        <v>43860.0</v>
      </c>
      <c r="C158" s="17">
        <v>12020.0</v>
      </c>
      <c r="D158" s="96" t="s">
        <v>621</v>
      </c>
      <c r="E158" s="94" t="s">
        <v>38</v>
      </c>
      <c r="F158" s="96" t="s">
        <v>517</v>
      </c>
      <c r="G158" s="94" t="s">
        <v>40</v>
      </c>
      <c r="H158" s="94" t="s">
        <v>41</v>
      </c>
      <c r="I158" s="94" t="s">
        <v>42</v>
      </c>
      <c r="J158" s="97">
        <v>1.0</v>
      </c>
      <c r="K158" s="98"/>
      <c r="L158" s="98"/>
      <c r="M158" s="98"/>
      <c r="N158" s="98"/>
      <c r="O158" s="98"/>
      <c r="P158" s="98"/>
      <c r="Q158" s="99"/>
      <c r="R158" s="99"/>
      <c r="S158" s="94" t="s">
        <v>72</v>
      </c>
      <c r="T158" s="94" t="s">
        <v>66</v>
      </c>
      <c r="U158" s="94" t="s">
        <v>53</v>
      </c>
      <c r="V158" s="94" t="s">
        <v>84</v>
      </c>
      <c r="W158" s="100"/>
      <c r="X158" s="100"/>
      <c r="Y158" s="100"/>
      <c r="Z158" s="100"/>
      <c r="AA158" s="101">
        <v>3555.0</v>
      </c>
      <c r="AB158" s="101">
        <v>11850.0</v>
      </c>
      <c r="AC158" s="24" t="s">
        <v>622</v>
      </c>
      <c r="AD158" s="17">
        <v>3981.0</v>
      </c>
      <c r="AE158" s="27" t="s">
        <v>623</v>
      </c>
      <c r="AF158" s="94" t="str">
        <f t="shared" si="1"/>
        <v>Buenos Aires, Argentina</v>
      </c>
      <c r="AG158" s="94">
        <f t="shared" si="2"/>
        <v>1</v>
      </c>
      <c r="AH158" s="102">
        <f t="shared" si="3"/>
        <v>0</v>
      </c>
      <c r="AI158" s="102">
        <f t="shared" si="4"/>
        <v>0</v>
      </c>
      <c r="AJ158" s="101">
        <f t="shared" si="5"/>
        <v>15405</v>
      </c>
      <c r="AK158" s="101">
        <f t="shared" si="6"/>
        <v>15405</v>
      </c>
      <c r="AL158" s="103"/>
      <c r="AM158" s="103"/>
    </row>
    <row r="159">
      <c r="A159" s="94">
        <v>158.0</v>
      </c>
      <c r="B159" s="95">
        <v>43860.0</v>
      </c>
      <c r="C159" s="17">
        <v>12020.0</v>
      </c>
      <c r="D159" s="96" t="s">
        <v>624</v>
      </c>
      <c r="E159" s="94" t="s">
        <v>38</v>
      </c>
      <c r="F159" s="96" t="s">
        <v>625</v>
      </c>
      <c r="G159" s="94" t="s">
        <v>40</v>
      </c>
      <c r="H159" s="94" t="s">
        <v>547</v>
      </c>
      <c r="I159" s="94" t="s">
        <v>42</v>
      </c>
      <c r="J159" s="97">
        <v>1.0</v>
      </c>
      <c r="K159" s="97">
        <v>1.0</v>
      </c>
      <c r="L159" s="98"/>
      <c r="M159" s="98"/>
      <c r="N159" s="98"/>
      <c r="O159" s="98"/>
      <c r="P159" s="98"/>
      <c r="Q159" s="99"/>
      <c r="R159" s="99"/>
      <c r="S159" s="94" t="s">
        <v>137</v>
      </c>
      <c r="T159" s="94" t="s">
        <v>263</v>
      </c>
      <c r="U159" s="94" t="s">
        <v>626</v>
      </c>
      <c r="V159" s="94" t="s">
        <v>46</v>
      </c>
      <c r="W159" s="100"/>
      <c r="X159" s="100"/>
      <c r="Y159" s="100"/>
      <c r="Z159" s="100"/>
      <c r="AA159" s="101">
        <v>2952.0</v>
      </c>
      <c r="AB159" s="101">
        <v>0.0</v>
      </c>
      <c r="AC159" s="24" t="s">
        <v>627</v>
      </c>
      <c r="AD159" s="17">
        <v>3423.0</v>
      </c>
      <c r="AE159" s="27" t="s">
        <v>628</v>
      </c>
      <c r="AF159" s="94" t="str">
        <f t="shared" si="1"/>
        <v>Santa Fé, Argentina</v>
      </c>
      <c r="AG159" s="94">
        <f t="shared" si="2"/>
        <v>2</v>
      </c>
      <c r="AH159" s="102">
        <f t="shared" si="3"/>
        <v>0</v>
      </c>
      <c r="AI159" s="102">
        <f t="shared" si="4"/>
        <v>0</v>
      </c>
      <c r="AJ159" s="101">
        <f t="shared" si="5"/>
        <v>2952</v>
      </c>
      <c r="AK159" s="101">
        <f t="shared" si="6"/>
        <v>2952</v>
      </c>
      <c r="AL159" s="103"/>
      <c r="AM159" s="103"/>
    </row>
    <row r="160">
      <c r="A160" s="104">
        <v>159.0</v>
      </c>
      <c r="B160" s="105">
        <v>43865.0</v>
      </c>
      <c r="C160" s="17">
        <v>22020.0</v>
      </c>
      <c r="D160" s="106" t="s">
        <v>629</v>
      </c>
      <c r="E160" s="104" t="s">
        <v>38</v>
      </c>
      <c r="F160" s="106" t="s">
        <v>630</v>
      </c>
      <c r="G160" s="104" t="s">
        <v>40</v>
      </c>
      <c r="H160" s="104" t="s">
        <v>547</v>
      </c>
      <c r="I160" s="104" t="s">
        <v>42</v>
      </c>
      <c r="J160" s="107">
        <v>2.0</v>
      </c>
      <c r="K160" s="107">
        <v>1.0</v>
      </c>
      <c r="L160" s="108"/>
      <c r="M160" s="108"/>
      <c r="N160" s="108"/>
      <c r="O160" s="108"/>
      <c r="P160" s="108"/>
      <c r="Q160" s="109"/>
      <c r="R160" s="109"/>
      <c r="S160" s="104" t="s">
        <v>189</v>
      </c>
      <c r="T160" s="104" t="s">
        <v>66</v>
      </c>
      <c r="U160" s="104" t="s">
        <v>342</v>
      </c>
      <c r="V160" s="104" t="s">
        <v>59</v>
      </c>
      <c r="W160" s="110"/>
      <c r="X160" s="110"/>
      <c r="Y160" s="110"/>
      <c r="Z160" s="110"/>
      <c r="AA160" s="111">
        <v>5255.0</v>
      </c>
      <c r="AB160" s="111">
        <v>0.0</v>
      </c>
      <c r="AC160" s="24" t="s">
        <v>631</v>
      </c>
      <c r="AD160" s="17">
        <v>3989.0</v>
      </c>
      <c r="AE160" s="27" t="s">
        <v>632</v>
      </c>
      <c r="AF160" s="104" t="str">
        <f t="shared" si="1"/>
        <v>Buenos Aires, Argentina</v>
      </c>
      <c r="AG160" s="104">
        <f t="shared" si="2"/>
        <v>3</v>
      </c>
      <c r="AH160" s="112">
        <f t="shared" si="3"/>
        <v>0</v>
      </c>
      <c r="AI160" s="112">
        <f t="shared" si="4"/>
        <v>0</v>
      </c>
      <c r="AJ160" s="111">
        <f t="shared" si="5"/>
        <v>5255</v>
      </c>
      <c r="AK160" s="111">
        <f t="shared" si="6"/>
        <v>5255</v>
      </c>
      <c r="AL160" s="113"/>
      <c r="AM160" s="113"/>
    </row>
    <row r="161">
      <c r="A161" s="104">
        <v>160.0</v>
      </c>
      <c r="B161" s="105">
        <v>43866.0</v>
      </c>
      <c r="C161" s="17">
        <v>22020.0</v>
      </c>
      <c r="D161" s="106" t="s">
        <v>633</v>
      </c>
      <c r="E161" s="104" t="s">
        <v>38</v>
      </c>
      <c r="F161" s="106" t="s">
        <v>634</v>
      </c>
      <c r="G161" s="104" t="s">
        <v>64</v>
      </c>
      <c r="H161" s="104" t="s">
        <v>41</v>
      </c>
      <c r="I161" s="104" t="s">
        <v>42</v>
      </c>
      <c r="J161" s="108"/>
      <c r="K161" s="108"/>
      <c r="L161" s="108"/>
      <c r="M161" s="108"/>
      <c r="N161" s="108"/>
      <c r="O161" s="108"/>
      <c r="P161" s="108"/>
      <c r="Q161" s="109"/>
      <c r="R161" s="109"/>
      <c r="S161" s="104" t="s">
        <v>109</v>
      </c>
      <c r="T161" s="104" t="s">
        <v>83</v>
      </c>
      <c r="U161" s="104" t="s">
        <v>67</v>
      </c>
      <c r="V161" s="104" t="s">
        <v>84</v>
      </c>
      <c r="W161" s="110"/>
      <c r="X161" s="110"/>
      <c r="Y161" s="110"/>
      <c r="Z161" s="110"/>
      <c r="AA161" s="111">
        <v>0.0</v>
      </c>
      <c r="AB161" s="111">
        <v>195906.0</v>
      </c>
      <c r="AC161" s="24" t="s">
        <v>635</v>
      </c>
      <c r="AD161" s="17">
        <v>3987.0</v>
      </c>
      <c r="AE161" s="82" t="s">
        <v>636</v>
      </c>
      <c r="AF161" s="104" t="str">
        <f t="shared" si="1"/>
        <v>Capital Federal, Argentina</v>
      </c>
      <c r="AG161" s="104">
        <f t="shared" si="2"/>
        <v>0</v>
      </c>
      <c r="AH161" s="112">
        <f t="shared" si="3"/>
        <v>0</v>
      </c>
      <c r="AI161" s="112">
        <f t="shared" si="4"/>
        <v>0</v>
      </c>
      <c r="AJ161" s="111">
        <f t="shared" si="5"/>
        <v>195906</v>
      </c>
      <c r="AK161" s="111">
        <f t="shared" si="6"/>
        <v>195906</v>
      </c>
      <c r="AL161" s="113"/>
      <c r="AM161" s="113"/>
    </row>
    <row r="162">
      <c r="A162" s="104">
        <v>161.0</v>
      </c>
      <c r="B162" s="105">
        <v>43867.0</v>
      </c>
      <c r="C162" s="17">
        <v>22020.0</v>
      </c>
      <c r="D162" s="106" t="s">
        <v>637</v>
      </c>
      <c r="E162" s="104" t="s">
        <v>38</v>
      </c>
      <c r="F162" s="106" t="s">
        <v>546</v>
      </c>
      <c r="G162" s="104" t="s">
        <v>40</v>
      </c>
      <c r="H162" s="104" t="s">
        <v>547</v>
      </c>
      <c r="I162" s="104" t="s">
        <v>42</v>
      </c>
      <c r="J162" s="107">
        <v>1.0</v>
      </c>
      <c r="K162" s="108"/>
      <c r="L162" s="108"/>
      <c r="M162" s="108"/>
      <c r="N162" s="108"/>
      <c r="O162" s="108"/>
      <c r="P162" s="108"/>
      <c r="Q162" s="109"/>
      <c r="R162" s="109"/>
      <c r="S162" s="104" t="s">
        <v>105</v>
      </c>
      <c r="T162" s="104" t="s">
        <v>638</v>
      </c>
      <c r="U162" s="104" t="s">
        <v>45</v>
      </c>
      <c r="V162" s="104" t="s">
        <v>46</v>
      </c>
      <c r="W162" s="110"/>
      <c r="X162" s="110"/>
      <c r="Y162" s="110"/>
      <c r="Z162" s="110"/>
      <c r="AA162" s="111">
        <v>1975.0</v>
      </c>
      <c r="AB162" s="111">
        <v>0.0</v>
      </c>
      <c r="AC162" s="24" t="s">
        <v>639</v>
      </c>
      <c r="AD162" s="17">
        <v>3943.0</v>
      </c>
      <c r="AE162" s="27" t="s">
        <v>640</v>
      </c>
      <c r="AF162" s="104" t="str">
        <f t="shared" si="1"/>
        <v>Chaco, Argentina</v>
      </c>
      <c r="AG162" s="104">
        <f t="shared" si="2"/>
        <v>1</v>
      </c>
      <c r="AH162" s="112">
        <f t="shared" si="3"/>
        <v>0</v>
      </c>
      <c r="AI162" s="112">
        <f t="shared" si="4"/>
        <v>0</v>
      </c>
      <c r="AJ162" s="111">
        <f t="shared" si="5"/>
        <v>1975</v>
      </c>
      <c r="AK162" s="111">
        <f t="shared" si="6"/>
        <v>1975</v>
      </c>
      <c r="AL162" s="113"/>
      <c r="AM162" s="113"/>
    </row>
    <row r="163">
      <c r="A163" s="104">
        <v>162.0</v>
      </c>
      <c r="B163" s="105">
        <v>43867.0</v>
      </c>
      <c r="C163" s="17">
        <v>22020.0</v>
      </c>
      <c r="D163" s="106" t="s">
        <v>641</v>
      </c>
      <c r="E163" s="104" t="s">
        <v>38</v>
      </c>
      <c r="F163" s="106" t="s">
        <v>642</v>
      </c>
      <c r="G163" s="104" t="s">
        <v>64</v>
      </c>
      <c r="H163" s="104" t="s">
        <v>227</v>
      </c>
      <c r="I163" s="104" t="s">
        <v>643</v>
      </c>
      <c r="J163" s="108"/>
      <c r="K163" s="108"/>
      <c r="L163" s="108"/>
      <c r="M163" s="108"/>
      <c r="N163" s="108"/>
      <c r="O163" s="108"/>
      <c r="P163" s="108"/>
      <c r="Q163" s="109"/>
      <c r="R163" s="109"/>
      <c r="S163" s="104" t="s">
        <v>109</v>
      </c>
      <c r="T163" s="104" t="s">
        <v>83</v>
      </c>
      <c r="U163" s="104" t="s">
        <v>67</v>
      </c>
      <c r="V163" s="104" t="s">
        <v>84</v>
      </c>
      <c r="W163" s="110"/>
      <c r="X163" s="110"/>
      <c r="Y163" s="110"/>
      <c r="Z163" s="110"/>
      <c r="AA163" s="111">
        <v>0.0</v>
      </c>
      <c r="AB163" s="111">
        <v>3431034.0</v>
      </c>
      <c r="AC163" s="24" t="s">
        <v>644</v>
      </c>
      <c r="AD163" s="17">
        <v>3963.0</v>
      </c>
      <c r="AE163" s="27" t="s">
        <v>645</v>
      </c>
      <c r="AF163" s="104" t="str">
        <f t="shared" si="1"/>
        <v>Capital Federal, Argentina</v>
      </c>
      <c r="AG163" s="104">
        <f t="shared" si="2"/>
        <v>0</v>
      </c>
      <c r="AH163" s="112">
        <f t="shared" si="3"/>
        <v>0</v>
      </c>
      <c r="AI163" s="112">
        <f t="shared" si="4"/>
        <v>0</v>
      </c>
      <c r="AJ163" s="111">
        <f t="shared" si="5"/>
        <v>3431034</v>
      </c>
      <c r="AK163" s="111">
        <f t="shared" si="6"/>
        <v>3431034</v>
      </c>
      <c r="AL163" s="113"/>
      <c r="AM163" s="113"/>
    </row>
    <row r="164">
      <c r="A164" s="104">
        <v>163.0</v>
      </c>
      <c r="B164" s="105">
        <v>43872.0</v>
      </c>
      <c r="C164" s="17">
        <v>22020.0</v>
      </c>
      <c r="D164" s="106" t="s">
        <v>646</v>
      </c>
      <c r="E164" s="104" t="s">
        <v>38</v>
      </c>
      <c r="F164" s="106" t="s">
        <v>647</v>
      </c>
      <c r="G164" s="104" t="s">
        <v>40</v>
      </c>
      <c r="H164" s="104" t="s">
        <v>41</v>
      </c>
      <c r="I164" s="104" t="s">
        <v>42</v>
      </c>
      <c r="J164" s="107">
        <v>1.0</v>
      </c>
      <c r="K164" s="107">
        <v>1.0</v>
      </c>
      <c r="L164" s="108"/>
      <c r="M164" s="108"/>
      <c r="N164" s="108"/>
      <c r="O164" s="108"/>
      <c r="P164" s="108"/>
      <c r="Q164" s="109"/>
      <c r="R164" s="109"/>
      <c r="S164" s="104" t="s">
        <v>114</v>
      </c>
      <c r="T164" s="104" t="s">
        <v>66</v>
      </c>
      <c r="U164" s="104" t="s">
        <v>342</v>
      </c>
      <c r="V164" s="104" t="s">
        <v>84</v>
      </c>
      <c r="W164" s="110"/>
      <c r="X164" s="110"/>
      <c r="Y164" s="110"/>
      <c r="Z164" s="110"/>
      <c r="AA164" s="111">
        <v>6560.0</v>
      </c>
      <c r="AB164" s="111">
        <v>19680.0</v>
      </c>
      <c r="AC164" s="24" t="s">
        <v>648</v>
      </c>
      <c r="AD164" s="17">
        <v>3999.0</v>
      </c>
      <c r="AE164" s="27" t="s">
        <v>649</v>
      </c>
      <c r="AF164" s="104" t="str">
        <f t="shared" si="1"/>
        <v>Buenos Aires, Argentina</v>
      </c>
      <c r="AG164" s="104">
        <f t="shared" si="2"/>
        <v>2</v>
      </c>
      <c r="AH164" s="112">
        <f t="shared" si="3"/>
        <v>0</v>
      </c>
      <c r="AI164" s="112">
        <f t="shared" si="4"/>
        <v>0</v>
      </c>
      <c r="AJ164" s="111">
        <f t="shared" si="5"/>
        <v>26240</v>
      </c>
      <c r="AK164" s="111">
        <f t="shared" si="6"/>
        <v>26240</v>
      </c>
      <c r="AL164" s="113"/>
      <c r="AM164" s="113"/>
    </row>
    <row r="165">
      <c r="A165" s="104">
        <v>164.0</v>
      </c>
      <c r="B165" s="105">
        <v>43873.0</v>
      </c>
      <c r="C165" s="17">
        <v>22020.0</v>
      </c>
      <c r="D165" s="106" t="s">
        <v>650</v>
      </c>
      <c r="E165" s="104" t="s">
        <v>38</v>
      </c>
      <c r="F165" s="106" t="s">
        <v>651</v>
      </c>
      <c r="G165" s="104" t="s">
        <v>64</v>
      </c>
      <c r="H165" s="104" t="s">
        <v>41</v>
      </c>
      <c r="I165" s="104" t="s">
        <v>42</v>
      </c>
      <c r="J165" s="108"/>
      <c r="K165" s="108"/>
      <c r="L165" s="108"/>
      <c r="M165" s="108"/>
      <c r="N165" s="107">
        <v>1.0</v>
      </c>
      <c r="O165" s="108"/>
      <c r="P165" s="108"/>
      <c r="Q165" s="109"/>
      <c r="R165" s="109"/>
      <c r="S165" s="104" t="s">
        <v>105</v>
      </c>
      <c r="T165" s="104" t="s">
        <v>66</v>
      </c>
      <c r="U165" s="104" t="s">
        <v>99</v>
      </c>
      <c r="V165" s="104" t="s">
        <v>78</v>
      </c>
      <c r="W165" s="110"/>
      <c r="X165" s="110"/>
      <c r="Y165" s="110"/>
      <c r="Z165" s="110"/>
      <c r="AA165" s="111">
        <v>4528.0</v>
      </c>
      <c r="AB165" s="111">
        <v>0.0</v>
      </c>
      <c r="AC165" s="24" t="s">
        <v>652</v>
      </c>
      <c r="AD165" s="81">
        <v>4001.0</v>
      </c>
      <c r="AE165" s="82" t="s">
        <v>653</v>
      </c>
      <c r="AF165" s="104" t="str">
        <f t="shared" si="1"/>
        <v>Buenos Aires, Argentina</v>
      </c>
      <c r="AG165" s="104">
        <f t="shared" si="2"/>
        <v>1</v>
      </c>
      <c r="AH165" s="112">
        <f t="shared" si="3"/>
        <v>0</v>
      </c>
      <c r="AI165" s="112">
        <f t="shared" si="4"/>
        <v>0</v>
      </c>
      <c r="AJ165" s="111">
        <f t="shared" si="5"/>
        <v>4528</v>
      </c>
      <c r="AK165" s="111">
        <f t="shared" si="6"/>
        <v>4528</v>
      </c>
      <c r="AL165" s="113"/>
      <c r="AM165" s="113"/>
    </row>
    <row r="166">
      <c r="A166" s="104">
        <v>165.0</v>
      </c>
      <c r="B166" s="105">
        <v>43874.0</v>
      </c>
      <c r="C166" s="17">
        <v>22020.0</v>
      </c>
      <c r="D166" s="106" t="s">
        <v>654</v>
      </c>
      <c r="E166" s="104" t="s">
        <v>38</v>
      </c>
      <c r="F166" s="106" t="s">
        <v>546</v>
      </c>
      <c r="G166" s="104" t="s">
        <v>40</v>
      </c>
      <c r="H166" s="104" t="s">
        <v>547</v>
      </c>
      <c r="I166" s="104" t="s">
        <v>42</v>
      </c>
      <c r="J166" s="107">
        <v>1.0</v>
      </c>
      <c r="K166" s="108"/>
      <c r="L166" s="108"/>
      <c r="M166" s="108"/>
      <c r="N166" s="108"/>
      <c r="O166" s="108"/>
      <c r="P166" s="108"/>
      <c r="Q166" s="109"/>
      <c r="R166" s="109"/>
      <c r="S166" s="104" t="s">
        <v>114</v>
      </c>
      <c r="T166" s="104" t="s">
        <v>655</v>
      </c>
      <c r="U166" s="104" t="s">
        <v>45</v>
      </c>
      <c r="V166" s="104" t="s">
        <v>46</v>
      </c>
      <c r="W166" s="110"/>
      <c r="X166" s="110"/>
      <c r="Y166" s="110"/>
      <c r="Z166" s="110"/>
      <c r="AA166" s="111">
        <v>1975.0</v>
      </c>
      <c r="AB166" s="111">
        <v>0.0</v>
      </c>
      <c r="AC166" s="24" t="s">
        <v>656</v>
      </c>
      <c r="AD166" s="17">
        <v>3995.0</v>
      </c>
      <c r="AE166" s="27" t="s">
        <v>657</v>
      </c>
      <c r="AF166" s="104" t="str">
        <f t="shared" si="1"/>
        <v>La Pampa, Argentina</v>
      </c>
      <c r="AG166" s="104">
        <f t="shared" si="2"/>
        <v>1</v>
      </c>
      <c r="AH166" s="112">
        <f t="shared" si="3"/>
        <v>0</v>
      </c>
      <c r="AI166" s="112">
        <f t="shared" si="4"/>
        <v>0</v>
      </c>
      <c r="AJ166" s="111">
        <f t="shared" si="5"/>
        <v>1975</v>
      </c>
      <c r="AK166" s="111">
        <f t="shared" si="6"/>
        <v>1975</v>
      </c>
      <c r="AL166" s="113"/>
      <c r="AM166" s="113"/>
    </row>
    <row r="167">
      <c r="A167" s="104">
        <v>166.0</v>
      </c>
      <c r="B167" s="105">
        <v>43874.0</v>
      </c>
      <c r="C167" s="17">
        <v>22020.0</v>
      </c>
      <c r="D167" s="106" t="s">
        <v>658</v>
      </c>
      <c r="E167" s="104" t="s">
        <v>38</v>
      </c>
      <c r="F167" s="106" t="s">
        <v>659</v>
      </c>
      <c r="G167" s="104" t="s">
        <v>40</v>
      </c>
      <c r="H167" s="104" t="s">
        <v>41</v>
      </c>
      <c r="I167" s="104" t="s">
        <v>42</v>
      </c>
      <c r="J167" s="107">
        <v>5.0</v>
      </c>
      <c r="K167" s="108"/>
      <c r="L167" s="108"/>
      <c r="M167" s="108"/>
      <c r="N167" s="108"/>
      <c r="O167" s="108"/>
      <c r="P167" s="108"/>
      <c r="Q167" s="109"/>
      <c r="R167" s="109"/>
      <c r="S167" s="104" t="s">
        <v>105</v>
      </c>
      <c r="T167" s="104" t="s">
        <v>66</v>
      </c>
      <c r="U167" s="104" t="s">
        <v>53</v>
      </c>
      <c r="V167" s="104" t="s">
        <v>78</v>
      </c>
      <c r="W167" s="110"/>
      <c r="X167" s="110"/>
      <c r="Y167" s="110"/>
      <c r="Z167" s="110"/>
      <c r="AA167" s="111">
        <v>19750.0</v>
      </c>
      <c r="AB167" s="111">
        <v>59250.0</v>
      </c>
      <c r="AC167" s="24" t="s">
        <v>660</v>
      </c>
      <c r="AD167" s="17">
        <v>4003.0</v>
      </c>
      <c r="AE167" s="27" t="s">
        <v>661</v>
      </c>
      <c r="AF167" s="104" t="str">
        <f t="shared" si="1"/>
        <v>Buenos Aires, Argentina</v>
      </c>
      <c r="AG167" s="104">
        <f t="shared" si="2"/>
        <v>5</v>
      </c>
      <c r="AH167" s="112">
        <f t="shared" si="3"/>
        <v>0</v>
      </c>
      <c r="AI167" s="112">
        <f t="shared" si="4"/>
        <v>0</v>
      </c>
      <c r="AJ167" s="111">
        <f t="shared" si="5"/>
        <v>79000</v>
      </c>
      <c r="AK167" s="111">
        <f t="shared" si="6"/>
        <v>79000</v>
      </c>
      <c r="AL167" s="113"/>
      <c r="AM167" s="113"/>
    </row>
    <row r="168">
      <c r="A168" s="104">
        <v>167.0</v>
      </c>
      <c r="B168" s="105">
        <v>43874.0</v>
      </c>
      <c r="C168" s="17">
        <v>22020.0</v>
      </c>
      <c r="D168" s="106" t="s">
        <v>662</v>
      </c>
      <c r="E168" s="104" t="s">
        <v>38</v>
      </c>
      <c r="F168" s="106" t="s">
        <v>663</v>
      </c>
      <c r="G168" s="104" t="s">
        <v>40</v>
      </c>
      <c r="H168" s="104" t="s">
        <v>41</v>
      </c>
      <c r="I168" s="104" t="s">
        <v>42</v>
      </c>
      <c r="J168" s="107">
        <v>1.0</v>
      </c>
      <c r="K168" s="107">
        <v>1.0</v>
      </c>
      <c r="L168" s="108"/>
      <c r="M168" s="108"/>
      <c r="N168" s="108"/>
      <c r="O168" s="108"/>
      <c r="P168" s="108"/>
      <c r="Q168" s="109"/>
      <c r="R168" s="109"/>
      <c r="S168" s="104" t="s">
        <v>114</v>
      </c>
      <c r="T168" s="104" t="s">
        <v>83</v>
      </c>
      <c r="U168" s="104" t="s">
        <v>45</v>
      </c>
      <c r="V168" s="104" t="s">
        <v>59</v>
      </c>
      <c r="W168" s="110"/>
      <c r="X168" s="110"/>
      <c r="Y168" s="110"/>
      <c r="Z168" s="110"/>
      <c r="AA168" s="111">
        <v>5904.0</v>
      </c>
      <c r="AB168" s="111">
        <v>17712.0</v>
      </c>
      <c r="AC168" s="24" t="s">
        <v>664</v>
      </c>
      <c r="AD168" s="17">
        <v>4005.0</v>
      </c>
      <c r="AE168" s="27" t="s">
        <v>665</v>
      </c>
      <c r="AF168" s="104" t="str">
        <f t="shared" si="1"/>
        <v>Capital Federal, Argentina</v>
      </c>
      <c r="AG168" s="104">
        <f t="shared" si="2"/>
        <v>2</v>
      </c>
      <c r="AH168" s="112">
        <f t="shared" si="3"/>
        <v>0</v>
      </c>
      <c r="AI168" s="112">
        <f t="shared" si="4"/>
        <v>0</v>
      </c>
      <c r="AJ168" s="111">
        <f t="shared" si="5"/>
        <v>23616</v>
      </c>
      <c r="AK168" s="111">
        <f t="shared" si="6"/>
        <v>23616</v>
      </c>
      <c r="AL168" s="113"/>
      <c r="AM168" s="113"/>
    </row>
    <row r="169">
      <c r="A169" s="104">
        <v>168.0</v>
      </c>
      <c r="B169" s="105">
        <v>43875.0</v>
      </c>
      <c r="C169" s="17">
        <v>22020.0</v>
      </c>
      <c r="D169" s="106" t="s">
        <v>666</v>
      </c>
      <c r="E169" s="104" t="s">
        <v>38</v>
      </c>
      <c r="F169" s="106" t="s">
        <v>667</v>
      </c>
      <c r="G169" s="104" t="s">
        <v>40</v>
      </c>
      <c r="H169" s="104" t="s">
        <v>41</v>
      </c>
      <c r="I169" s="104" t="s">
        <v>42</v>
      </c>
      <c r="J169" s="107">
        <v>4.0</v>
      </c>
      <c r="K169" s="108"/>
      <c r="L169" s="108"/>
      <c r="M169" s="108"/>
      <c r="N169" s="108"/>
      <c r="O169" s="108"/>
      <c r="P169" s="108"/>
      <c r="Q169" s="109"/>
      <c r="R169" s="109"/>
      <c r="S169" s="104" t="s">
        <v>167</v>
      </c>
      <c r="T169" s="104" t="s">
        <v>73</v>
      </c>
      <c r="U169" s="104" t="s">
        <v>45</v>
      </c>
      <c r="V169" s="104" t="s">
        <v>78</v>
      </c>
      <c r="W169" s="110"/>
      <c r="X169" s="110"/>
      <c r="Y169" s="110"/>
      <c r="Z169" s="110"/>
      <c r="AA169" s="111">
        <v>14220.0</v>
      </c>
      <c r="AB169" s="111">
        <v>42660.0</v>
      </c>
      <c r="AC169" s="24" t="s">
        <v>668</v>
      </c>
      <c r="AD169" s="17">
        <v>4011.0</v>
      </c>
      <c r="AE169" s="27" t="s">
        <v>669</v>
      </c>
      <c r="AF169" s="104" t="str">
        <f t="shared" si="1"/>
        <v>Tierra de Fuego, Argentina</v>
      </c>
      <c r="AG169" s="104">
        <f t="shared" si="2"/>
        <v>4</v>
      </c>
      <c r="AH169" s="112">
        <f t="shared" si="3"/>
        <v>0</v>
      </c>
      <c r="AI169" s="112">
        <f t="shared" si="4"/>
        <v>0</v>
      </c>
      <c r="AJ169" s="111">
        <f t="shared" si="5"/>
        <v>56880</v>
      </c>
      <c r="AK169" s="111">
        <f t="shared" si="6"/>
        <v>56880</v>
      </c>
      <c r="AL169" s="113"/>
      <c r="AM169" s="113"/>
    </row>
    <row r="170">
      <c r="A170" s="104">
        <v>169.0</v>
      </c>
      <c r="B170" s="105">
        <v>43879.0</v>
      </c>
      <c r="C170" s="17">
        <v>22020.0</v>
      </c>
      <c r="D170" s="106" t="s">
        <v>670</v>
      </c>
      <c r="E170" s="104" t="s">
        <v>38</v>
      </c>
      <c r="F170" s="106" t="s">
        <v>517</v>
      </c>
      <c r="G170" s="104" t="s">
        <v>40</v>
      </c>
      <c r="H170" s="104" t="s">
        <v>41</v>
      </c>
      <c r="I170" s="104" t="s">
        <v>42</v>
      </c>
      <c r="J170" s="107">
        <v>1.0</v>
      </c>
      <c r="K170" s="108"/>
      <c r="L170" s="108"/>
      <c r="M170" s="108"/>
      <c r="N170" s="108"/>
      <c r="O170" s="108"/>
      <c r="P170" s="108"/>
      <c r="Q170" s="109"/>
      <c r="R170" s="109"/>
      <c r="S170" s="104" t="s">
        <v>105</v>
      </c>
      <c r="T170" s="104" t="s">
        <v>671</v>
      </c>
      <c r="U170" s="104" t="s">
        <v>53</v>
      </c>
      <c r="V170" s="104" t="s">
        <v>78</v>
      </c>
      <c r="W170" s="110"/>
      <c r="X170" s="110"/>
      <c r="Y170" s="110"/>
      <c r="Z170" s="110"/>
      <c r="AA170" s="111">
        <v>3950.0</v>
      </c>
      <c r="AB170" s="111">
        <v>11850.0</v>
      </c>
      <c r="AC170" s="24" t="s">
        <v>672</v>
      </c>
      <c r="AD170" s="17">
        <v>2907.0</v>
      </c>
      <c r="AE170" s="27" t="s">
        <v>673</v>
      </c>
      <c r="AF170" s="104" t="str">
        <f t="shared" si="1"/>
        <v>Chubut, Argentina</v>
      </c>
      <c r="AG170" s="104">
        <f t="shared" si="2"/>
        <v>1</v>
      </c>
      <c r="AH170" s="112">
        <f t="shared" si="3"/>
        <v>0</v>
      </c>
      <c r="AI170" s="112">
        <f t="shared" si="4"/>
        <v>0</v>
      </c>
      <c r="AJ170" s="111">
        <f t="shared" si="5"/>
        <v>15800</v>
      </c>
      <c r="AK170" s="111">
        <f t="shared" si="6"/>
        <v>15800</v>
      </c>
      <c r="AL170" s="113"/>
      <c r="AM170" s="113"/>
    </row>
    <row r="171">
      <c r="A171" s="104">
        <v>170.0</v>
      </c>
      <c r="B171" s="105">
        <v>43881.0</v>
      </c>
      <c r="C171" s="17">
        <v>22020.0</v>
      </c>
      <c r="D171" s="106" t="s">
        <v>674</v>
      </c>
      <c r="E171" s="104" t="s">
        <v>38</v>
      </c>
      <c r="F171" s="106" t="s">
        <v>659</v>
      </c>
      <c r="G171" s="104" t="s">
        <v>40</v>
      </c>
      <c r="H171" s="104" t="s">
        <v>41</v>
      </c>
      <c r="I171" s="104" t="s">
        <v>42</v>
      </c>
      <c r="J171" s="107">
        <v>5.0</v>
      </c>
      <c r="K171" s="108"/>
      <c r="L171" s="108"/>
      <c r="M171" s="108"/>
      <c r="N171" s="108"/>
      <c r="O171" s="108"/>
      <c r="P171" s="108"/>
      <c r="Q171" s="109"/>
      <c r="R171" s="109"/>
      <c r="S171" s="104" t="s">
        <v>72</v>
      </c>
      <c r="T171" s="104" t="s">
        <v>83</v>
      </c>
      <c r="U171" s="104" t="s">
        <v>45</v>
      </c>
      <c r="V171" s="104" t="s">
        <v>84</v>
      </c>
      <c r="W171" s="110"/>
      <c r="X171" s="110"/>
      <c r="Y171" s="110"/>
      <c r="Z171" s="110"/>
      <c r="AA171" s="111">
        <v>19750.0</v>
      </c>
      <c r="AB171" s="111">
        <v>59250.0</v>
      </c>
      <c r="AC171" s="24" t="s">
        <v>675</v>
      </c>
      <c r="AD171" s="17">
        <v>92.0</v>
      </c>
      <c r="AE171" s="27" t="s">
        <v>676</v>
      </c>
      <c r="AF171" s="104" t="str">
        <f t="shared" si="1"/>
        <v>Capital Federal, Argentina</v>
      </c>
      <c r="AG171" s="104">
        <f t="shared" si="2"/>
        <v>5</v>
      </c>
      <c r="AH171" s="112">
        <f t="shared" si="3"/>
        <v>0</v>
      </c>
      <c r="AI171" s="112">
        <f t="shared" si="4"/>
        <v>0</v>
      </c>
      <c r="AJ171" s="111">
        <f t="shared" si="5"/>
        <v>79000</v>
      </c>
      <c r="AK171" s="111">
        <f t="shared" si="6"/>
        <v>79000</v>
      </c>
      <c r="AL171" s="113"/>
      <c r="AM171" s="113"/>
    </row>
    <row r="172">
      <c r="A172" s="104">
        <v>171.0</v>
      </c>
      <c r="B172" s="105">
        <v>43881.0</v>
      </c>
      <c r="C172" s="17">
        <v>22020.0</v>
      </c>
      <c r="D172" s="106" t="s">
        <v>677</v>
      </c>
      <c r="E172" s="104" t="s">
        <v>38</v>
      </c>
      <c r="F172" s="106" t="s">
        <v>678</v>
      </c>
      <c r="G172" s="104" t="s">
        <v>40</v>
      </c>
      <c r="H172" s="104" t="s">
        <v>41</v>
      </c>
      <c r="I172" s="104" t="s">
        <v>42</v>
      </c>
      <c r="J172" s="107">
        <v>2.0</v>
      </c>
      <c r="K172" s="107">
        <v>3.0</v>
      </c>
      <c r="L172" s="108"/>
      <c r="M172" s="108"/>
      <c r="N172" s="108"/>
      <c r="O172" s="108"/>
      <c r="P172" s="108"/>
      <c r="Q172" s="109"/>
      <c r="R172" s="109"/>
      <c r="S172" s="104" t="s">
        <v>105</v>
      </c>
      <c r="T172" s="104" t="s">
        <v>83</v>
      </c>
      <c r="U172" s="104" t="s">
        <v>45</v>
      </c>
      <c r="V172" s="104" t="s">
        <v>399</v>
      </c>
      <c r="W172" s="110"/>
      <c r="X172" s="110"/>
      <c r="Y172" s="110"/>
      <c r="Z172" s="110"/>
      <c r="AA172" s="111">
        <v>15730.0</v>
      </c>
      <c r="AB172" s="111">
        <v>47190.0</v>
      </c>
      <c r="AC172" s="24" t="s">
        <v>679</v>
      </c>
      <c r="AD172" s="17">
        <v>4013.0</v>
      </c>
      <c r="AE172" s="27" t="s">
        <v>680</v>
      </c>
      <c r="AF172" s="104" t="str">
        <f t="shared" si="1"/>
        <v>Capital Federal, Argentina</v>
      </c>
      <c r="AG172" s="104">
        <f t="shared" si="2"/>
        <v>5</v>
      </c>
      <c r="AH172" s="112">
        <f t="shared" si="3"/>
        <v>0</v>
      </c>
      <c r="AI172" s="112">
        <f t="shared" si="4"/>
        <v>0</v>
      </c>
      <c r="AJ172" s="111">
        <f t="shared" si="5"/>
        <v>62920</v>
      </c>
      <c r="AK172" s="111">
        <f t="shared" si="6"/>
        <v>62920</v>
      </c>
      <c r="AL172" s="113"/>
      <c r="AM172" s="113"/>
    </row>
    <row r="173">
      <c r="A173" s="104">
        <v>172.0</v>
      </c>
      <c r="B173" s="105">
        <v>43881.0</v>
      </c>
      <c r="C173" s="17">
        <v>22020.0</v>
      </c>
      <c r="D173" s="106" t="s">
        <v>681</v>
      </c>
      <c r="E173" s="104" t="s">
        <v>38</v>
      </c>
      <c r="F173" s="106" t="s">
        <v>682</v>
      </c>
      <c r="G173" s="104" t="s">
        <v>40</v>
      </c>
      <c r="H173" s="104" t="s">
        <v>41</v>
      </c>
      <c r="I173" s="104" t="s">
        <v>42</v>
      </c>
      <c r="J173" s="107">
        <v>1.0</v>
      </c>
      <c r="K173" s="107">
        <v>1.0</v>
      </c>
      <c r="L173" s="108"/>
      <c r="M173" s="108"/>
      <c r="N173" s="108"/>
      <c r="O173" s="108"/>
      <c r="P173" s="108"/>
      <c r="Q173" s="109"/>
      <c r="R173" s="109"/>
      <c r="S173" s="104" t="s">
        <v>72</v>
      </c>
      <c r="T173" s="104" t="s">
        <v>83</v>
      </c>
      <c r="U173" s="104" t="s">
        <v>163</v>
      </c>
      <c r="V173" s="104" t="s">
        <v>59</v>
      </c>
      <c r="W173" s="110"/>
      <c r="X173" s="110"/>
      <c r="Y173" s="110"/>
      <c r="Z173" s="110"/>
      <c r="AA173" s="111">
        <v>6560.0</v>
      </c>
      <c r="AB173" s="111">
        <v>19680.0</v>
      </c>
      <c r="AC173" s="24" t="s">
        <v>683</v>
      </c>
      <c r="AD173" s="17">
        <v>4015.0</v>
      </c>
      <c r="AE173" s="27" t="s">
        <v>684</v>
      </c>
      <c r="AF173" s="104" t="str">
        <f t="shared" si="1"/>
        <v>Capital Federal, Argentina</v>
      </c>
      <c r="AG173" s="104">
        <f t="shared" si="2"/>
        <v>2</v>
      </c>
      <c r="AH173" s="112">
        <f t="shared" si="3"/>
        <v>0</v>
      </c>
      <c r="AI173" s="112">
        <f t="shared" si="4"/>
        <v>0</v>
      </c>
      <c r="AJ173" s="111">
        <f t="shared" si="5"/>
        <v>26240</v>
      </c>
      <c r="AK173" s="111">
        <f t="shared" si="6"/>
        <v>26240</v>
      </c>
      <c r="AL173" s="113"/>
      <c r="AM173" s="113"/>
    </row>
    <row r="174">
      <c r="A174" s="104">
        <v>173.0</v>
      </c>
      <c r="B174" s="105">
        <v>43888.0</v>
      </c>
      <c r="C174" s="17">
        <v>22020.0</v>
      </c>
      <c r="D174" s="106" t="s">
        <v>685</v>
      </c>
      <c r="E174" s="104" t="s">
        <v>38</v>
      </c>
      <c r="F174" s="106" t="s">
        <v>566</v>
      </c>
      <c r="G174" s="104" t="s">
        <v>40</v>
      </c>
      <c r="H174" s="104" t="s">
        <v>547</v>
      </c>
      <c r="I174" s="104" t="s">
        <v>42</v>
      </c>
      <c r="J174" s="107">
        <v>2.0</v>
      </c>
      <c r="K174" s="108"/>
      <c r="L174" s="108"/>
      <c r="M174" s="108"/>
      <c r="N174" s="108"/>
      <c r="O174" s="108"/>
      <c r="P174" s="108"/>
      <c r="Q174" s="109"/>
      <c r="R174" s="109"/>
      <c r="S174" s="104" t="s">
        <v>89</v>
      </c>
      <c r="T174" s="104" t="s">
        <v>83</v>
      </c>
      <c r="U174" s="104" t="s">
        <v>45</v>
      </c>
      <c r="V174" s="104" t="s">
        <v>84</v>
      </c>
      <c r="W174" s="110"/>
      <c r="X174" s="110"/>
      <c r="Y174" s="110"/>
      <c r="Z174" s="110"/>
      <c r="AA174" s="111">
        <v>3950.0</v>
      </c>
      <c r="AB174" s="111">
        <v>0.0</v>
      </c>
      <c r="AC174" s="24" t="s">
        <v>686</v>
      </c>
      <c r="AD174" s="17">
        <v>4017.0</v>
      </c>
      <c r="AE174" s="27" t="s">
        <v>687</v>
      </c>
      <c r="AF174" s="104" t="str">
        <f t="shared" si="1"/>
        <v>Capital Federal, Argentina</v>
      </c>
      <c r="AG174" s="104">
        <f t="shared" si="2"/>
        <v>2</v>
      </c>
      <c r="AH174" s="112">
        <f t="shared" si="3"/>
        <v>0</v>
      </c>
      <c r="AI174" s="112">
        <f t="shared" si="4"/>
        <v>0</v>
      </c>
      <c r="AJ174" s="111">
        <f t="shared" si="5"/>
        <v>3950</v>
      </c>
      <c r="AK174" s="111">
        <f t="shared" si="6"/>
        <v>3950</v>
      </c>
      <c r="AL174" s="113"/>
      <c r="AM174" s="113"/>
    </row>
    <row r="175">
      <c r="A175" s="104">
        <v>174.0</v>
      </c>
      <c r="B175" s="105">
        <v>43889.0</v>
      </c>
      <c r="C175" s="17">
        <v>22020.0</v>
      </c>
      <c r="D175" s="106" t="s">
        <v>688</v>
      </c>
      <c r="E175" s="104" t="s">
        <v>38</v>
      </c>
      <c r="F175" s="106" t="s">
        <v>546</v>
      </c>
      <c r="G175" s="104" t="s">
        <v>40</v>
      </c>
      <c r="H175" s="104" t="s">
        <v>547</v>
      </c>
      <c r="I175" s="104" t="s">
        <v>42</v>
      </c>
      <c r="J175" s="107">
        <v>1.0</v>
      </c>
      <c r="K175" s="108"/>
      <c r="L175" s="108"/>
      <c r="M175" s="108"/>
      <c r="N175" s="108"/>
      <c r="O175" s="108"/>
      <c r="P175" s="108"/>
      <c r="Q175" s="109"/>
      <c r="R175" s="109"/>
      <c r="S175" s="104" t="s">
        <v>137</v>
      </c>
      <c r="T175" s="104" t="s">
        <v>73</v>
      </c>
      <c r="U175" s="104" t="s">
        <v>45</v>
      </c>
      <c r="V175" s="104" t="s">
        <v>78</v>
      </c>
      <c r="W175" s="110"/>
      <c r="X175" s="110"/>
      <c r="Y175" s="110"/>
      <c r="Z175" s="110"/>
      <c r="AA175" s="111">
        <v>1778.0</v>
      </c>
      <c r="AB175" s="111">
        <v>0.0</v>
      </c>
      <c r="AC175" s="24" t="s">
        <v>689</v>
      </c>
      <c r="AD175" s="17">
        <v>4019.0</v>
      </c>
      <c r="AE175" s="27" t="s">
        <v>690</v>
      </c>
      <c r="AF175" s="104" t="str">
        <f t="shared" si="1"/>
        <v>Tierra de Fuego, Argentina</v>
      </c>
      <c r="AG175" s="104">
        <f t="shared" si="2"/>
        <v>1</v>
      </c>
      <c r="AH175" s="112">
        <f t="shared" si="3"/>
        <v>0</v>
      </c>
      <c r="AI175" s="112">
        <f t="shared" si="4"/>
        <v>0</v>
      </c>
      <c r="AJ175" s="111">
        <f t="shared" si="5"/>
        <v>1778</v>
      </c>
      <c r="AK175" s="111">
        <f t="shared" si="6"/>
        <v>1778</v>
      </c>
      <c r="AL175" s="113"/>
      <c r="AM175" s="113"/>
    </row>
    <row r="176">
      <c r="A176" s="104">
        <v>175.0</v>
      </c>
      <c r="B176" s="105">
        <v>43889.0</v>
      </c>
      <c r="C176" s="17">
        <v>22020.0</v>
      </c>
      <c r="D176" s="106" t="s">
        <v>691</v>
      </c>
      <c r="E176" s="104" t="s">
        <v>38</v>
      </c>
      <c r="F176" s="106" t="s">
        <v>692</v>
      </c>
      <c r="G176" s="104" t="s">
        <v>64</v>
      </c>
      <c r="H176" s="104" t="s">
        <v>41</v>
      </c>
      <c r="I176" s="104" t="s">
        <v>42</v>
      </c>
      <c r="J176" s="107">
        <v>2.0</v>
      </c>
      <c r="K176" s="108"/>
      <c r="L176" s="108"/>
      <c r="M176" s="108"/>
      <c r="N176" s="108"/>
      <c r="O176" s="108"/>
      <c r="P176" s="108"/>
      <c r="Q176" s="109"/>
      <c r="R176" s="109"/>
      <c r="S176" s="104" t="s">
        <v>65</v>
      </c>
      <c r="T176" s="104" t="s">
        <v>66</v>
      </c>
      <c r="U176" s="104" t="s">
        <v>67</v>
      </c>
      <c r="V176" s="104" t="s">
        <v>399</v>
      </c>
      <c r="W176" s="110"/>
      <c r="X176" s="110"/>
      <c r="Y176" s="110"/>
      <c r="Z176" s="110"/>
      <c r="AA176" s="111">
        <v>8607.0</v>
      </c>
      <c r="AB176" s="111">
        <v>25821.0</v>
      </c>
      <c r="AC176" s="24" t="s">
        <v>693</v>
      </c>
      <c r="AD176" s="17">
        <v>4021.0</v>
      </c>
      <c r="AE176" s="27" t="s">
        <v>694</v>
      </c>
      <c r="AF176" s="104" t="str">
        <f t="shared" si="1"/>
        <v>Buenos Aires, Argentina</v>
      </c>
      <c r="AG176" s="104">
        <f t="shared" si="2"/>
        <v>2</v>
      </c>
      <c r="AH176" s="112">
        <f t="shared" si="3"/>
        <v>0</v>
      </c>
      <c r="AI176" s="112">
        <f t="shared" si="4"/>
        <v>0</v>
      </c>
      <c r="AJ176" s="111">
        <f t="shared" si="5"/>
        <v>34428</v>
      </c>
      <c r="AK176" s="111">
        <f t="shared" si="6"/>
        <v>34428</v>
      </c>
      <c r="AL176" s="113"/>
      <c r="AM176" s="113"/>
    </row>
    <row r="177">
      <c r="A177" s="104">
        <v>176.0</v>
      </c>
      <c r="B177" s="105">
        <v>43880.0</v>
      </c>
      <c r="C177" s="17">
        <v>22020.0</v>
      </c>
      <c r="D177" s="106" t="s">
        <v>561</v>
      </c>
      <c r="E177" s="104" t="s">
        <v>38</v>
      </c>
      <c r="F177" s="106" t="s">
        <v>695</v>
      </c>
      <c r="G177" s="104" t="s">
        <v>64</v>
      </c>
      <c r="H177" s="104" t="s">
        <v>41</v>
      </c>
      <c r="I177" s="104" t="s">
        <v>42</v>
      </c>
      <c r="J177" s="108"/>
      <c r="K177" s="108"/>
      <c r="L177" s="108"/>
      <c r="M177" s="108"/>
      <c r="N177" s="108"/>
      <c r="O177" s="108"/>
      <c r="P177" s="107">
        <v>1.0</v>
      </c>
      <c r="Q177" s="109"/>
      <c r="R177" s="109"/>
      <c r="S177" s="104" t="s">
        <v>89</v>
      </c>
      <c r="T177" s="104" t="s">
        <v>83</v>
      </c>
      <c r="U177" s="104" t="s">
        <v>67</v>
      </c>
      <c r="V177" s="104" t="s">
        <v>59</v>
      </c>
      <c r="W177" s="111">
        <v>1600.0</v>
      </c>
      <c r="X177" s="110"/>
      <c r="Y177" s="110"/>
      <c r="Z177" s="110"/>
      <c r="AA177" s="111">
        <v>0.0</v>
      </c>
      <c r="AB177" s="111">
        <v>0.0</v>
      </c>
      <c r="AC177" s="24" t="s">
        <v>563</v>
      </c>
      <c r="AD177" s="17">
        <v>1998.0</v>
      </c>
      <c r="AE177" s="27" t="s">
        <v>696</v>
      </c>
      <c r="AF177" s="104" t="str">
        <f t="shared" si="1"/>
        <v>Capital Federal, Argentina</v>
      </c>
      <c r="AG177" s="104">
        <f t="shared" si="2"/>
        <v>1</v>
      </c>
      <c r="AH177" s="112">
        <f t="shared" si="3"/>
        <v>1600</v>
      </c>
      <c r="AI177" s="112">
        <f t="shared" si="4"/>
        <v>0</v>
      </c>
      <c r="AJ177" s="111">
        <f t="shared" si="5"/>
        <v>0</v>
      </c>
      <c r="AK177" s="111">
        <f t="shared" si="6"/>
        <v>1600</v>
      </c>
      <c r="AL177" s="113"/>
      <c r="AM177" s="113"/>
    </row>
    <row r="178">
      <c r="A178" s="114">
        <v>177.0</v>
      </c>
      <c r="B178" s="115">
        <v>43892.0</v>
      </c>
      <c r="C178" s="17">
        <v>32020.0</v>
      </c>
      <c r="D178" s="116" t="s">
        <v>697</v>
      </c>
      <c r="E178" s="114" t="s">
        <v>38</v>
      </c>
      <c r="F178" s="116" t="s">
        <v>695</v>
      </c>
      <c r="G178" s="114" t="s">
        <v>64</v>
      </c>
      <c r="H178" s="114" t="s">
        <v>41</v>
      </c>
      <c r="I178" s="114" t="s">
        <v>42</v>
      </c>
      <c r="J178" s="117"/>
      <c r="K178" s="117"/>
      <c r="L178" s="117"/>
      <c r="M178" s="117"/>
      <c r="N178" s="117"/>
      <c r="O178" s="117"/>
      <c r="P178" s="118">
        <v>1.0</v>
      </c>
      <c r="Q178" s="119"/>
      <c r="R178" s="119"/>
      <c r="S178" s="114" t="s">
        <v>276</v>
      </c>
      <c r="T178" s="114" t="s">
        <v>83</v>
      </c>
      <c r="U178" s="114" t="s">
        <v>67</v>
      </c>
      <c r="V178" s="114" t="s">
        <v>399</v>
      </c>
      <c r="W178" s="120">
        <v>2490.0</v>
      </c>
      <c r="X178" s="121"/>
      <c r="Y178" s="121"/>
      <c r="Z178" s="121"/>
      <c r="AA178" s="120">
        <v>1600.0</v>
      </c>
      <c r="AB178" s="120">
        <v>0.0</v>
      </c>
      <c r="AC178" s="24" t="s">
        <v>698</v>
      </c>
      <c r="AD178" s="17">
        <v>3685.0</v>
      </c>
      <c r="AE178" s="27" t="s">
        <v>699</v>
      </c>
      <c r="AF178" s="114" t="str">
        <f t="shared" si="1"/>
        <v>Capital Federal, Argentina</v>
      </c>
      <c r="AG178" s="114">
        <f t="shared" si="2"/>
        <v>1</v>
      </c>
      <c r="AH178" s="122">
        <f t="shared" si="3"/>
        <v>2490</v>
      </c>
      <c r="AI178" s="122">
        <f t="shared" si="4"/>
        <v>0</v>
      </c>
      <c r="AJ178" s="120">
        <f t="shared" si="5"/>
        <v>1600</v>
      </c>
      <c r="AK178" s="120">
        <f t="shared" si="6"/>
        <v>4090</v>
      </c>
      <c r="AL178" s="123"/>
      <c r="AM178" s="123"/>
    </row>
    <row r="179">
      <c r="A179" s="114">
        <v>178.0</v>
      </c>
      <c r="B179" s="115">
        <v>43892.0</v>
      </c>
      <c r="C179" s="17">
        <v>32020.0</v>
      </c>
      <c r="D179" s="116" t="s">
        <v>700</v>
      </c>
      <c r="E179" s="114" t="s">
        <v>38</v>
      </c>
      <c r="F179" s="116" t="s">
        <v>517</v>
      </c>
      <c r="G179" s="114" t="s">
        <v>40</v>
      </c>
      <c r="H179" s="114" t="s">
        <v>41</v>
      </c>
      <c r="I179" s="114" t="s">
        <v>42</v>
      </c>
      <c r="J179" s="118">
        <v>1.0</v>
      </c>
      <c r="K179" s="117"/>
      <c r="L179" s="117"/>
      <c r="M179" s="117"/>
      <c r="N179" s="117"/>
      <c r="O179" s="117"/>
      <c r="P179" s="117"/>
      <c r="Q179" s="119"/>
      <c r="R179" s="119"/>
      <c r="S179" s="114" t="s">
        <v>114</v>
      </c>
      <c r="T179" s="114" t="s">
        <v>83</v>
      </c>
      <c r="U179" s="114" t="s">
        <v>45</v>
      </c>
      <c r="V179" s="114" t="s">
        <v>59</v>
      </c>
      <c r="W179" s="121"/>
      <c r="X179" s="121"/>
      <c r="Y179" s="121"/>
      <c r="Z179" s="121"/>
      <c r="AA179" s="120">
        <v>3950.0</v>
      </c>
      <c r="AB179" s="120">
        <v>11850.0</v>
      </c>
      <c r="AC179" s="24" t="s">
        <v>701</v>
      </c>
      <c r="AD179" s="17">
        <v>4023.0</v>
      </c>
      <c r="AE179" s="27" t="s">
        <v>702</v>
      </c>
      <c r="AF179" s="114" t="str">
        <f t="shared" si="1"/>
        <v>Capital Federal, Argentina</v>
      </c>
      <c r="AG179" s="114">
        <f t="shared" si="2"/>
        <v>1</v>
      </c>
      <c r="AH179" s="122">
        <f t="shared" si="3"/>
        <v>0</v>
      </c>
      <c r="AI179" s="122">
        <f t="shared" si="4"/>
        <v>0</v>
      </c>
      <c r="AJ179" s="120">
        <f t="shared" si="5"/>
        <v>15800</v>
      </c>
      <c r="AK179" s="120">
        <f t="shared" si="6"/>
        <v>15800</v>
      </c>
      <c r="AL179" s="123"/>
      <c r="AM179" s="123"/>
    </row>
    <row r="180">
      <c r="A180" s="114">
        <v>179.0</v>
      </c>
      <c r="B180" s="115">
        <v>43895.0</v>
      </c>
      <c r="C180" s="17">
        <v>32020.0</v>
      </c>
      <c r="D180" s="116" t="s">
        <v>703</v>
      </c>
      <c r="E180" s="114" t="s">
        <v>38</v>
      </c>
      <c r="F180" s="116" t="s">
        <v>704</v>
      </c>
      <c r="G180" s="114" t="s">
        <v>40</v>
      </c>
      <c r="H180" s="114" t="s">
        <v>41</v>
      </c>
      <c r="I180" s="114" t="s">
        <v>42</v>
      </c>
      <c r="J180" s="118">
        <v>2.0</v>
      </c>
      <c r="K180" s="118">
        <v>2.0</v>
      </c>
      <c r="L180" s="117"/>
      <c r="M180" s="117"/>
      <c r="N180" s="117"/>
      <c r="O180" s="117"/>
      <c r="P180" s="117"/>
      <c r="Q180" s="119"/>
      <c r="R180" s="119"/>
      <c r="S180" s="114" t="s">
        <v>105</v>
      </c>
      <c r="T180" s="114" t="s">
        <v>148</v>
      </c>
      <c r="U180" s="114" t="s">
        <v>342</v>
      </c>
      <c r="V180" s="114" t="s">
        <v>46</v>
      </c>
      <c r="W180" s="121"/>
      <c r="X180" s="121"/>
      <c r="Y180" s="121"/>
      <c r="Z180" s="121"/>
      <c r="AA180" s="120">
        <v>13120.0</v>
      </c>
      <c r="AB180" s="120">
        <v>39360.0</v>
      </c>
      <c r="AC180" s="24" t="s">
        <v>705</v>
      </c>
      <c r="AD180" s="17">
        <v>4025.0</v>
      </c>
      <c r="AE180" s="27" t="s">
        <v>706</v>
      </c>
      <c r="AF180" s="114" t="str">
        <f t="shared" si="1"/>
        <v>Formosa, Argentina</v>
      </c>
      <c r="AG180" s="114">
        <f t="shared" si="2"/>
        <v>4</v>
      </c>
      <c r="AH180" s="122">
        <f t="shared" si="3"/>
        <v>0</v>
      </c>
      <c r="AI180" s="122">
        <f t="shared" si="4"/>
        <v>0</v>
      </c>
      <c r="AJ180" s="120">
        <f t="shared" si="5"/>
        <v>52480</v>
      </c>
      <c r="AK180" s="120">
        <f t="shared" si="6"/>
        <v>52480</v>
      </c>
      <c r="AL180" s="123"/>
      <c r="AM180" s="123"/>
    </row>
    <row r="181">
      <c r="A181" s="114">
        <v>180.0</v>
      </c>
      <c r="B181" s="115">
        <v>43899.0</v>
      </c>
      <c r="C181" s="17">
        <v>32020.0</v>
      </c>
      <c r="D181" s="116" t="s">
        <v>707</v>
      </c>
      <c r="E181" s="114" t="s">
        <v>38</v>
      </c>
      <c r="F181" s="116" t="s">
        <v>517</v>
      </c>
      <c r="G181" s="114" t="s">
        <v>40</v>
      </c>
      <c r="H181" s="114" t="s">
        <v>41</v>
      </c>
      <c r="I181" s="114" t="s">
        <v>42</v>
      </c>
      <c r="J181" s="118">
        <v>1.0</v>
      </c>
      <c r="K181" s="117"/>
      <c r="L181" s="117"/>
      <c r="M181" s="117"/>
      <c r="N181" s="117"/>
      <c r="O181" s="117"/>
      <c r="P181" s="117"/>
      <c r="Q181" s="119"/>
      <c r="R181" s="119"/>
      <c r="S181" s="114" t="s">
        <v>189</v>
      </c>
      <c r="T181" s="114" t="s">
        <v>66</v>
      </c>
      <c r="U181" s="114" t="s">
        <v>342</v>
      </c>
      <c r="V181" s="114" t="s">
        <v>59</v>
      </c>
      <c r="W181" s="121"/>
      <c r="X181" s="121"/>
      <c r="Y181" s="121"/>
      <c r="Z181" s="121"/>
      <c r="AA181" s="120">
        <v>3950.0</v>
      </c>
      <c r="AB181" s="120">
        <v>11850.0</v>
      </c>
      <c r="AC181" s="24" t="s">
        <v>708</v>
      </c>
      <c r="AD181" s="17">
        <v>4029.0</v>
      </c>
      <c r="AE181" s="27" t="s">
        <v>709</v>
      </c>
      <c r="AF181" s="114" t="str">
        <f t="shared" si="1"/>
        <v>Buenos Aires, Argentina</v>
      </c>
      <c r="AG181" s="114">
        <f t="shared" si="2"/>
        <v>1</v>
      </c>
      <c r="AH181" s="122">
        <f t="shared" si="3"/>
        <v>0</v>
      </c>
      <c r="AI181" s="122">
        <f t="shared" si="4"/>
        <v>0</v>
      </c>
      <c r="AJ181" s="120">
        <f t="shared" si="5"/>
        <v>15800</v>
      </c>
      <c r="AK181" s="120">
        <f t="shared" si="6"/>
        <v>15800</v>
      </c>
      <c r="AL181" s="123"/>
      <c r="AM181" s="123"/>
    </row>
    <row r="182">
      <c r="A182" s="114">
        <v>181.0</v>
      </c>
      <c r="B182" s="115">
        <v>43900.0</v>
      </c>
      <c r="C182" s="17">
        <v>32020.0</v>
      </c>
      <c r="D182" s="116" t="s">
        <v>710</v>
      </c>
      <c r="E182" s="114" t="s">
        <v>38</v>
      </c>
      <c r="F182" s="116" t="s">
        <v>711</v>
      </c>
      <c r="G182" s="114" t="s">
        <v>64</v>
      </c>
      <c r="H182" s="114" t="s">
        <v>41</v>
      </c>
      <c r="I182" s="114" t="s">
        <v>42</v>
      </c>
      <c r="J182" s="117"/>
      <c r="K182" s="117"/>
      <c r="L182" s="117"/>
      <c r="M182" s="117"/>
      <c r="N182" s="117"/>
      <c r="O182" s="117"/>
      <c r="P182" s="117"/>
      <c r="Q182" s="119"/>
      <c r="R182" s="114">
        <v>3.0</v>
      </c>
      <c r="S182" s="114" t="s">
        <v>65</v>
      </c>
      <c r="T182" s="114" t="s">
        <v>66</v>
      </c>
      <c r="U182" s="114" t="s">
        <v>99</v>
      </c>
      <c r="V182" s="114" t="s">
        <v>84</v>
      </c>
      <c r="W182" s="121"/>
      <c r="X182" s="121"/>
      <c r="Y182" s="121"/>
      <c r="Z182" s="121"/>
      <c r="AA182" s="120">
        <v>0.0</v>
      </c>
      <c r="AB182" s="120">
        <v>10800.0</v>
      </c>
      <c r="AC182" s="24" t="s">
        <v>712</v>
      </c>
      <c r="AD182" s="17">
        <v>4033.0</v>
      </c>
      <c r="AE182" s="27" t="s">
        <v>713</v>
      </c>
      <c r="AF182" s="114" t="str">
        <f t="shared" si="1"/>
        <v>Buenos Aires, Argentina</v>
      </c>
      <c r="AG182" s="114">
        <f t="shared" si="2"/>
        <v>0</v>
      </c>
      <c r="AH182" s="122">
        <f t="shared" si="3"/>
        <v>0</v>
      </c>
      <c r="AI182" s="122">
        <f t="shared" si="4"/>
        <v>0</v>
      </c>
      <c r="AJ182" s="120">
        <f t="shared" si="5"/>
        <v>10800</v>
      </c>
      <c r="AK182" s="120">
        <f t="shared" si="6"/>
        <v>10800</v>
      </c>
      <c r="AL182" s="123"/>
      <c r="AM182" s="123"/>
    </row>
    <row r="183">
      <c r="A183" s="114">
        <v>182.0</v>
      </c>
      <c r="B183" s="115">
        <v>43900.0</v>
      </c>
      <c r="C183" s="17">
        <v>32020.0</v>
      </c>
      <c r="D183" s="116" t="s">
        <v>102</v>
      </c>
      <c r="E183" s="114" t="s">
        <v>38</v>
      </c>
      <c r="F183" s="116" t="s">
        <v>528</v>
      </c>
      <c r="G183" s="114" t="s">
        <v>64</v>
      </c>
      <c r="H183" s="114" t="s">
        <v>41</v>
      </c>
      <c r="I183" s="114" t="s">
        <v>42</v>
      </c>
      <c r="J183" s="118">
        <v>1.0</v>
      </c>
      <c r="K183" s="117"/>
      <c r="L183" s="117"/>
      <c r="M183" s="117"/>
      <c r="N183" s="117"/>
      <c r="O183" s="117"/>
      <c r="P183" s="117"/>
      <c r="Q183" s="119"/>
      <c r="R183" s="119"/>
      <c r="S183" s="114" t="s">
        <v>167</v>
      </c>
      <c r="T183" s="114" t="s">
        <v>66</v>
      </c>
      <c r="U183" s="114" t="s">
        <v>67</v>
      </c>
      <c r="V183" s="114" t="s">
        <v>59</v>
      </c>
      <c r="W183" s="121"/>
      <c r="X183" s="121"/>
      <c r="Y183" s="121"/>
      <c r="Z183" s="121"/>
      <c r="AA183" s="120">
        <v>4528.0</v>
      </c>
      <c r="AB183" s="120">
        <v>13584.0</v>
      </c>
      <c r="AC183" s="24" t="s">
        <v>106</v>
      </c>
      <c r="AD183" s="17">
        <v>4038.0</v>
      </c>
      <c r="AE183" s="27" t="s">
        <v>714</v>
      </c>
      <c r="AF183" s="114" t="str">
        <f t="shared" si="1"/>
        <v>Buenos Aires, Argentina</v>
      </c>
      <c r="AG183" s="114">
        <f t="shared" si="2"/>
        <v>1</v>
      </c>
      <c r="AH183" s="122">
        <f t="shared" si="3"/>
        <v>0</v>
      </c>
      <c r="AI183" s="122">
        <f t="shared" si="4"/>
        <v>0</v>
      </c>
      <c r="AJ183" s="120">
        <f t="shared" si="5"/>
        <v>18112</v>
      </c>
      <c r="AK183" s="120">
        <f t="shared" si="6"/>
        <v>18112</v>
      </c>
      <c r="AL183" s="123"/>
      <c r="AM183" s="123"/>
    </row>
    <row r="184">
      <c r="A184" s="114">
        <v>183.0</v>
      </c>
      <c r="B184" s="115">
        <v>43901.0</v>
      </c>
      <c r="C184" s="17">
        <v>32020.0</v>
      </c>
      <c r="D184" s="116" t="s">
        <v>715</v>
      </c>
      <c r="E184" s="114" t="s">
        <v>38</v>
      </c>
      <c r="F184" s="116" t="s">
        <v>716</v>
      </c>
      <c r="G184" s="114" t="s">
        <v>64</v>
      </c>
      <c r="H184" s="114" t="s">
        <v>41</v>
      </c>
      <c r="I184" s="114" t="s">
        <v>42</v>
      </c>
      <c r="J184" s="117"/>
      <c r="K184" s="117"/>
      <c r="L184" s="117"/>
      <c r="M184" s="117"/>
      <c r="N184" s="117"/>
      <c r="O184" s="117"/>
      <c r="P184" s="117"/>
      <c r="Q184" s="119"/>
      <c r="R184" s="114">
        <v>1.0</v>
      </c>
      <c r="S184" s="114" t="s">
        <v>167</v>
      </c>
      <c r="T184" s="114" t="s">
        <v>66</v>
      </c>
      <c r="U184" s="114" t="s">
        <v>67</v>
      </c>
      <c r="V184" s="114" t="s">
        <v>59</v>
      </c>
      <c r="W184" s="121"/>
      <c r="X184" s="121"/>
      <c r="Y184" s="121"/>
      <c r="Z184" s="120">
        <v>32400.0</v>
      </c>
      <c r="AA184" s="120">
        <v>0.0</v>
      </c>
      <c r="AB184" s="120">
        <v>0.0</v>
      </c>
      <c r="AC184" s="24" t="s">
        <v>717</v>
      </c>
      <c r="AD184" s="17">
        <v>4039.0</v>
      </c>
      <c r="AE184" s="27" t="s">
        <v>718</v>
      </c>
      <c r="AF184" s="114" t="str">
        <f t="shared" si="1"/>
        <v>Buenos Aires, Argentina</v>
      </c>
      <c r="AG184" s="114">
        <f t="shared" si="2"/>
        <v>0</v>
      </c>
      <c r="AH184" s="122">
        <f t="shared" si="3"/>
        <v>0</v>
      </c>
      <c r="AI184" s="122">
        <f t="shared" si="4"/>
        <v>32400</v>
      </c>
      <c r="AJ184" s="120">
        <f t="shared" si="5"/>
        <v>0</v>
      </c>
      <c r="AK184" s="120">
        <f t="shared" si="6"/>
        <v>32400</v>
      </c>
      <c r="AL184" s="123"/>
      <c r="AM184" s="123"/>
    </row>
    <row r="185">
      <c r="A185" s="114">
        <v>184.0</v>
      </c>
      <c r="B185" s="115">
        <v>43902.0</v>
      </c>
      <c r="C185" s="17">
        <v>32020.0</v>
      </c>
      <c r="D185" s="116" t="s">
        <v>719</v>
      </c>
      <c r="E185" s="114" t="s">
        <v>38</v>
      </c>
      <c r="F185" s="116" t="s">
        <v>678</v>
      </c>
      <c r="G185" s="114" t="s">
        <v>40</v>
      </c>
      <c r="H185" s="114" t="s">
        <v>41</v>
      </c>
      <c r="I185" s="114" t="s">
        <v>42</v>
      </c>
      <c r="J185" s="118">
        <v>2.0</v>
      </c>
      <c r="K185" s="118">
        <v>3.0</v>
      </c>
      <c r="L185" s="117"/>
      <c r="M185" s="117"/>
      <c r="N185" s="117"/>
      <c r="O185" s="117"/>
      <c r="P185" s="117"/>
      <c r="Q185" s="119"/>
      <c r="R185" s="119"/>
      <c r="S185" s="114" t="s">
        <v>167</v>
      </c>
      <c r="T185" s="114" t="s">
        <v>66</v>
      </c>
      <c r="U185" s="114" t="s">
        <v>45</v>
      </c>
      <c r="V185" s="114" t="s">
        <v>84</v>
      </c>
      <c r="W185" s="121"/>
      <c r="X185" s="121"/>
      <c r="Y185" s="121"/>
      <c r="Z185" s="121"/>
      <c r="AA185" s="120">
        <v>15730.0</v>
      </c>
      <c r="AB185" s="120">
        <v>47190.0</v>
      </c>
      <c r="AC185" s="24" t="s">
        <v>720</v>
      </c>
      <c r="AD185" s="17">
        <v>4031.0</v>
      </c>
      <c r="AE185" s="27" t="s">
        <v>721</v>
      </c>
      <c r="AF185" s="114" t="str">
        <f t="shared" si="1"/>
        <v>Buenos Aires, Argentina</v>
      </c>
      <c r="AG185" s="114">
        <f t="shared" si="2"/>
        <v>5</v>
      </c>
      <c r="AH185" s="122">
        <f t="shared" si="3"/>
        <v>0</v>
      </c>
      <c r="AI185" s="122">
        <f t="shared" si="4"/>
        <v>0</v>
      </c>
      <c r="AJ185" s="120">
        <f t="shared" si="5"/>
        <v>62920</v>
      </c>
      <c r="AK185" s="120">
        <f t="shared" si="6"/>
        <v>62920</v>
      </c>
      <c r="AL185" s="123"/>
      <c r="AM185" s="123"/>
    </row>
    <row r="186">
      <c r="A186" s="114">
        <v>185.0</v>
      </c>
      <c r="B186" s="115">
        <v>43909.0</v>
      </c>
      <c r="C186" s="17">
        <v>32020.0</v>
      </c>
      <c r="D186" s="116" t="s">
        <v>722</v>
      </c>
      <c r="E186" s="114" t="s">
        <v>38</v>
      </c>
      <c r="F186" s="116" t="s">
        <v>723</v>
      </c>
      <c r="G186" s="114" t="s">
        <v>40</v>
      </c>
      <c r="H186" s="114" t="s">
        <v>547</v>
      </c>
      <c r="I186" s="114" t="s">
        <v>42</v>
      </c>
      <c r="J186" s="118">
        <v>1.0</v>
      </c>
      <c r="K186" s="118">
        <v>3.0</v>
      </c>
      <c r="L186" s="117"/>
      <c r="M186" s="117"/>
      <c r="N186" s="117"/>
      <c r="O186" s="117"/>
      <c r="P186" s="117"/>
      <c r="Q186" s="119"/>
      <c r="R186" s="119"/>
      <c r="S186" s="114" t="s">
        <v>114</v>
      </c>
      <c r="T186" s="114" t="s">
        <v>66</v>
      </c>
      <c r="U186" s="114" t="s">
        <v>45</v>
      </c>
      <c r="V186" s="114" t="s">
        <v>78</v>
      </c>
      <c r="W186" s="121"/>
      <c r="X186" s="121"/>
      <c r="Y186" s="121"/>
      <c r="Z186" s="121"/>
      <c r="AA186" s="120">
        <v>5980.0</v>
      </c>
      <c r="AB186" s="120">
        <v>0.0</v>
      </c>
      <c r="AC186" s="24" t="s">
        <v>724</v>
      </c>
      <c r="AD186" s="17">
        <v>4045.0</v>
      </c>
      <c r="AE186" s="27" t="s">
        <v>725</v>
      </c>
      <c r="AF186" s="114" t="str">
        <f t="shared" si="1"/>
        <v>Buenos Aires, Argentina</v>
      </c>
      <c r="AG186" s="114">
        <f t="shared" si="2"/>
        <v>4</v>
      </c>
      <c r="AH186" s="122">
        <f t="shared" si="3"/>
        <v>0</v>
      </c>
      <c r="AI186" s="122">
        <f t="shared" si="4"/>
        <v>0</v>
      </c>
      <c r="AJ186" s="120">
        <f t="shared" si="5"/>
        <v>5980</v>
      </c>
      <c r="AK186" s="120">
        <f t="shared" si="6"/>
        <v>5980</v>
      </c>
      <c r="AL186" s="123"/>
      <c r="AM186" s="123"/>
    </row>
    <row r="187">
      <c r="A187" s="114">
        <v>186.0</v>
      </c>
      <c r="B187" s="115">
        <v>43909.0</v>
      </c>
      <c r="C187" s="17">
        <v>32020.0</v>
      </c>
      <c r="D187" s="116" t="s">
        <v>726</v>
      </c>
      <c r="E187" s="114" t="s">
        <v>38</v>
      </c>
      <c r="F187" s="116" t="s">
        <v>682</v>
      </c>
      <c r="G187" s="114" t="s">
        <v>40</v>
      </c>
      <c r="H187" s="114" t="s">
        <v>41</v>
      </c>
      <c r="I187" s="114" t="s">
        <v>42</v>
      </c>
      <c r="J187" s="118">
        <v>1.0</v>
      </c>
      <c r="K187" s="118">
        <v>1.0</v>
      </c>
      <c r="L187" s="117"/>
      <c r="M187" s="117"/>
      <c r="N187" s="117"/>
      <c r="O187" s="117"/>
      <c r="P187" s="117"/>
      <c r="Q187" s="119"/>
      <c r="R187" s="119"/>
      <c r="S187" s="114" t="s">
        <v>114</v>
      </c>
      <c r="T187" s="114" t="s">
        <v>58</v>
      </c>
      <c r="U187" s="114" t="s">
        <v>45</v>
      </c>
      <c r="V187" s="114" t="s">
        <v>46</v>
      </c>
      <c r="W187" s="121"/>
      <c r="X187" s="121"/>
      <c r="Y187" s="121"/>
      <c r="Z187" s="121"/>
      <c r="AA187" s="120">
        <v>6560.0</v>
      </c>
      <c r="AB187" s="120">
        <v>19680.0</v>
      </c>
      <c r="AC187" s="24" t="s">
        <v>727</v>
      </c>
      <c r="AD187" s="17">
        <v>4009.0</v>
      </c>
      <c r="AE187" s="27" t="s">
        <v>728</v>
      </c>
      <c r="AF187" s="114" t="str">
        <f t="shared" si="1"/>
        <v>Córdoba, Argentina</v>
      </c>
      <c r="AG187" s="114">
        <f t="shared" si="2"/>
        <v>2</v>
      </c>
      <c r="AH187" s="122">
        <f t="shared" si="3"/>
        <v>0</v>
      </c>
      <c r="AI187" s="122">
        <f t="shared" si="4"/>
        <v>0</v>
      </c>
      <c r="AJ187" s="120">
        <f t="shared" si="5"/>
        <v>26240</v>
      </c>
      <c r="AK187" s="120">
        <f t="shared" si="6"/>
        <v>26240</v>
      </c>
      <c r="AL187" s="123"/>
      <c r="AM187" s="123"/>
    </row>
    <row r="188">
      <c r="A188" s="114">
        <v>187.0</v>
      </c>
      <c r="B188" s="115">
        <v>43910.0</v>
      </c>
      <c r="C188" s="17">
        <v>32020.0</v>
      </c>
      <c r="D188" s="116" t="s">
        <v>729</v>
      </c>
      <c r="E188" s="114" t="s">
        <v>38</v>
      </c>
      <c r="F188" s="116" t="s">
        <v>682</v>
      </c>
      <c r="G188" s="114" t="s">
        <v>40</v>
      </c>
      <c r="H188" s="114" t="s">
        <v>41</v>
      </c>
      <c r="I188" s="114" t="s">
        <v>42</v>
      </c>
      <c r="J188" s="118">
        <v>1.0</v>
      </c>
      <c r="K188" s="118">
        <v>1.0</v>
      </c>
      <c r="L188" s="117"/>
      <c r="M188" s="117"/>
      <c r="N188" s="117"/>
      <c r="O188" s="117"/>
      <c r="P188" s="117"/>
      <c r="Q188" s="119"/>
      <c r="R188" s="119"/>
      <c r="S188" s="114" t="s">
        <v>137</v>
      </c>
      <c r="T188" s="114" t="s">
        <v>66</v>
      </c>
      <c r="U188" s="114" t="s">
        <v>45</v>
      </c>
      <c r="V188" s="114" t="s">
        <v>84</v>
      </c>
      <c r="W188" s="121"/>
      <c r="X188" s="121"/>
      <c r="Y188" s="121"/>
      <c r="Z188" s="121"/>
      <c r="AA188" s="120">
        <v>5904.0</v>
      </c>
      <c r="AB188" s="120">
        <v>19680.0</v>
      </c>
      <c r="AC188" s="24" t="s">
        <v>730</v>
      </c>
      <c r="AD188" s="17">
        <v>4049.0</v>
      </c>
      <c r="AE188" s="27" t="s">
        <v>731</v>
      </c>
      <c r="AF188" s="114" t="str">
        <f t="shared" si="1"/>
        <v>Buenos Aires, Argentina</v>
      </c>
      <c r="AG188" s="114">
        <f t="shared" si="2"/>
        <v>2</v>
      </c>
      <c r="AH188" s="122">
        <f t="shared" si="3"/>
        <v>0</v>
      </c>
      <c r="AI188" s="122">
        <f t="shared" si="4"/>
        <v>0</v>
      </c>
      <c r="AJ188" s="120">
        <f t="shared" si="5"/>
        <v>25584</v>
      </c>
      <c r="AK188" s="120">
        <f t="shared" si="6"/>
        <v>25584</v>
      </c>
      <c r="AL188" s="123"/>
      <c r="AM188" s="123"/>
    </row>
    <row r="189">
      <c r="A189" s="114">
        <v>188.0</v>
      </c>
      <c r="B189" s="115">
        <v>43910.0</v>
      </c>
      <c r="C189" s="17">
        <v>32020.0</v>
      </c>
      <c r="D189" s="116" t="s">
        <v>437</v>
      </c>
      <c r="E189" s="114" t="s">
        <v>438</v>
      </c>
      <c r="F189" s="116" t="s">
        <v>528</v>
      </c>
      <c r="G189" s="114" t="s">
        <v>64</v>
      </c>
      <c r="H189" s="114" t="s">
        <v>41</v>
      </c>
      <c r="I189" s="114" t="s">
        <v>42</v>
      </c>
      <c r="J189" s="118">
        <v>1.0</v>
      </c>
      <c r="K189" s="117"/>
      <c r="L189" s="117"/>
      <c r="M189" s="117"/>
      <c r="N189" s="117"/>
      <c r="O189" s="117"/>
      <c r="P189" s="117"/>
      <c r="Q189" s="119"/>
      <c r="R189" s="119"/>
      <c r="S189" s="114" t="s">
        <v>189</v>
      </c>
      <c r="T189" s="114" t="s">
        <v>66</v>
      </c>
      <c r="U189" s="114" t="s">
        <v>67</v>
      </c>
      <c r="V189" s="114" t="s">
        <v>59</v>
      </c>
      <c r="W189" s="121"/>
      <c r="X189" s="121"/>
      <c r="Y189" s="121"/>
      <c r="Z189" s="121"/>
      <c r="AA189" s="120">
        <v>4528.0</v>
      </c>
      <c r="AB189" s="120">
        <v>0.0</v>
      </c>
      <c r="AC189" s="24" t="s">
        <v>439</v>
      </c>
      <c r="AD189" s="17">
        <v>3407.0</v>
      </c>
      <c r="AE189" s="27" t="s">
        <v>732</v>
      </c>
      <c r="AF189" s="114" t="str">
        <f t="shared" si="1"/>
        <v>Buenos Aires, Argentina</v>
      </c>
      <c r="AG189" s="114">
        <f t="shared" si="2"/>
        <v>1</v>
      </c>
      <c r="AH189" s="122">
        <f t="shared" si="3"/>
        <v>0</v>
      </c>
      <c r="AI189" s="122">
        <f t="shared" si="4"/>
        <v>0</v>
      </c>
      <c r="AJ189" s="120">
        <f t="shared" si="5"/>
        <v>4528</v>
      </c>
      <c r="AK189" s="120">
        <f t="shared" si="6"/>
        <v>4528</v>
      </c>
      <c r="AL189" s="123"/>
      <c r="AM189" s="123"/>
    </row>
    <row r="190">
      <c r="A190" s="114">
        <v>189.0</v>
      </c>
      <c r="B190" s="115">
        <v>43917.0</v>
      </c>
      <c r="C190" s="17">
        <v>32020.0</v>
      </c>
      <c r="D190" s="116" t="s">
        <v>733</v>
      </c>
      <c r="E190" s="114" t="s">
        <v>38</v>
      </c>
      <c r="F190" s="116" t="s">
        <v>546</v>
      </c>
      <c r="G190" s="114" t="s">
        <v>40</v>
      </c>
      <c r="H190" s="114" t="s">
        <v>547</v>
      </c>
      <c r="I190" s="114" t="s">
        <v>42</v>
      </c>
      <c r="J190" s="118">
        <v>1.0</v>
      </c>
      <c r="K190" s="117"/>
      <c r="L190" s="117"/>
      <c r="M190" s="117"/>
      <c r="N190" s="117"/>
      <c r="O190" s="117"/>
      <c r="P190" s="117"/>
      <c r="Q190" s="119"/>
      <c r="R190" s="119"/>
      <c r="S190" s="114" t="s">
        <v>72</v>
      </c>
      <c r="T190" s="114" t="s">
        <v>734</v>
      </c>
      <c r="U190" s="114" t="s">
        <v>163</v>
      </c>
      <c r="V190" s="114" t="s">
        <v>217</v>
      </c>
      <c r="W190" s="121"/>
      <c r="X190" s="121"/>
      <c r="Y190" s="121"/>
      <c r="Z190" s="121"/>
      <c r="AA190" s="120">
        <v>1777.5</v>
      </c>
      <c r="AB190" s="120">
        <v>0.0</v>
      </c>
      <c r="AC190" s="24" t="s">
        <v>735</v>
      </c>
      <c r="AD190" s="17">
        <v>4051.0</v>
      </c>
      <c r="AE190" s="27" t="s">
        <v>736</v>
      </c>
      <c r="AF190" s="114" t="str">
        <f t="shared" si="1"/>
        <v>Corrientes, Argentina</v>
      </c>
      <c r="AG190" s="114">
        <f t="shared" si="2"/>
        <v>1</v>
      </c>
      <c r="AH190" s="122">
        <f t="shared" si="3"/>
        <v>0</v>
      </c>
      <c r="AI190" s="122">
        <f t="shared" si="4"/>
        <v>0</v>
      </c>
      <c r="AJ190" s="120">
        <f t="shared" si="5"/>
        <v>1777.5</v>
      </c>
      <c r="AK190" s="120">
        <f t="shared" si="6"/>
        <v>1777.5</v>
      </c>
      <c r="AL190" s="123"/>
      <c r="AM190" s="123"/>
    </row>
    <row r="191">
      <c r="A191" s="114">
        <v>190.0</v>
      </c>
      <c r="B191" s="115">
        <v>43917.0</v>
      </c>
      <c r="C191" s="17">
        <v>32020.0</v>
      </c>
      <c r="D191" s="116" t="s">
        <v>737</v>
      </c>
      <c r="E191" s="114" t="s">
        <v>38</v>
      </c>
      <c r="F191" s="116" t="s">
        <v>517</v>
      </c>
      <c r="G191" s="114" t="s">
        <v>40</v>
      </c>
      <c r="H191" s="114" t="s">
        <v>41</v>
      </c>
      <c r="I191" s="114" t="s">
        <v>42</v>
      </c>
      <c r="J191" s="118">
        <v>1.0</v>
      </c>
      <c r="K191" s="117"/>
      <c r="L191" s="117"/>
      <c r="M191" s="117"/>
      <c r="N191" s="117"/>
      <c r="O191" s="117"/>
      <c r="P191" s="117"/>
      <c r="Q191" s="119"/>
      <c r="R191" s="119"/>
      <c r="S191" s="114" t="s">
        <v>105</v>
      </c>
      <c r="T191" s="114" t="s">
        <v>66</v>
      </c>
      <c r="U191" s="114" t="s">
        <v>342</v>
      </c>
      <c r="V191" s="114" t="s">
        <v>78</v>
      </c>
      <c r="W191" s="121"/>
      <c r="X191" s="121"/>
      <c r="Y191" s="121"/>
      <c r="Z191" s="121"/>
      <c r="AA191" s="120">
        <v>3555.0</v>
      </c>
      <c r="AB191" s="120">
        <v>11850.0</v>
      </c>
      <c r="AC191" s="24" t="s">
        <v>738</v>
      </c>
      <c r="AD191" s="17">
        <v>4053.0</v>
      </c>
      <c r="AE191" s="27" t="s">
        <v>739</v>
      </c>
      <c r="AF191" s="114" t="str">
        <f t="shared" si="1"/>
        <v>Buenos Aires, Argentina</v>
      </c>
      <c r="AG191" s="114">
        <f t="shared" si="2"/>
        <v>1</v>
      </c>
      <c r="AH191" s="122">
        <f t="shared" si="3"/>
        <v>0</v>
      </c>
      <c r="AI191" s="122">
        <f t="shared" si="4"/>
        <v>0</v>
      </c>
      <c r="AJ191" s="120">
        <f t="shared" si="5"/>
        <v>15405</v>
      </c>
      <c r="AK191" s="120">
        <f t="shared" si="6"/>
        <v>15405</v>
      </c>
      <c r="AL191" s="123"/>
      <c r="AM191" s="123"/>
    </row>
    <row r="192">
      <c r="A192" s="124">
        <v>191.0</v>
      </c>
      <c r="B192" s="125">
        <v>43929.0</v>
      </c>
      <c r="C192" s="17">
        <v>42020.0</v>
      </c>
      <c r="D192" s="126" t="s">
        <v>740</v>
      </c>
      <c r="E192" s="124" t="s">
        <v>38</v>
      </c>
      <c r="F192" s="126" t="s">
        <v>711</v>
      </c>
      <c r="G192" s="124" t="s">
        <v>64</v>
      </c>
      <c r="H192" s="124" t="s">
        <v>41</v>
      </c>
      <c r="I192" s="124" t="s">
        <v>42</v>
      </c>
      <c r="J192" s="127"/>
      <c r="K192" s="127"/>
      <c r="L192" s="127"/>
      <c r="M192" s="127"/>
      <c r="N192" s="127"/>
      <c r="O192" s="127"/>
      <c r="P192" s="127"/>
      <c r="Q192" s="128"/>
      <c r="R192" s="124">
        <v>3.0</v>
      </c>
      <c r="S192" s="124" t="s">
        <v>114</v>
      </c>
      <c r="T192" s="124" t="s">
        <v>66</v>
      </c>
      <c r="U192" s="124" t="s">
        <v>342</v>
      </c>
      <c r="V192" s="124" t="s">
        <v>84</v>
      </c>
      <c r="W192" s="129"/>
      <c r="X192" s="129"/>
      <c r="Y192" s="129"/>
      <c r="Z192" s="129"/>
      <c r="AA192" s="130">
        <v>0.0</v>
      </c>
      <c r="AB192" s="130">
        <v>10800.0</v>
      </c>
      <c r="AC192" s="24" t="s">
        <v>741</v>
      </c>
      <c r="AD192" s="17">
        <v>4063.0</v>
      </c>
      <c r="AE192" s="27" t="s">
        <v>742</v>
      </c>
      <c r="AF192" s="124" t="str">
        <f t="shared" si="1"/>
        <v>Buenos Aires, Argentina</v>
      </c>
      <c r="AG192" s="124">
        <f t="shared" si="2"/>
        <v>0</v>
      </c>
      <c r="AH192" s="131">
        <f t="shared" si="3"/>
        <v>0</v>
      </c>
      <c r="AI192" s="131">
        <f t="shared" si="4"/>
        <v>0</v>
      </c>
      <c r="AJ192" s="130">
        <f t="shared" si="5"/>
        <v>10800</v>
      </c>
      <c r="AK192" s="130">
        <f t="shared" si="6"/>
        <v>10800</v>
      </c>
      <c r="AL192" s="132"/>
      <c r="AM192" s="132"/>
    </row>
    <row r="193">
      <c r="A193" s="124">
        <v>192.0</v>
      </c>
      <c r="B193" s="125">
        <v>43929.0</v>
      </c>
      <c r="C193" s="17">
        <v>42020.0</v>
      </c>
      <c r="D193" s="126" t="s">
        <v>565</v>
      </c>
      <c r="E193" s="124" t="s">
        <v>38</v>
      </c>
      <c r="F193" s="126" t="s">
        <v>743</v>
      </c>
      <c r="G193" s="124" t="s">
        <v>64</v>
      </c>
      <c r="H193" s="124" t="s">
        <v>547</v>
      </c>
      <c r="I193" s="124" t="s">
        <v>42</v>
      </c>
      <c r="J193" s="127"/>
      <c r="K193" s="127"/>
      <c r="L193" s="127"/>
      <c r="M193" s="133">
        <v>1.0</v>
      </c>
      <c r="N193" s="127"/>
      <c r="O193" s="127"/>
      <c r="P193" s="127"/>
      <c r="Q193" s="128"/>
      <c r="R193" s="128"/>
      <c r="S193" s="124" t="s">
        <v>137</v>
      </c>
      <c r="T193" s="124" t="s">
        <v>66</v>
      </c>
      <c r="U193" s="124" t="s">
        <v>45</v>
      </c>
      <c r="V193" s="124" t="s">
        <v>78</v>
      </c>
      <c r="W193" s="129"/>
      <c r="X193" s="129"/>
      <c r="Y193" s="129"/>
      <c r="Z193" s="129"/>
      <c r="AA193" s="130">
        <v>1975.0</v>
      </c>
      <c r="AB193" s="130">
        <v>0.0</v>
      </c>
      <c r="AC193" s="24" t="s">
        <v>567</v>
      </c>
      <c r="AD193" s="81">
        <v>3877.0</v>
      </c>
      <c r="AE193" s="82" t="s">
        <v>568</v>
      </c>
      <c r="AF193" s="124" t="str">
        <f t="shared" si="1"/>
        <v>Buenos Aires, Argentina</v>
      </c>
      <c r="AG193" s="124">
        <f t="shared" si="2"/>
        <v>1</v>
      </c>
      <c r="AH193" s="131">
        <f t="shared" si="3"/>
        <v>0</v>
      </c>
      <c r="AI193" s="131">
        <f t="shared" si="4"/>
        <v>0</v>
      </c>
      <c r="AJ193" s="130">
        <f t="shared" si="5"/>
        <v>1975</v>
      </c>
      <c r="AK193" s="130">
        <f t="shared" si="6"/>
        <v>1975</v>
      </c>
      <c r="AL193" s="132"/>
      <c r="AM193" s="132"/>
    </row>
    <row r="194">
      <c r="A194" s="124">
        <v>193.0</v>
      </c>
      <c r="B194" s="125">
        <v>43936.0</v>
      </c>
      <c r="C194" s="17">
        <v>42020.0</v>
      </c>
      <c r="D194" s="126" t="s">
        <v>561</v>
      </c>
      <c r="E194" s="124" t="s">
        <v>38</v>
      </c>
      <c r="F194" s="126" t="s">
        <v>744</v>
      </c>
      <c r="G194" s="124" t="s">
        <v>64</v>
      </c>
      <c r="H194" s="124" t="s">
        <v>41</v>
      </c>
      <c r="I194" s="124" t="s">
        <v>42</v>
      </c>
      <c r="J194" s="127"/>
      <c r="K194" s="127"/>
      <c r="L194" s="127"/>
      <c r="M194" s="127"/>
      <c r="N194" s="133">
        <v>1.0</v>
      </c>
      <c r="O194" s="127"/>
      <c r="P194" s="127"/>
      <c r="Q194" s="128"/>
      <c r="R194" s="128"/>
      <c r="S194" s="124" t="s">
        <v>89</v>
      </c>
      <c r="T194" s="124" t="s">
        <v>83</v>
      </c>
      <c r="U194" s="124" t="s">
        <v>67</v>
      </c>
      <c r="V194" s="124" t="s">
        <v>59</v>
      </c>
      <c r="W194" s="130">
        <v>4528.0</v>
      </c>
      <c r="X194" s="129"/>
      <c r="Y194" s="129"/>
      <c r="Z194" s="129"/>
      <c r="AA194" s="130">
        <v>0.0</v>
      </c>
      <c r="AB194" s="130">
        <v>0.0</v>
      </c>
      <c r="AC194" s="24" t="s">
        <v>563</v>
      </c>
      <c r="AD194" s="17">
        <v>1998.0</v>
      </c>
      <c r="AE194" s="27" t="s">
        <v>745</v>
      </c>
      <c r="AF194" s="124" t="str">
        <f t="shared" si="1"/>
        <v>Capital Federal, Argentina</v>
      </c>
      <c r="AG194" s="124">
        <f t="shared" si="2"/>
        <v>1</v>
      </c>
      <c r="AH194" s="131">
        <f t="shared" si="3"/>
        <v>4528</v>
      </c>
      <c r="AI194" s="131">
        <f t="shared" si="4"/>
        <v>0</v>
      </c>
      <c r="AJ194" s="130">
        <f t="shared" si="5"/>
        <v>0</v>
      </c>
      <c r="AK194" s="130">
        <f t="shared" si="6"/>
        <v>4528</v>
      </c>
      <c r="AL194" s="132"/>
      <c r="AM194" s="132"/>
    </row>
    <row r="195">
      <c r="A195" s="124">
        <v>194.0</v>
      </c>
      <c r="B195" s="125">
        <v>43941.0</v>
      </c>
      <c r="C195" s="17">
        <v>42020.0</v>
      </c>
      <c r="D195" s="126" t="s">
        <v>746</v>
      </c>
      <c r="E195" s="124" t="s">
        <v>38</v>
      </c>
      <c r="F195" s="126" t="s">
        <v>546</v>
      </c>
      <c r="G195" s="124" t="s">
        <v>40</v>
      </c>
      <c r="H195" s="124" t="s">
        <v>547</v>
      </c>
      <c r="I195" s="124" t="s">
        <v>42</v>
      </c>
      <c r="J195" s="133">
        <v>1.0</v>
      </c>
      <c r="K195" s="127"/>
      <c r="L195" s="127"/>
      <c r="M195" s="127"/>
      <c r="N195" s="127"/>
      <c r="O195" s="127"/>
      <c r="P195" s="127"/>
      <c r="Q195" s="128"/>
      <c r="R195" s="128"/>
      <c r="S195" s="124" t="s">
        <v>189</v>
      </c>
      <c r="T195" s="124" t="s">
        <v>66</v>
      </c>
      <c r="U195" s="124" t="s">
        <v>45</v>
      </c>
      <c r="V195" s="124" t="s">
        <v>59</v>
      </c>
      <c r="W195" s="129"/>
      <c r="X195" s="129"/>
      <c r="Y195" s="129"/>
      <c r="Z195" s="129"/>
      <c r="AA195" s="130">
        <v>1975.0</v>
      </c>
      <c r="AB195" s="130">
        <v>0.0</v>
      </c>
      <c r="AC195" s="24" t="s">
        <v>747</v>
      </c>
      <c r="AD195" s="81">
        <v>4077.0</v>
      </c>
      <c r="AE195" s="82" t="s">
        <v>748</v>
      </c>
      <c r="AF195" s="124" t="str">
        <f t="shared" si="1"/>
        <v>Buenos Aires, Argentina</v>
      </c>
      <c r="AG195" s="124">
        <f t="shared" si="2"/>
        <v>1</v>
      </c>
      <c r="AH195" s="131">
        <f t="shared" si="3"/>
        <v>0</v>
      </c>
      <c r="AI195" s="131">
        <f t="shared" si="4"/>
        <v>0</v>
      </c>
      <c r="AJ195" s="130">
        <f t="shared" si="5"/>
        <v>1975</v>
      </c>
      <c r="AK195" s="130">
        <f t="shared" si="6"/>
        <v>1975</v>
      </c>
      <c r="AL195" s="132"/>
      <c r="AM195" s="132"/>
    </row>
    <row r="196">
      <c r="A196" s="124">
        <v>195.0</v>
      </c>
      <c r="B196" s="125">
        <v>43942.0</v>
      </c>
      <c r="C196" s="17">
        <v>42020.0</v>
      </c>
      <c r="D196" s="126" t="s">
        <v>749</v>
      </c>
      <c r="E196" s="124" t="s">
        <v>38</v>
      </c>
      <c r="F196" s="126" t="s">
        <v>517</v>
      </c>
      <c r="G196" s="124" t="s">
        <v>40</v>
      </c>
      <c r="H196" s="124" t="s">
        <v>41</v>
      </c>
      <c r="I196" s="124" t="s">
        <v>42</v>
      </c>
      <c r="J196" s="133">
        <v>1.0</v>
      </c>
      <c r="K196" s="127"/>
      <c r="L196" s="127"/>
      <c r="M196" s="127"/>
      <c r="N196" s="127"/>
      <c r="O196" s="127"/>
      <c r="P196" s="127"/>
      <c r="Q196" s="128"/>
      <c r="R196" s="128"/>
      <c r="S196" s="124" t="s">
        <v>105</v>
      </c>
      <c r="T196" s="124" t="s">
        <v>73</v>
      </c>
      <c r="U196" s="124" t="s">
        <v>45</v>
      </c>
      <c r="V196" s="124" t="s">
        <v>78</v>
      </c>
      <c r="W196" s="129"/>
      <c r="X196" s="129"/>
      <c r="Y196" s="129"/>
      <c r="Z196" s="129"/>
      <c r="AA196" s="130">
        <v>3950.0</v>
      </c>
      <c r="AB196" s="130">
        <v>11850.0</v>
      </c>
      <c r="AC196" s="24" t="s">
        <v>750</v>
      </c>
      <c r="AD196" s="81">
        <v>4075.0</v>
      </c>
      <c r="AE196" s="82" t="s">
        <v>751</v>
      </c>
      <c r="AF196" s="124" t="str">
        <f t="shared" si="1"/>
        <v>Tierra de Fuego, Argentina</v>
      </c>
      <c r="AG196" s="124">
        <f t="shared" si="2"/>
        <v>1</v>
      </c>
      <c r="AH196" s="131">
        <f t="shared" si="3"/>
        <v>0</v>
      </c>
      <c r="AI196" s="131">
        <f t="shared" si="4"/>
        <v>0</v>
      </c>
      <c r="AJ196" s="130">
        <f t="shared" si="5"/>
        <v>15800</v>
      </c>
      <c r="AK196" s="130">
        <f t="shared" si="6"/>
        <v>15800</v>
      </c>
      <c r="AL196" s="132"/>
      <c r="AM196" s="132"/>
    </row>
    <row r="197">
      <c r="A197" s="124">
        <v>196.0</v>
      </c>
      <c r="B197" s="125">
        <v>43942.0</v>
      </c>
      <c r="C197" s="17">
        <v>42020.0</v>
      </c>
      <c r="D197" s="126" t="s">
        <v>752</v>
      </c>
      <c r="E197" s="124" t="s">
        <v>38</v>
      </c>
      <c r="F197" s="126" t="s">
        <v>753</v>
      </c>
      <c r="G197" s="124" t="s">
        <v>64</v>
      </c>
      <c r="H197" s="124" t="s">
        <v>41</v>
      </c>
      <c r="I197" s="124" t="s">
        <v>42</v>
      </c>
      <c r="J197" s="127"/>
      <c r="K197" s="127"/>
      <c r="L197" s="127"/>
      <c r="M197" s="127"/>
      <c r="N197" s="127"/>
      <c r="O197" s="127"/>
      <c r="P197" s="133">
        <v>1.0</v>
      </c>
      <c r="Q197" s="128"/>
      <c r="R197" s="128"/>
      <c r="S197" s="124" t="s">
        <v>98</v>
      </c>
      <c r="T197" s="124" t="s">
        <v>148</v>
      </c>
      <c r="U197" s="124" t="s">
        <v>99</v>
      </c>
      <c r="V197" s="124" t="s">
        <v>46</v>
      </c>
      <c r="W197" s="130">
        <v>1600.0</v>
      </c>
      <c r="X197" s="129"/>
      <c r="Y197" s="129"/>
      <c r="Z197" s="129"/>
      <c r="AA197" s="130">
        <v>0.0</v>
      </c>
      <c r="AB197" s="130">
        <v>0.0</v>
      </c>
      <c r="AC197" s="38"/>
      <c r="AD197" s="134"/>
      <c r="AE197" s="82" t="s">
        <v>754</v>
      </c>
      <c r="AF197" s="124" t="str">
        <f t="shared" si="1"/>
        <v>Formosa, Argentina</v>
      </c>
      <c r="AG197" s="124">
        <f t="shared" si="2"/>
        <v>1</v>
      </c>
      <c r="AH197" s="131">
        <f t="shared" si="3"/>
        <v>1600</v>
      </c>
      <c r="AI197" s="131">
        <f t="shared" si="4"/>
        <v>0</v>
      </c>
      <c r="AJ197" s="130">
        <f t="shared" si="5"/>
        <v>0</v>
      </c>
      <c r="AK197" s="130">
        <f t="shared" si="6"/>
        <v>1600</v>
      </c>
      <c r="AL197" s="132"/>
      <c r="AM197" s="132"/>
    </row>
    <row r="198">
      <c r="A198" s="124">
        <v>197.0</v>
      </c>
      <c r="B198" s="125">
        <v>43943.0</v>
      </c>
      <c r="C198" s="17">
        <v>42020.0</v>
      </c>
      <c r="D198" s="126" t="s">
        <v>755</v>
      </c>
      <c r="E198" s="124" t="s">
        <v>38</v>
      </c>
      <c r="F198" s="126" t="s">
        <v>753</v>
      </c>
      <c r="G198" s="124" t="s">
        <v>64</v>
      </c>
      <c r="H198" s="124" t="s">
        <v>41</v>
      </c>
      <c r="I198" s="124" t="s">
        <v>42</v>
      </c>
      <c r="J198" s="127"/>
      <c r="K198" s="127"/>
      <c r="L198" s="127"/>
      <c r="M198" s="127"/>
      <c r="N198" s="127"/>
      <c r="O198" s="127"/>
      <c r="P198" s="133">
        <v>1.0</v>
      </c>
      <c r="Q198" s="128"/>
      <c r="R198" s="128"/>
      <c r="S198" s="124" t="s">
        <v>98</v>
      </c>
      <c r="T198" s="124" t="s">
        <v>66</v>
      </c>
      <c r="U198" s="124" t="s">
        <v>99</v>
      </c>
      <c r="V198" s="124" t="s">
        <v>78</v>
      </c>
      <c r="W198" s="130">
        <v>1600.0</v>
      </c>
      <c r="X198" s="129"/>
      <c r="Y198" s="129"/>
      <c r="Z198" s="129"/>
      <c r="AA198" s="129"/>
      <c r="AB198" s="130">
        <v>0.0</v>
      </c>
      <c r="AC198" s="24" t="s">
        <v>756</v>
      </c>
      <c r="AD198" s="17">
        <v>4083.0</v>
      </c>
      <c r="AE198" s="27" t="s">
        <v>757</v>
      </c>
      <c r="AF198" s="124" t="str">
        <f t="shared" si="1"/>
        <v>Buenos Aires, Argentina</v>
      </c>
      <c r="AG198" s="124">
        <f t="shared" si="2"/>
        <v>1</v>
      </c>
      <c r="AH198" s="131">
        <f t="shared" si="3"/>
        <v>1600</v>
      </c>
      <c r="AI198" s="131">
        <f t="shared" si="4"/>
        <v>0</v>
      </c>
      <c r="AJ198" s="130">
        <f t="shared" si="5"/>
        <v>0</v>
      </c>
      <c r="AK198" s="130">
        <f t="shared" si="6"/>
        <v>1600</v>
      </c>
      <c r="AL198" s="132"/>
      <c r="AM198" s="132"/>
    </row>
    <row r="199">
      <c r="A199" s="124">
        <v>198.0</v>
      </c>
      <c r="B199" s="125">
        <v>43944.0</v>
      </c>
      <c r="C199" s="17">
        <v>42020.0</v>
      </c>
      <c r="D199" s="126" t="s">
        <v>758</v>
      </c>
      <c r="E199" s="124" t="s">
        <v>38</v>
      </c>
      <c r="F199" s="126" t="s">
        <v>759</v>
      </c>
      <c r="G199" s="124" t="s">
        <v>64</v>
      </c>
      <c r="H199" s="124" t="s">
        <v>227</v>
      </c>
      <c r="I199" s="124" t="s">
        <v>42</v>
      </c>
      <c r="J199" s="133">
        <v>1.0</v>
      </c>
      <c r="K199" s="127"/>
      <c r="L199" s="127"/>
      <c r="M199" s="127"/>
      <c r="N199" s="127"/>
      <c r="O199" s="127"/>
      <c r="P199" s="127"/>
      <c r="Q199" s="128"/>
      <c r="R199" s="128"/>
      <c r="S199" s="124" t="s">
        <v>114</v>
      </c>
      <c r="T199" s="124" t="s">
        <v>73</v>
      </c>
      <c r="U199" s="124" t="s">
        <v>99</v>
      </c>
      <c r="V199" s="124" t="s">
        <v>78</v>
      </c>
      <c r="W199" s="129"/>
      <c r="X199" s="129"/>
      <c r="Y199" s="129"/>
      <c r="Z199" s="129"/>
      <c r="AA199" s="130">
        <v>5048.0</v>
      </c>
      <c r="AB199" s="130">
        <v>0.0</v>
      </c>
      <c r="AC199" s="24" t="s">
        <v>760</v>
      </c>
      <c r="AD199" s="17">
        <v>4091.0</v>
      </c>
      <c r="AE199" s="27" t="s">
        <v>761</v>
      </c>
      <c r="AF199" s="124" t="str">
        <f t="shared" si="1"/>
        <v>Tierra de Fuego, Argentina</v>
      </c>
      <c r="AG199" s="124">
        <f t="shared" si="2"/>
        <v>1</v>
      </c>
      <c r="AH199" s="131">
        <f t="shared" si="3"/>
        <v>0</v>
      </c>
      <c r="AI199" s="131">
        <f t="shared" si="4"/>
        <v>0</v>
      </c>
      <c r="AJ199" s="130">
        <f t="shared" si="5"/>
        <v>5048</v>
      </c>
      <c r="AK199" s="130">
        <f t="shared" si="6"/>
        <v>5048</v>
      </c>
      <c r="AL199" s="132"/>
      <c r="AM199" s="132"/>
    </row>
    <row r="200">
      <c r="A200" s="124">
        <v>199.0</v>
      </c>
      <c r="B200" s="125">
        <v>43945.0</v>
      </c>
      <c r="C200" s="17">
        <v>42020.0</v>
      </c>
      <c r="D200" s="126" t="s">
        <v>762</v>
      </c>
      <c r="E200" s="124" t="s">
        <v>38</v>
      </c>
      <c r="F200" s="126" t="s">
        <v>546</v>
      </c>
      <c r="G200" s="124" t="s">
        <v>40</v>
      </c>
      <c r="H200" s="124" t="s">
        <v>547</v>
      </c>
      <c r="I200" s="124" t="s">
        <v>42</v>
      </c>
      <c r="J200" s="133">
        <v>1.0</v>
      </c>
      <c r="K200" s="127"/>
      <c r="L200" s="127"/>
      <c r="M200" s="127"/>
      <c r="N200" s="127"/>
      <c r="O200" s="127"/>
      <c r="P200" s="127"/>
      <c r="Q200" s="128"/>
      <c r="R200" s="128"/>
      <c r="S200" s="124" t="s">
        <v>114</v>
      </c>
      <c r="T200" s="124" t="s">
        <v>83</v>
      </c>
      <c r="U200" s="124" t="s">
        <v>45</v>
      </c>
      <c r="V200" s="124" t="s">
        <v>84</v>
      </c>
      <c r="W200" s="129"/>
      <c r="X200" s="129"/>
      <c r="Y200" s="129"/>
      <c r="Z200" s="129"/>
      <c r="AA200" s="130">
        <v>1975.0</v>
      </c>
      <c r="AB200" s="130">
        <v>0.0</v>
      </c>
      <c r="AC200" s="24" t="s">
        <v>763</v>
      </c>
      <c r="AD200" s="17">
        <v>4087.0</v>
      </c>
      <c r="AE200" s="27" t="s">
        <v>764</v>
      </c>
      <c r="AF200" s="124" t="str">
        <f t="shared" si="1"/>
        <v>Capital Federal, Argentina</v>
      </c>
      <c r="AG200" s="124">
        <f t="shared" si="2"/>
        <v>1</v>
      </c>
      <c r="AH200" s="131">
        <f t="shared" si="3"/>
        <v>0</v>
      </c>
      <c r="AI200" s="131">
        <f t="shared" si="4"/>
        <v>0</v>
      </c>
      <c r="AJ200" s="130">
        <f t="shared" si="5"/>
        <v>1975</v>
      </c>
      <c r="AK200" s="130">
        <f t="shared" si="6"/>
        <v>1975</v>
      </c>
      <c r="AL200" s="132"/>
      <c r="AM200" s="132"/>
    </row>
    <row r="201">
      <c r="A201" s="124">
        <v>200.0</v>
      </c>
      <c r="B201" s="125">
        <v>43948.0</v>
      </c>
      <c r="C201" s="17">
        <v>42020.0</v>
      </c>
      <c r="D201" s="126" t="s">
        <v>765</v>
      </c>
      <c r="E201" s="124" t="s">
        <v>38</v>
      </c>
      <c r="F201" s="126" t="s">
        <v>753</v>
      </c>
      <c r="G201" s="124" t="s">
        <v>64</v>
      </c>
      <c r="H201" s="124" t="s">
        <v>41</v>
      </c>
      <c r="I201" s="124" t="s">
        <v>42</v>
      </c>
      <c r="J201" s="127"/>
      <c r="K201" s="127"/>
      <c r="L201" s="127"/>
      <c r="M201" s="127"/>
      <c r="N201" s="127"/>
      <c r="O201" s="127"/>
      <c r="P201" s="133">
        <v>1.0</v>
      </c>
      <c r="Q201" s="128"/>
      <c r="R201" s="128"/>
      <c r="S201" s="124" t="s">
        <v>51</v>
      </c>
      <c r="T201" s="124" t="s">
        <v>83</v>
      </c>
      <c r="U201" s="124" t="s">
        <v>99</v>
      </c>
      <c r="V201" s="124" t="s">
        <v>84</v>
      </c>
      <c r="W201" s="129"/>
      <c r="X201" s="129"/>
      <c r="Y201" s="129"/>
      <c r="Z201" s="129"/>
      <c r="AA201" s="130">
        <v>1600.0</v>
      </c>
      <c r="AB201" s="130">
        <v>0.0</v>
      </c>
      <c r="AC201" s="24" t="s">
        <v>766</v>
      </c>
      <c r="AD201" s="17">
        <v>4093.0</v>
      </c>
      <c r="AE201" s="27" t="s">
        <v>767</v>
      </c>
      <c r="AF201" s="124" t="str">
        <f t="shared" si="1"/>
        <v>Capital Federal, Argentina</v>
      </c>
      <c r="AG201" s="124">
        <f t="shared" si="2"/>
        <v>1</v>
      </c>
      <c r="AH201" s="131">
        <f t="shared" si="3"/>
        <v>0</v>
      </c>
      <c r="AI201" s="131">
        <f t="shared" si="4"/>
        <v>0</v>
      </c>
      <c r="AJ201" s="130">
        <f t="shared" si="5"/>
        <v>1600</v>
      </c>
      <c r="AK201" s="130">
        <f t="shared" si="6"/>
        <v>1600</v>
      </c>
      <c r="AL201" s="132"/>
      <c r="AM201" s="132"/>
    </row>
    <row r="202">
      <c r="A202" s="124">
        <v>201.0</v>
      </c>
      <c r="B202" s="125">
        <v>43948.0</v>
      </c>
      <c r="C202" s="17">
        <v>42020.0</v>
      </c>
      <c r="D202" s="126" t="s">
        <v>237</v>
      </c>
      <c r="E202" s="124" t="s">
        <v>38</v>
      </c>
      <c r="F202" s="126" t="s">
        <v>753</v>
      </c>
      <c r="G202" s="124" t="s">
        <v>64</v>
      </c>
      <c r="H202" s="124" t="s">
        <v>41</v>
      </c>
      <c r="I202" s="124" t="s">
        <v>42</v>
      </c>
      <c r="J202" s="127"/>
      <c r="K202" s="127"/>
      <c r="L202" s="127"/>
      <c r="M202" s="127"/>
      <c r="N202" s="127"/>
      <c r="O202" s="127"/>
      <c r="P202" s="133">
        <v>1.0</v>
      </c>
      <c r="Q202" s="128"/>
      <c r="R202" s="128"/>
      <c r="S202" s="124" t="s">
        <v>98</v>
      </c>
      <c r="T202" s="124" t="s">
        <v>73</v>
      </c>
      <c r="U202" s="124" t="s">
        <v>67</v>
      </c>
      <c r="V202" s="124" t="s">
        <v>78</v>
      </c>
      <c r="W202" s="130">
        <v>1600.0</v>
      </c>
      <c r="X202" s="129"/>
      <c r="Y202" s="129"/>
      <c r="Z202" s="129"/>
      <c r="AA202" s="129"/>
      <c r="AB202" s="130">
        <v>0.0</v>
      </c>
      <c r="AC202" s="24" t="s">
        <v>768</v>
      </c>
      <c r="AD202" s="81">
        <v>4089.0</v>
      </c>
      <c r="AE202" s="82" t="s">
        <v>240</v>
      </c>
      <c r="AF202" s="124" t="str">
        <f t="shared" si="1"/>
        <v>Tierra de Fuego, Argentina</v>
      </c>
      <c r="AG202" s="124">
        <f t="shared" si="2"/>
        <v>1</v>
      </c>
      <c r="AH202" s="131">
        <f t="shared" si="3"/>
        <v>1600</v>
      </c>
      <c r="AI202" s="131">
        <f t="shared" si="4"/>
        <v>0</v>
      </c>
      <c r="AJ202" s="130">
        <f t="shared" si="5"/>
        <v>0</v>
      </c>
      <c r="AK202" s="130">
        <f t="shared" si="6"/>
        <v>1600</v>
      </c>
      <c r="AL202" s="132"/>
      <c r="AM202" s="132"/>
    </row>
    <row r="203">
      <c r="A203" s="124">
        <v>202.0</v>
      </c>
      <c r="B203" s="125">
        <v>43948.0</v>
      </c>
      <c r="C203" s="17">
        <v>42020.0</v>
      </c>
      <c r="D203" s="126" t="s">
        <v>769</v>
      </c>
      <c r="E203" s="124" t="s">
        <v>38</v>
      </c>
      <c r="F203" s="126" t="s">
        <v>517</v>
      </c>
      <c r="G203" s="124" t="s">
        <v>40</v>
      </c>
      <c r="H203" s="124" t="s">
        <v>41</v>
      </c>
      <c r="I203" s="124" t="s">
        <v>42</v>
      </c>
      <c r="J203" s="133">
        <v>1.0</v>
      </c>
      <c r="K203" s="127"/>
      <c r="L203" s="127"/>
      <c r="M203" s="127"/>
      <c r="N203" s="127"/>
      <c r="O203" s="127"/>
      <c r="P203" s="127"/>
      <c r="Q203" s="128"/>
      <c r="R203" s="128"/>
      <c r="S203" s="124" t="s">
        <v>65</v>
      </c>
      <c r="T203" s="124" t="s">
        <v>66</v>
      </c>
      <c r="U203" s="124" t="s">
        <v>53</v>
      </c>
      <c r="V203" s="124" t="s">
        <v>59</v>
      </c>
      <c r="W203" s="129"/>
      <c r="X203" s="129"/>
      <c r="Y203" s="129"/>
      <c r="Z203" s="129"/>
      <c r="AA203" s="130">
        <v>3950.0</v>
      </c>
      <c r="AB203" s="130">
        <v>11850.0</v>
      </c>
      <c r="AC203" s="24" t="s">
        <v>770</v>
      </c>
      <c r="AD203" s="17">
        <v>4079.0</v>
      </c>
      <c r="AE203" s="27" t="s">
        <v>771</v>
      </c>
      <c r="AF203" s="124" t="str">
        <f t="shared" si="1"/>
        <v>Buenos Aires, Argentina</v>
      </c>
      <c r="AG203" s="124">
        <f t="shared" si="2"/>
        <v>1</v>
      </c>
      <c r="AH203" s="131">
        <f t="shared" si="3"/>
        <v>0</v>
      </c>
      <c r="AI203" s="131">
        <f t="shared" si="4"/>
        <v>0</v>
      </c>
      <c r="AJ203" s="130">
        <f t="shared" si="5"/>
        <v>15800</v>
      </c>
      <c r="AK203" s="130">
        <f t="shared" si="6"/>
        <v>15800</v>
      </c>
      <c r="AL203" s="132"/>
      <c r="AM203" s="132"/>
    </row>
    <row r="204">
      <c r="A204" s="124">
        <v>203.0</v>
      </c>
      <c r="B204" s="125">
        <v>43948.0</v>
      </c>
      <c r="C204" s="17">
        <v>42020.0</v>
      </c>
      <c r="D204" s="126" t="s">
        <v>772</v>
      </c>
      <c r="E204" s="124" t="s">
        <v>38</v>
      </c>
      <c r="F204" s="126" t="s">
        <v>682</v>
      </c>
      <c r="G204" s="124" t="s">
        <v>40</v>
      </c>
      <c r="H204" s="124" t="s">
        <v>41</v>
      </c>
      <c r="I204" s="124" t="s">
        <v>42</v>
      </c>
      <c r="J204" s="133">
        <v>1.0</v>
      </c>
      <c r="K204" s="133">
        <v>1.0</v>
      </c>
      <c r="L204" s="127"/>
      <c r="M204" s="127"/>
      <c r="N204" s="127"/>
      <c r="O204" s="127"/>
      <c r="P204" s="127"/>
      <c r="Q204" s="128"/>
      <c r="R204" s="128"/>
      <c r="S204" s="124" t="s">
        <v>167</v>
      </c>
      <c r="T204" s="124" t="s">
        <v>83</v>
      </c>
      <c r="U204" s="124" t="s">
        <v>163</v>
      </c>
      <c r="V204" s="124" t="s">
        <v>59</v>
      </c>
      <c r="W204" s="129"/>
      <c r="X204" s="129"/>
      <c r="Y204" s="129"/>
      <c r="Z204" s="129"/>
      <c r="AA204" s="130">
        <v>6560.0</v>
      </c>
      <c r="AB204" s="130">
        <v>0.0</v>
      </c>
      <c r="AC204" s="24" t="s">
        <v>773</v>
      </c>
      <c r="AD204" s="17">
        <v>4085.0</v>
      </c>
      <c r="AE204" s="27" t="s">
        <v>774</v>
      </c>
      <c r="AF204" s="124" t="str">
        <f t="shared" si="1"/>
        <v>Capital Federal, Argentina</v>
      </c>
      <c r="AG204" s="124">
        <f t="shared" si="2"/>
        <v>2</v>
      </c>
      <c r="AH204" s="131">
        <f t="shared" si="3"/>
        <v>0</v>
      </c>
      <c r="AI204" s="131">
        <f t="shared" si="4"/>
        <v>0</v>
      </c>
      <c r="AJ204" s="130">
        <f t="shared" si="5"/>
        <v>6560</v>
      </c>
      <c r="AK204" s="130">
        <f t="shared" si="6"/>
        <v>6560</v>
      </c>
      <c r="AL204" s="132"/>
      <c r="AM204" s="132"/>
    </row>
    <row r="205">
      <c r="A205" s="124">
        <v>204.0</v>
      </c>
      <c r="B205" s="125">
        <v>43948.0</v>
      </c>
      <c r="C205" s="17">
        <v>42020.0</v>
      </c>
      <c r="D205" s="126" t="s">
        <v>775</v>
      </c>
      <c r="E205" s="124" t="s">
        <v>38</v>
      </c>
      <c r="F205" s="126" t="s">
        <v>546</v>
      </c>
      <c r="G205" s="124" t="s">
        <v>40</v>
      </c>
      <c r="H205" s="124" t="s">
        <v>547</v>
      </c>
      <c r="I205" s="124" t="s">
        <v>42</v>
      </c>
      <c r="J205" s="133">
        <v>1.0</v>
      </c>
      <c r="K205" s="127"/>
      <c r="L205" s="127"/>
      <c r="M205" s="127"/>
      <c r="N205" s="127"/>
      <c r="O205" s="127"/>
      <c r="P205" s="127"/>
      <c r="Q205" s="128"/>
      <c r="R205" s="128"/>
      <c r="S205" s="124" t="s">
        <v>114</v>
      </c>
      <c r="T205" s="124" t="s">
        <v>66</v>
      </c>
      <c r="U205" s="124" t="s">
        <v>53</v>
      </c>
      <c r="V205" s="124" t="s">
        <v>59</v>
      </c>
      <c r="W205" s="129"/>
      <c r="X205" s="129"/>
      <c r="Y205" s="129"/>
      <c r="Z205" s="129"/>
      <c r="AA205" s="130">
        <v>1975.0</v>
      </c>
      <c r="AB205" s="130">
        <v>0.0</v>
      </c>
      <c r="AC205" s="24" t="s">
        <v>776</v>
      </c>
      <c r="AD205" s="17">
        <v>4099.0</v>
      </c>
      <c r="AE205" s="27" t="s">
        <v>777</v>
      </c>
      <c r="AF205" s="124" t="str">
        <f t="shared" si="1"/>
        <v>Buenos Aires, Argentina</v>
      </c>
      <c r="AG205" s="124">
        <f t="shared" si="2"/>
        <v>1</v>
      </c>
      <c r="AH205" s="131">
        <f t="shared" si="3"/>
        <v>0</v>
      </c>
      <c r="AI205" s="131">
        <f t="shared" si="4"/>
        <v>0</v>
      </c>
      <c r="AJ205" s="130">
        <f t="shared" si="5"/>
        <v>1975</v>
      </c>
      <c r="AK205" s="130">
        <f t="shared" si="6"/>
        <v>1975</v>
      </c>
      <c r="AL205" s="132"/>
      <c r="AM205" s="132"/>
    </row>
    <row r="206">
      <c r="A206" s="124">
        <v>205.0</v>
      </c>
      <c r="B206" s="125">
        <v>43949.0</v>
      </c>
      <c r="C206" s="17">
        <v>42020.0</v>
      </c>
      <c r="D206" s="126" t="s">
        <v>246</v>
      </c>
      <c r="E206" s="124" t="s">
        <v>38</v>
      </c>
      <c r="F206" s="126" t="s">
        <v>521</v>
      </c>
      <c r="G206" s="124" t="s">
        <v>64</v>
      </c>
      <c r="H206" s="124" t="s">
        <v>41</v>
      </c>
      <c r="I206" s="124" t="s">
        <v>42</v>
      </c>
      <c r="J206" s="133">
        <v>2.0</v>
      </c>
      <c r="K206" s="127"/>
      <c r="L206" s="127"/>
      <c r="M206" s="127"/>
      <c r="N206" s="127"/>
      <c r="O206" s="127"/>
      <c r="P206" s="127"/>
      <c r="Q206" s="128"/>
      <c r="R206" s="128"/>
      <c r="S206" s="124" t="s">
        <v>51</v>
      </c>
      <c r="T206" s="124" t="s">
        <v>83</v>
      </c>
      <c r="U206" s="124" t="s">
        <v>67</v>
      </c>
      <c r="V206" s="124" t="s">
        <v>78</v>
      </c>
      <c r="W206" s="129"/>
      <c r="X206" s="129"/>
      <c r="Y206" s="129"/>
      <c r="Z206" s="129"/>
      <c r="AA206" s="130">
        <v>10701.0</v>
      </c>
      <c r="AB206" s="130">
        <v>0.0</v>
      </c>
      <c r="AC206" s="24" t="s">
        <v>778</v>
      </c>
      <c r="AD206" s="17">
        <v>4047.0</v>
      </c>
      <c r="AE206" s="27" t="s">
        <v>779</v>
      </c>
      <c r="AF206" s="124" t="str">
        <f t="shared" si="1"/>
        <v>Capital Federal, Argentina</v>
      </c>
      <c r="AG206" s="124">
        <f t="shared" si="2"/>
        <v>2</v>
      </c>
      <c r="AH206" s="131">
        <f t="shared" si="3"/>
        <v>0</v>
      </c>
      <c r="AI206" s="131">
        <f t="shared" si="4"/>
        <v>0</v>
      </c>
      <c r="AJ206" s="130">
        <f t="shared" si="5"/>
        <v>10701</v>
      </c>
      <c r="AK206" s="130">
        <f t="shared" si="6"/>
        <v>10701</v>
      </c>
      <c r="AL206" s="132"/>
      <c r="AM206" s="132"/>
    </row>
    <row r="207">
      <c r="A207" s="124">
        <v>206.0</v>
      </c>
      <c r="B207" s="125">
        <v>43949.0</v>
      </c>
      <c r="C207" s="17">
        <v>42020.0</v>
      </c>
      <c r="D207" s="126" t="s">
        <v>780</v>
      </c>
      <c r="E207" s="124" t="s">
        <v>38</v>
      </c>
      <c r="F207" s="126" t="s">
        <v>781</v>
      </c>
      <c r="G207" s="124" t="s">
        <v>40</v>
      </c>
      <c r="H207" s="124" t="s">
        <v>41</v>
      </c>
      <c r="I207" s="124" t="s">
        <v>42</v>
      </c>
      <c r="J207" s="133">
        <v>1.0</v>
      </c>
      <c r="K207" s="133">
        <v>2.0</v>
      </c>
      <c r="L207" s="127"/>
      <c r="M207" s="127"/>
      <c r="N207" s="127"/>
      <c r="O207" s="127"/>
      <c r="P207" s="127"/>
      <c r="Q207" s="128"/>
      <c r="R207" s="128"/>
      <c r="S207" s="124" t="s">
        <v>137</v>
      </c>
      <c r="T207" s="124" t="s">
        <v>66</v>
      </c>
      <c r="U207" s="124" t="s">
        <v>45</v>
      </c>
      <c r="V207" s="124" t="s">
        <v>78</v>
      </c>
      <c r="W207" s="129"/>
      <c r="X207" s="129"/>
      <c r="Y207" s="129"/>
      <c r="Z207" s="129"/>
      <c r="AA207" s="130">
        <v>8210.0</v>
      </c>
      <c r="AB207" s="130">
        <v>24630.0</v>
      </c>
      <c r="AC207" s="24" t="s">
        <v>782</v>
      </c>
      <c r="AD207" s="17">
        <v>4095.0</v>
      </c>
      <c r="AE207" s="27" t="s">
        <v>783</v>
      </c>
      <c r="AF207" s="124" t="str">
        <f t="shared" si="1"/>
        <v>Buenos Aires, Argentina</v>
      </c>
      <c r="AG207" s="124">
        <f t="shared" si="2"/>
        <v>3</v>
      </c>
      <c r="AH207" s="131">
        <f t="shared" si="3"/>
        <v>0</v>
      </c>
      <c r="AI207" s="131">
        <f t="shared" si="4"/>
        <v>0</v>
      </c>
      <c r="AJ207" s="130">
        <f t="shared" si="5"/>
        <v>32840</v>
      </c>
      <c r="AK207" s="130">
        <f t="shared" si="6"/>
        <v>32840</v>
      </c>
      <c r="AL207" s="132"/>
      <c r="AM207" s="132"/>
    </row>
    <row r="208">
      <c r="A208" s="124">
        <v>207.0</v>
      </c>
      <c r="B208" s="125">
        <v>43950.0</v>
      </c>
      <c r="C208" s="17">
        <v>42020.0</v>
      </c>
      <c r="D208" s="126" t="s">
        <v>784</v>
      </c>
      <c r="E208" s="124" t="s">
        <v>38</v>
      </c>
      <c r="F208" s="126" t="s">
        <v>753</v>
      </c>
      <c r="G208" s="124" t="s">
        <v>64</v>
      </c>
      <c r="H208" s="124" t="s">
        <v>41</v>
      </c>
      <c r="I208" s="124" t="s">
        <v>42</v>
      </c>
      <c r="J208" s="127"/>
      <c r="K208" s="127"/>
      <c r="L208" s="127"/>
      <c r="M208" s="127"/>
      <c r="N208" s="127"/>
      <c r="O208" s="127"/>
      <c r="P208" s="133">
        <v>1.0</v>
      </c>
      <c r="Q208" s="128"/>
      <c r="R208" s="128"/>
      <c r="S208" s="124" t="s">
        <v>276</v>
      </c>
      <c r="T208" s="124" t="s">
        <v>73</v>
      </c>
      <c r="U208" s="124" t="s">
        <v>99</v>
      </c>
      <c r="V208" s="124" t="s">
        <v>78</v>
      </c>
      <c r="W208" s="130">
        <v>1600.0</v>
      </c>
      <c r="X208" s="129"/>
      <c r="Y208" s="129"/>
      <c r="Z208" s="129"/>
      <c r="AA208" s="129"/>
      <c r="AB208" s="130">
        <v>0.0</v>
      </c>
      <c r="AC208" s="24" t="s">
        <v>785</v>
      </c>
      <c r="AD208" s="17">
        <v>4107.0</v>
      </c>
      <c r="AE208" s="27" t="s">
        <v>786</v>
      </c>
      <c r="AF208" s="124" t="str">
        <f t="shared" si="1"/>
        <v>Tierra de Fuego, Argentina</v>
      </c>
      <c r="AG208" s="124">
        <f t="shared" si="2"/>
        <v>1</v>
      </c>
      <c r="AH208" s="131">
        <f t="shared" si="3"/>
        <v>1600</v>
      </c>
      <c r="AI208" s="131">
        <f t="shared" si="4"/>
        <v>0</v>
      </c>
      <c r="AJ208" s="130">
        <f t="shared" si="5"/>
        <v>0</v>
      </c>
      <c r="AK208" s="130">
        <f t="shared" si="6"/>
        <v>1600</v>
      </c>
      <c r="AL208" s="132"/>
      <c r="AM208" s="132"/>
    </row>
    <row r="209">
      <c r="A209" s="124">
        <v>208.0</v>
      </c>
      <c r="B209" s="125">
        <v>43950.0</v>
      </c>
      <c r="C209" s="17">
        <v>42020.0</v>
      </c>
      <c r="D209" s="126" t="s">
        <v>603</v>
      </c>
      <c r="E209" s="124" t="s">
        <v>38</v>
      </c>
      <c r="F209" s="126" t="s">
        <v>787</v>
      </c>
      <c r="G209" s="124" t="s">
        <v>64</v>
      </c>
      <c r="H209" s="124" t="s">
        <v>41</v>
      </c>
      <c r="I209" s="124" t="s">
        <v>42</v>
      </c>
      <c r="J209" s="127"/>
      <c r="K209" s="127"/>
      <c r="L209" s="127"/>
      <c r="M209" s="127"/>
      <c r="N209" s="133">
        <v>1.0</v>
      </c>
      <c r="O209" s="127"/>
      <c r="P209" s="127"/>
      <c r="Q209" s="128"/>
      <c r="R209" s="128"/>
      <c r="S209" s="124" t="s">
        <v>98</v>
      </c>
      <c r="T209" s="124" t="s">
        <v>58</v>
      </c>
      <c r="U209" s="124" t="s">
        <v>67</v>
      </c>
      <c r="V209" s="124" t="s">
        <v>217</v>
      </c>
      <c r="W209" s="129"/>
      <c r="X209" s="129"/>
      <c r="Y209" s="129"/>
      <c r="Z209" s="129"/>
      <c r="AA209" s="130">
        <v>3950.0</v>
      </c>
      <c r="AB209" s="130">
        <v>0.0</v>
      </c>
      <c r="AC209" s="24" t="s">
        <v>788</v>
      </c>
      <c r="AD209" s="17">
        <v>4109.0</v>
      </c>
      <c r="AE209" s="27" t="s">
        <v>789</v>
      </c>
      <c r="AF209" s="124" t="str">
        <f t="shared" si="1"/>
        <v>Córdoba, Argentina</v>
      </c>
      <c r="AG209" s="124">
        <f t="shared" si="2"/>
        <v>1</v>
      </c>
      <c r="AH209" s="131">
        <f t="shared" si="3"/>
        <v>0</v>
      </c>
      <c r="AI209" s="131">
        <f t="shared" si="4"/>
        <v>0</v>
      </c>
      <c r="AJ209" s="130">
        <f t="shared" si="5"/>
        <v>3950</v>
      </c>
      <c r="AK209" s="130">
        <f t="shared" si="6"/>
        <v>3950</v>
      </c>
      <c r="AL209" s="132"/>
      <c r="AM209" s="132"/>
    </row>
    <row r="210">
      <c r="A210" s="124">
        <v>209.0</v>
      </c>
      <c r="B210" s="125">
        <v>43951.0</v>
      </c>
      <c r="C210" s="17">
        <v>42020.0</v>
      </c>
      <c r="D210" s="126" t="s">
        <v>790</v>
      </c>
      <c r="E210" s="124" t="s">
        <v>791</v>
      </c>
      <c r="F210" s="126" t="s">
        <v>792</v>
      </c>
      <c r="G210" s="124" t="s">
        <v>40</v>
      </c>
      <c r="H210" s="124" t="s">
        <v>41</v>
      </c>
      <c r="I210" s="124" t="s">
        <v>42</v>
      </c>
      <c r="J210" s="133">
        <v>2.0</v>
      </c>
      <c r="K210" s="133">
        <v>1.0</v>
      </c>
      <c r="L210" s="127"/>
      <c r="M210" s="127"/>
      <c r="N210" s="127"/>
      <c r="O210" s="127"/>
      <c r="P210" s="127"/>
      <c r="Q210" s="128"/>
      <c r="R210" s="128"/>
      <c r="S210" s="124" t="s">
        <v>189</v>
      </c>
      <c r="T210" s="124" t="s">
        <v>66</v>
      </c>
      <c r="U210" s="124" t="s">
        <v>45</v>
      </c>
      <c r="V210" s="124" t="s">
        <v>46</v>
      </c>
      <c r="W210" s="129"/>
      <c r="X210" s="129"/>
      <c r="Y210" s="129"/>
      <c r="Z210" s="129"/>
      <c r="AA210" s="130">
        <v>10510.0</v>
      </c>
      <c r="AB210" s="130">
        <v>15765.0</v>
      </c>
      <c r="AC210" s="24" t="s">
        <v>793</v>
      </c>
      <c r="AD210" s="17">
        <v>4103.0</v>
      </c>
      <c r="AE210" s="27" t="s">
        <v>794</v>
      </c>
      <c r="AF210" s="124" t="str">
        <f t="shared" si="1"/>
        <v>Buenos Aires, Argentina</v>
      </c>
      <c r="AG210" s="124">
        <f t="shared" si="2"/>
        <v>3</v>
      </c>
      <c r="AH210" s="131">
        <f t="shared" si="3"/>
        <v>0</v>
      </c>
      <c r="AI210" s="131">
        <f t="shared" si="4"/>
        <v>0</v>
      </c>
      <c r="AJ210" s="130">
        <f t="shared" si="5"/>
        <v>26275</v>
      </c>
      <c r="AK210" s="130">
        <f t="shared" si="6"/>
        <v>26275</v>
      </c>
      <c r="AL210" s="132"/>
      <c r="AM210" s="132"/>
    </row>
    <row r="211">
      <c r="A211" s="124">
        <v>210.0</v>
      </c>
      <c r="B211" s="125">
        <v>43951.0</v>
      </c>
      <c r="C211" s="17">
        <v>42020.0</v>
      </c>
      <c r="D211" s="126" t="s">
        <v>795</v>
      </c>
      <c r="E211" s="124" t="s">
        <v>796</v>
      </c>
      <c r="F211" s="126" t="s">
        <v>521</v>
      </c>
      <c r="G211" s="124" t="s">
        <v>40</v>
      </c>
      <c r="H211" s="124" t="s">
        <v>41</v>
      </c>
      <c r="I211" s="124" t="s">
        <v>42</v>
      </c>
      <c r="J211" s="133">
        <v>2.0</v>
      </c>
      <c r="K211" s="127"/>
      <c r="L211" s="127"/>
      <c r="M211" s="127"/>
      <c r="N211" s="127"/>
      <c r="O211" s="127"/>
      <c r="P211" s="127"/>
      <c r="Q211" s="128"/>
      <c r="R211" s="128"/>
      <c r="S211" s="124" t="s">
        <v>98</v>
      </c>
      <c r="T211" s="124" t="s">
        <v>66</v>
      </c>
      <c r="U211" s="124" t="s">
        <v>163</v>
      </c>
      <c r="V211" s="124" t="s">
        <v>78</v>
      </c>
      <c r="W211" s="129"/>
      <c r="X211" s="129"/>
      <c r="Y211" s="129"/>
      <c r="Z211" s="129"/>
      <c r="AA211" s="130">
        <v>7900.0</v>
      </c>
      <c r="AB211" s="130">
        <v>23700.0</v>
      </c>
      <c r="AC211" s="24" t="s">
        <v>797</v>
      </c>
      <c r="AD211" s="17">
        <v>4105.0</v>
      </c>
      <c r="AE211" s="27" t="s">
        <v>798</v>
      </c>
      <c r="AF211" s="124" t="str">
        <f t="shared" si="1"/>
        <v>Buenos Aires, Argentina</v>
      </c>
      <c r="AG211" s="124">
        <f t="shared" si="2"/>
        <v>2</v>
      </c>
      <c r="AH211" s="131">
        <f t="shared" si="3"/>
        <v>0</v>
      </c>
      <c r="AI211" s="131">
        <f t="shared" si="4"/>
        <v>0</v>
      </c>
      <c r="AJ211" s="130">
        <f t="shared" si="5"/>
        <v>31600</v>
      </c>
      <c r="AK211" s="130">
        <f t="shared" si="6"/>
        <v>31600</v>
      </c>
      <c r="AL211" s="132"/>
      <c r="AM211" s="132"/>
    </row>
    <row r="212">
      <c r="A212" s="124">
        <v>211.0</v>
      </c>
      <c r="B212" s="125">
        <v>43951.0</v>
      </c>
      <c r="C212" s="17">
        <v>42020.0</v>
      </c>
      <c r="D212" s="126" t="s">
        <v>524</v>
      </c>
      <c r="E212" s="124" t="s">
        <v>38</v>
      </c>
      <c r="F212" s="126" t="s">
        <v>799</v>
      </c>
      <c r="G212" s="124" t="s">
        <v>64</v>
      </c>
      <c r="H212" s="124" t="s">
        <v>41</v>
      </c>
      <c r="I212" s="124" t="s">
        <v>42</v>
      </c>
      <c r="J212" s="127"/>
      <c r="K212" s="127"/>
      <c r="L212" s="127"/>
      <c r="M212" s="133">
        <v>1.0</v>
      </c>
      <c r="N212" s="127"/>
      <c r="O212" s="133">
        <v>1.0</v>
      </c>
      <c r="P212" s="133">
        <v>1.0</v>
      </c>
      <c r="Q212" s="128"/>
      <c r="R212" s="128"/>
      <c r="S212" s="124" t="s">
        <v>72</v>
      </c>
      <c r="T212" s="124" t="s">
        <v>216</v>
      </c>
      <c r="U212" s="124" t="s">
        <v>67</v>
      </c>
      <c r="V212" s="124" t="s">
        <v>217</v>
      </c>
      <c r="W212" s="130">
        <v>3250.0</v>
      </c>
      <c r="X212" s="129"/>
      <c r="Y212" s="129"/>
      <c r="Z212" s="129"/>
      <c r="AA212" s="130">
        <v>7200.0</v>
      </c>
      <c r="AB212" s="130">
        <v>0.0</v>
      </c>
      <c r="AC212" s="24" t="s">
        <v>800</v>
      </c>
      <c r="AD212" s="17">
        <v>18863.0</v>
      </c>
      <c r="AE212" s="27" t="s">
        <v>527</v>
      </c>
      <c r="AF212" s="124" t="str">
        <f t="shared" si="1"/>
        <v>Catamarca, Argentina</v>
      </c>
      <c r="AG212" s="124">
        <f t="shared" si="2"/>
        <v>3</v>
      </c>
      <c r="AH212" s="131">
        <f t="shared" si="3"/>
        <v>3250</v>
      </c>
      <c r="AI212" s="131">
        <f t="shared" si="4"/>
        <v>0</v>
      </c>
      <c r="AJ212" s="130">
        <f t="shared" si="5"/>
        <v>7200</v>
      </c>
      <c r="AK212" s="130">
        <f t="shared" si="6"/>
        <v>10450</v>
      </c>
      <c r="AL212" s="132"/>
      <c r="AM212" s="132"/>
    </row>
    <row r="213">
      <c r="A213" s="124">
        <v>212.0</v>
      </c>
      <c r="B213" s="125">
        <v>43949.0</v>
      </c>
      <c r="C213" s="17">
        <v>42020.0</v>
      </c>
      <c r="D213" s="126" t="s">
        <v>801</v>
      </c>
      <c r="E213" s="124" t="s">
        <v>802</v>
      </c>
      <c r="F213" s="126" t="s">
        <v>753</v>
      </c>
      <c r="G213" s="124" t="s">
        <v>64</v>
      </c>
      <c r="H213" s="124" t="s">
        <v>41</v>
      </c>
      <c r="I213" s="124" t="s">
        <v>42</v>
      </c>
      <c r="J213" s="127"/>
      <c r="K213" s="127"/>
      <c r="L213" s="127"/>
      <c r="M213" s="127"/>
      <c r="N213" s="127"/>
      <c r="O213" s="127"/>
      <c r="P213" s="133">
        <v>1.0</v>
      </c>
      <c r="Q213" s="128"/>
      <c r="R213" s="128"/>
      <c r="S213" s="124" t="s">
        <v>98</v>
      </c>
      <c r="T213" s="124" t="s">
        <v>83</v>
      </c>
      <c r="U213" s="124" t="s">
        <v>67</v>
      </c>
      <c r="V213" s="124" t="s">
        <v>84</v>
      </c>
      <c r="W213" s="129"/>
      <c r="X213" s="129"/>
      <c r="Y213" s="129"/>
      <c r="Z213" s="129"/>
      <c r="AA213" s="130">
        <v>1600.0</v>
      </c>
      <c r="AB213" s="130">
        <v>0.0</v>
      </c>
      <c r="AC213" s="24" t="s">
        <v>803</v>
      </c>
      <c r="AD213" s="17">
        <v>4111.0</v>
      </c>
      <c r="AE213" s="27" t="s">
        <v>804</v>
      </c>
      <c r="AF213" s="124" t="str">
        <f t="shared" si="1"/>
        <v>Capital Federal, Argentina</v>
      </c>
      <c r="AG213" s="124">
        <f t="shared" si="2"/>
        <v>1</v>
      </c>
      <c r="AH213" s="131">
        <f t="shared" si="3"/>
        <v>0</v>
      </c>
      <c r="AI213" s="131">
        <f t="shared" si="4"/>
        <v>0</v>
      </c>
      <c r="AJ213" s="130">
        <f t="shared" si="5"/>
        <v>1600</v>
      </c>
      <c r="AK213" s="130">
        <f t="shared" si="6"/>
        <v>1600</v>
      </c>
      <c r="AL213" s="132"/>
      <c r="AM213" s="132"/>
    </row>
    <row r="214">
      <c r="A214" s="135">
        <v>213.0</v>
      </c>
      <c r="B214" s="136">
        <v>43955.0</v>
      </c>
      <c r="C214" s="17">
        <v>52020.0</v>
      </c>
      <c r="D214" s="137" t="s">
        <v>805</v>
      </c>
      <c r="E214" s="135" t="s">
        <v>38</v>
      </c>
      <c r="F214" s="137" t="s">
        <v>753</v>
      </c>
      <c r="G214" s="135" t="s">
        <v>64</v>
      </c>
      <c r="H214" s="135" t="s">
        <v>41</v>
      </c>
      <c r="I214" s="135" t="s">
        <v>42</v>
      </c>
      <c r="J214" s="138"/>
      <c r="K214" s="138"/>
      <c r="L214" s="138"/>
      <c r="M214" s="138"/>
      <c r="N214" s="138"/>
      <c r="O214" s="138"/>
      <c r="P214" s="139">
        <v>1.0</v>
      </c>
      <c r="Q214" s="140"/>
      <c r="R214" s="140"/>
      <c r="S214" s="135" t="s">
        <v>98</v>
      </c>
      <c r="T214" s="135" t="s">
        <v>83</v>
      </c>
      <c r="U214" s="135" t="s">
        <v>67</v>
      </c>
      <c r="V214" s="135" t="s">
        <v>84</v>
      </c>
      <c r="W214" s="141"/>
      <c r="X214" s="141"/>
      <c r="Y214" s="141"/>
      <c r="Z214" s="141"/>
      <c r="AA214" s="142">
        <v>1600.0</v>
      </c>
      <c r="AB214" s="142">
        <v>0.0</v>
      </c>
      <c r="AC214" s="24" t="s">
        <v>806</v>
      </c>
      <c r="AD214" s="17">
        <v>4113.0</v>
      </c>
      <c r="AE214" s="27" t="s">
        <v>807</v>
      </c>
      <c r="AF214" s="135" t="str">
        <f t="shared" si="1"/>
        <v>Capital Federal, Argentina</v>
      </c>
      <c r="AG214" s="135">
        <f t="shared" si="2"/>
        <v>1</v>
      </c>
      <c r="AH214" s="143">
        <f t="shared" si="3"/>
        <v>0</v>
      </c>
      <c r="AI214" s="143">
        <f t="shared" si="4"/>
        <v>0</v>
      </c>
      <c r="AJ214" s="142">
        <f t="shared" si="5"/>
        <v>1600</v>
      </c>
      <c r="AK214" s="142">
        <f t="shared" si="6"/>
        <v>1600</v>
      </c>
      <c r="AL214" s="144"/>
      <c r="AM214" s="144"/>
    </row>
    <row r="215">
      <c r="A215" s="135">
        <v>214.0</v>
      </c>
      <c r="B215" s="136">
        <v>43957.0</v>
      </c>
      <c r="C215" s="17">
        <v>52020.0</v>
      </c>
      <c r="D215" s="137" t="s">
        <v>654</v>
      </c>
      <c r="E215" s="135" t="s">
        <v>38</v>
      </c>
      <c r="F215" s="137" t="s">
        <v>808</v>
      </c>
      <c r="G215" s="135" t="s">
        <v>64</v>
      </c>
      <c r="H215" s="135" t="s">
        <v>547</v>
      </c>
      <c r="I215" s="135" t="s">
        <v>42</v>
      </c>
      <c r="J215" s="138"/>
      <c r="K215" s="138"/>
      <c r="L215" s="138"/>
      <c r="M215" s="139">
        <v>1.0</v>
      </c>
      <c r="N215" s="138"/>
      <c r="O215" s="138"/>
      <c r="P215" s="138"/>
      <c r="Q215" s="140"/>
      <c r="R215" s="140"/>
      <c r="S215" s="135" t="s">
        <v>105</v>
      </c>
      <c r="T215" s="135" t="s">
        <v>655</v>
      </c>
      <c r="U215" s="135" t="s">
        <v>67</v>
      </c>
      <c r="V215" s="135" t="s">
        <v>46</v>
      </c>
      <c r="W215" s="141"/>
      <c r="X215" s="141"/>
      <c r="Y215" s="141"/>
      <c r="Z215" s="141"/>
      <c r="AA215" s="142">
        <v>1975.0</v>
      </c>
      <c r="AB215" s="142">
        <v>0.0</v>
      </c>
      <c r="AC215" s="38"/>
      <c r="AD215" s="38"/>
      <c r="AE215" s="27" t="s">
        <v>657</v>
      </c>
      <c r="AF215" s="135" t="str">
        <f t="shared" si="1"/>
        <v>La Pampa, Argentina</v>
      </c>
      <c r="AG215" s="135">
        <f t="shared" si="2"/>
        <v>1</v>
      </c>
      <c r="AH215" s="143">
        <f t="shared" si="3"/>
        <v>0</v>
      </c>
      <c r="AI215" s="143">
        <f t="shared" si="4"/>
        <v>0</v>
      </c>
      <c r="AJ215" s="142">
        <f t="shared" si="5"/>
        <v>1975</v>
      </c>
      <c r="AK215" s="142">
        <f t="shared" si="6"/>
        <v>1975</v>
      </c>
      <c r="AL215" s="144"/>
      <c r="AM215" s="144"/>
    </row>
    <row r="216">
      <c r="A216" s="135">
        <v>215.0</v>
      </c>
      <c r="B216" s="136">
        <v>43957.0</v>
      </c>
      <c r="C216" s="17">
        <v>52020.0</v>
      </c>
      <c r="D216" s="137" t="s">
        <v>809</v>
      </c>
      <c r="E216" s="135" t="s">
        <v>38</v>
      </c>
      <c r="F216" s="137" t="s">
        <v>753</v>
      </c>
      <c r="G216" s="135" t="s">
        <v>64</v>
      </c>
      <c r="H216" s="135" t="s">
        <v>41</v>
      </c>
      <c r="I216" s="135" t="s">
        <v>42</v>
      </c>
      <c r="J216" s="138"/>
      <c r="K216" s="138"/>
      <c r="L216" s="138"/>
      <c r="M216" s="138"/>
      <c r="N216" s="138"/>
      <c r="O216" s="138"/>
      <c r="P216" s="139">
        <v>1.0</v>
      </c>
      <c r="Q216" s="140"/>
      <c r="R216" s="140"/>
      <c r="S216" s="135" t="s">
        <v>89</v>
      </c>
      <c r="T216" s="135" t="s">
        <v>66</v>
      </c>
      <c r="U216" s="135" t="s">
        <v>99</v>
      </c>
      <c r="V216" s="135" t="s">
        <v>84</v>
      </c>
      <c r="W216" s="141"/>
      <c r="X216" s="141"/>
      <c r="Y216" s="141"/>
      <c r="Z216" s="141"/>
      <c r="AA216" s="142">
        <v>1600.0</v>
      </c>
      <c r="AB216" s="142">
        <v>0.0</v>
      </c>
      <c r="AC216" s="24" t="s">
        <v>810</v>
      </c>
      <c r="AD216" s="17">
        <v>4119.0</v>
      </c>
      <c r="AE216" s="27" t="s">
        <v>811</v>
      </c>
      <c r="AF216" s="135" t="str">
        <f t="shared" si="1"/>
        <v>Buenos Aires, Argentina</v>
      </c>
      <c r="AG216" s="135">
        <f t="shared" si="2"/>
        <v>1</v>
      </c>
      <c r="AH216" s="143">
        <f t="shared" si="3"/>
        <v>0</v>
      </c>
      <c r="AI216" s="143">
        <f t="shared" si="4"/>
        <v>0</v>
      </c>
      <c r="AJ216" s="142">
        <f t="shared" si="5"/>
        <v>1600</v>
      </c>
      <c r="AK216" s="142">
        <f t="shared" si="6"/>
        <v>1600</v>
      </c>
      <c r="AL216" s="144"/>
      <c r="AM216" s="144"/>
    </row>
    <row r="217">
      <c r="A217" s="135">
        <v>216.0</v>
      </c>
      <c r="B217" s="136">
        <v>43957.0</v>
      </c>
      <c r="C217" s="17">
        <v>52020.0</v>
      </c>
      <c r="D217" s="137" t="s">
        <v>775</v>
      </c>
      <c r="E217" s="135" t="s">
        <v>38</v>
      </c>
      <c r="F217" s="137" t="s">
        <v>812</v>
      </c>
      <c r="G217" s="135" t="s">
        <v>40</v>
      </c>
      <c r="H217" s="135" t="s">
        <v>547</v>
      </c>
      <c r="I217" s="135" t="s">
        <v>42</v>
      </c>
      <c r="J217" s="138"/>
      <c r="K217" s="139">
        <v>1.0</v>
      </c>
      <c r="L217" s="138"/>
      <c r="M217" s="138"/>
      <c r="N217" s="138"/>
      <c r="O217" s="138"/>
      <c r="P217" s="138"/>
      <c r="Q217" s="140"/>
      <c r="R217" s="140"/>
      <c r="S217" s="135" t="s">
        <v>114</v>
      </c>
      <c r="T217" s="135" t="s">
        <v>66</v>
      </c>
      <c r="U217" s="135" t="s">
        <v>53</v>
      </c>
      <c r="V217" s="135" t="s">
        <v>59</v>
      </c>
      <c r="W217" s="141"/>
      <c r="X217" s="141"/>
      <c r="Y217" s="141"/>
      <c r="Z217" s="141"/>
      <c r="AA217" s="142">
        <v>1305.0</v>
      </c>
      <c r="AB217" s="142">
        <v>0.0</v>
      </c>
      <c r="AC217" s="24" t="s">
        <v>776</v>
      </c>
      <c r="AD217" s="17">
        <v>4099.0</v>
      </c>
      <c r="AE217" s="27" t="s">
        <v>813</v>
      </c>
      <c r="AF217" s="135" t="str">
        <f t="shared" si="1"/>
        <v>Buenos Aires, Argentina</v>
      </c>
      <c r="AG217" s="135">
        <f t="shared" si="2"/>
        <v>1</v>
      </c>
      <c r="AH217" s="143">
        <f t="shared" si="3"/>
        <v>0</v>
      </c>
      <c r="AI217" s="143">
        <f t="shared" si="4"/>
        <v>0</v>
      </c>
      <c r="AJ217" s="142">
        <f t="shared" si="5"/>
        <v>1305</v>
      </c>
      <c r="AK217" s="142">
        <f t="shared" si="6"/>
        <v>1305</v>
      </c>
      <c r="AL217" s="144"/>
      <c r="AM217" s="144"/>
    </row>
    <row r="218">
      <c r="A218" s="135">
        <v>217.0</v>
      </c>
      <c r="B218" s="136">
        <v>43957.0</v>
      </c>
      <c r="C218" s="17">
        <v>52020.0</v>
      </c>
      <c r="D218" s="137" t="s">
        <v>814</v>
      </c>
      <c r="E218" s="135" t="s">
        <v>38</v>
      </c>
      <c r="F218" s="137" t="s">
        <v>711</v>
      </c>
      <c r="G218" s="135" t="s">
        <v>64</v>
      </c>
      <c r="H218" s="135" t="s">
        <v>41</v>
      </c>
      <c r="I218" s="135" t="s">
        <v>42</v>
      </c>
      <c r="J218" s="138"/>
      <c r="K218" s="138"/>
      <c r="L218" s="138"/>
      <c r="M218" s="138"/>
      <c r="N218" s="138"/>
      <c r="O218" s="138"/>
      <c r="P218" s="138"/>
      <c r="Q218" s="140"/>
      <c r="R218" s="135">
        <v>3.0</v>
      </c>
      <c r="S218" s="135" t="s">
        <v>65</v>
      </c>
      <c r="T218" s="135" t="s">
        <v>83</v>
      </c>
      <c r="U218" s="135" t="s">
        <v>99</v>
      </c>
      <c r="V218" s="135" t="s">
        <v>84</v>
      </c>
      <c r="W218" s="141"/>
      <c r="X218" s="141"/>
      <c r="Y218" s="141"/>
      <c r="Z218" s="141"/>
      <c r="AA218" s="142">
        <v>0.0</v>
      </c>
      <c r="AB218" s="142">
        <v>13500.0</v>
      </c>
      <c r="AC218" s="24" t="s">
        <v>815</v>
      </c>
      <c r="AD218" s="17">
        <v>4121.0</v>
      </c>
      <c r="AE218" s="27" t="s">
        <v>816</v>
      </c>
      <c r="AF218" s="135" t="str">
        <f t="shared" si="1"/>
        <v>Capital Federal, Argentina</v>
      </c>
      <c r="AG218" s="135">
        <f t="shared" si="2"/>
        <v>0</v>
      </c>
      <c r="AH218" s="143">
        <f t="shared" si="3"/>
        <v>0</v>
      </c>
      <c r="AI218" s="143">
        <f t="shared" si="4"/>
        <v>0</v>
      </c>
      <c r="AJ218" s="142">
        <f t="shared" si="5"/>
        <v>13500</v>
      </c>
      <c r="AK218" s="142">
        <f t="shared" si="6"/>
        <v>13500</v>
      </c>
      <c r="AL218" s="144"/>
      <c r="AM218" s="144"/>
    </row>
    <row r="219">
      <c r="A219" s="135">
        <v>218.0</v>
      </c>
      <c r="B219" s="136">
        <v>43957.0</v>
      </c>
      <c r="C219" s="17">
        <v>52020.0</v>
      </c>
      <c r="D219" s="137" t="s">
        <v>817</v>
      </c>
      <c r="E219" s="135" t="s">
        <v>38</v>
      </c>
      <c r="F219" s="137" t="s">
        <v>753</v>
      </c>
      <c r="G219" s="135" t="s">
        <v>64</v>
      </c>
      <c r="H219" s="135" t="s">
        <v>41</v>
      </c>
      <c r="I219" s="135" t="s">
        <v>42</v>
      </c>
      <c r="J219" s="138"/>
      <c r="K219" s="138"/>
      <c r="L219" s="138"/>
      <c r="M219" s="138"/>
      <c r="N219" s="138"/>
      <c r="O219" s="138"/>
      <c r="P219" s="139">
        <v>1.0</v>
      </c>
      <c r="Q219" s="140"/>
      <c r="R219" s="140"/>
      <c r="S219" s="135" t="s">
        <v>276</v>
      </c>
      <c r="T219" s="135" t="s">
        <v>83</v>
      </c>
      <c r="U219" s="135" t="s">
        <v>67</v>
      </c>
      <c r="V219" s="135" t="s">
        <v>84</v>
      </c>
      <c r="W219" s="141"/>
      <c r="X219" s="141"/>
      <c r="Y219" s="141"/>
      <c r="Z219" s="141"/>
      <c r="AA219" s="142">
        <v>1600.0</v>
      </c>
      <c r="AB219" s="142">
        <v>0.0</v>
      </c>
      <c r="AC219" s="24" t="s">
        <v>818</v>
      </c>
      <c r="AD219" s="17">
        <v>4127.0</v>
      </c>
      <c r="AE219" s="27" t="s">
        <v>819</v>
      </c>
      <c r="AF219" s="135" t="str">
        <f t="shared" si="1"/>
        <v>Capital Federal, Argentina</v>
      </c>
      <c r="AG219" s="135">
        <f t="shared" si="2"/>
        <v>1</v>
      </c>
      <c r="AH219" s="143">
        <f t="shared" si="3"/>
        <v>0</v>
      </c>
      <c r="AI219" s="143">
        <f t="shared" si="4"/>
        <v>0</v>
      </c>
      <c r="AJ219" s="142">
        <f t="shared" si="5"/>
        <v>1600</v>
      </c>
      <c r="AK219" s="142">
        <f t="shared" si="6"/>
        <v>1600</v>
      </c>
      <c r="AL219" s="144"/>
      <c r="AM219" s="144"/>
    </row>
    <row r="220">
      <c r="A220" s="135">
        <v>219.0</v>
      </c>
      <c r="B220" s="136">
        <v>43957.0</v>
      </c>
      <c r="C220" s="17">
        <v>52020.0</v>
      </c>
      <c r="D220" s="137" t="s">
        <v>820</v>
      </c>
      <c r="E220" s="135" t="s">
        <v>38</v>
      </c>
      <c r="F220" s="137" t="s">
        <v>682</v>
      </c>
      <c r="G220" s="135" t="s">
        <v>40</v>
      </c>
      <c r="H220" s="135" t="s">
        <v>41</v>
      </c>
      <c r="I220" s="135" t="s">
        <v>42</v>
      </c>
      <c r="J220" s="139">
        <v>1.0</v>
      </c>
      <c r="K220" s="139">
        <v>1.0</v>
      </c>
      <c r="L220" s="138"/>
      <c r="M220" s="138"/>
      <c r="N220" s="138"/>
      <c r="O220" s="138"/>
      <c r="P220" s="138"/>
      <c r="Q220" s="140"/>
      <c r="R220" s="140"/>
      <c r="S220" s="135" t="s">
        <v>137</v>
      </c>
      <c r="T220" s="135" t="s">
        <v>58</v>
      </c>
      <c r="U220" s="135" t="s">
        <v>45</v>
      </c>
      <c r="V220" s="135" t="s">
        <v>217</v>
      </c>
      <c r="W220" s="141"/>
      <c r="X220" s="141"/>
      <c r="Y220" s="141"/>
      <c r="Z220" s="141"/>
      <c r="AA220" s="142">
        <v>6560.0</v>
      </c>
      <c r="AB220" s="142">
        <v>19680.0</v>
      </c>
      <c r="AC220" s="24" t="s">
        <v>821</v>
      </c>
      <c r="AD220" s="145">
        <v>4117.0</v>
      </c>
      <c r="AE220" s="27" t="s">
        <v>822</v>
      </c>
      <c r="AF220" s="135" t="str">
        <f t="shared" si="1"/>
        <v>Córdoba, Argentina</v>
      </c>
      <c r="AG220" s="135">
        <f t="shared" si="2"/>
        <v>2</v>
      </c>
      <c r="AH220" s="143">
        <f t="shared" si="3"/>
        <v>0</v>
      </c>
      <c r="AI220" s="143">
        <f t="shared" si="4"/>
        <v>0</v>
      </c>
      <c r="AJ220" s="142">
        <f t="shared" si="5"/>
        <v>26240</v>
      </c>
      <c r="AK220" s="142">
        <f t="shared" si="6"/>
        <v>26240</v>
      </c>
      <c r="AL220" s="144"/>
      <c r="AM220" s="144"/>
    </row>
    <row r="221">
      <c r="A221" s="135">
        <v>220.0</v>
      </c>
      <c r="B221" s="136">
        <v>43958.0</v>
      </c>
      <c r="C221" s="17">
        <v>52020.0</v>
      </c>
      <c r="D221" s="137" t="s">
        <v>823</v>
      </c>
      <c r="E221" s="135" t="s">
        <v>38</v>
      </c>
      <c r="F221" s="137" t="s">
        <v>824</v>
      </c>
      <c r="G221" s="135" t="s">
        <v>40</v>
      </c>
      <c r="H221" s="135" t="s">
        <v>41</v>
      </c>
      <c r="I221" s="135" t="s">
        <v>42</v>
      </c>
      <c r="J221" s="139">
        <v>1.0</v>
      </c>
      <c r="K221" s="138"/>
      <c r="L221" s="138"/>
      <c r="M221" s="138"/>
      <c r="N221" s="138"/>
      <c r="O221" s="138"/>
      <c r="P221" s="138"/>
      <c r="Q221" s="140"/>
      <c r="R221" s="140"/>
      <c r="S221" s="135" t="s">
        <v>98</v>
      </c>
      <c r="T221" s="135" t="s">
        <v>66</v>
      </c>
      <c r="U221" s="135" t="s">
        <v>342</v>
      </c>
      <c r="V221" s="135" t="s">
        <v>84</v>
      </c>
      <c r="W221" s="141"/>
      <c r="X221" s="141"/>
      <c r="Y221" s="141"/>
      <c r="Z221" s="141"/>
      <c r="AA221" s="142">
        <v>3950.0</v>
      </c>
      <c r="AB221" s="142">
        <v>11850.0</v>
      </c>
      <c r="AC221" s="24" t="s">
        <v>825</v>
      </c>
      <c r="AD221" s="17">
        <v>4129.0</v>
      </c>
      <c r="AE221" s="27" t="s">
        <v>826</v>
      </c>
      <c r="AF221" s="135" t="str">
        <f t="shared" si="1"/>
        <v>Buenos Aires, Argentina</v>
      </c>
      <c r="AG221" s="135">
        <f t="shared" si="2"/>
        <v>1</v>
      </c>
      <c r="AH221" s="143">
        <f t="shared" si="3"/>
        <v>0</v>
      </c>
      <c r="AI221" s="143">
        <f t="shared" si="4"/>
        <v>0</v>
      </c>
      <c r="AJ221" s="142">
        <f t="shared" si="5"/>
        <v>15800</v>
      </c>
      <c r="AK221" s="142">
        <f t="shared" si="6"/>
        <v>15800</v>
      </c>
      <c r="AL221" s="144"/>
      <c r="AM221" s="144"/>
    </row>
    <row r="222">
      <c r="A222" s="135">
        <v>221.0</v>
      </c>
      <c r="B222" s="136">
        <v>43956.0</v>
      </c>
      <c r="C222" s="17">
        <v>52020.0</v>
      </c>
      <c r="D222" s="137" t="s">
        <v>827</v>
      </c>
      <c r="E222" s="135" t="s">
        <v>38</v>
      </c>
      <c r="F222" s="137" t="s">
        <v>517</v>
      </c>
      <c r="G222" s="135" t="s">
        <v>40</v>
      </c>
      <c r="H222" s="135" t="s">
        <v>41</v>
      </c>
      <c r="I222" s="135" t="s">
        <v>42</v>
      </c>
      <c r="J222" s="139">
        <v>1.0</v>
      </c>
      <c r="K222" s="138"/>
      <c r="L222" s="138"/>
      <c r="M222" s="138"/>
      <c r="N222" s="138"/>
      <c r="O222" s="138"/>
      <c r="P222" s="138"/>
      <c r="Q222" s="140"/>
      <c r="R222" s="140"/>
      <c r="S222" s="135" t="s">
        <v>167</v>
      </c>
      <c r="T222" s="135" t="s">
        <v>66</v>
      </c>
      <c r="U222" s="135" t="s">
        <v>342</v>
      </c>
      <c r="V222" s="135" t="s">
        <v>59</v>
      </c>
      <c r="W222" s="141"/>
      <c r="X222" s="141"/>
      <c r="Y222" s="141"/>
      <c r="Z222" s="141"/>
      <c r="AA222" s="142">
        <v>3950.0</v>
      </c>
      <c r="AB222" s="142">
        <v>5925.0</v>
      </c>
      <c r="AC222" s="24" t="s">
        <v>828</v>
      </c>
      <c r="AD222" s="17">
        <v>4131.0</v>
      </c>
      <c r="AE222" s="27" t="s">
        <v>829</v>
      </c>
      <c r="AF222" s="135" t="str">
        <f t="shared" si="1"/>
        <v>Buenos Aires, Argentina</v>
      </c>
      <c r="AG222" s="135">
        <f t="shared" si="2"/>
        <v>1</v>
      </c>
      <c r="AH222" s="143">
        <f t="shared" si="3"/>
        <v>0</v>
      </c>
      <c r="AI222" s="143">
        <f t="shared" si="4"/>
        <v>0</v>
      </c>
      <c r="AJ222" s="142">
        <f t="shared" si="5"/>
        <v>9875</v>
      </c>
      <c r="AK222" s="142">
        <f t="shared" si="6"/>
        <v>9875</v>
      </c>
      <c r="AL222" s="144"/>
      <c r="AM222" s="144"/>
    </row>
    <row r="223">
      <c r="A223" s="135">
        <v>222.0</v>
      </c>
      <c r="B223" s="136">
        <v>43963.0</v>
      </c>
      <c r="C223" s="17">
        <v>52020.0</v>
      </c>
      <c r="D223" s="137" t="s">
        <v>722</v>
      </c>
      <c r="E223" s="135" t="s">
        <v>38</v>
      </c>
      <c r="F223" s="137" t="s">
        <v>226</v>
      </c>
      <c r="G223" s="135" t="s">
        <v>64</v>
      </c>
      <c r="H223" s="135" t="s">
        <v>547</v>
      </c>
      <c r="I223" s="135" t="s">
        <v>42</v>
      </c>
      <c r="J223" s="139">
        <v>3.0</v>
      </c>
      <c r="K223" s="138"/>
      <c r="L223" s="138"/>
      <c r="M223" s="138"/>
      <c r="N223" s="138"/>
      <c r="O223" s="138"/>
      <c r="P223" s="138"/>
      <c r="Q223" s="140"/>
      <c r="R223" s="140"/>
      <c r="S223" s="135" t="s">
        <v>114</v>
      </c>
      <c r="T223" s="135" t="s">
        <v>66</v>
      </c>
      <c r="U223" s="135" t="s">
        <v>67</v>
      </c>
      <c r="V223" s="135" t="s">
        <v>78</v>
      </c>
      <c r="W223" s="141"/>
      <c r="X223" s="141"/>
      <c r="Y223" s="141"/>
      <c r="Z223" s="141"/>
      <c r="AA223" s="142">
        <v>2010.0</v>
      </c>
      <c r="AB223" s="142">
        <v>0.0</v>
      </c>
      <c r="AC223" s="24" t="s">
        <v>724</v>
      </c>
      <c r="AD223" s="17">
        <v>4045.0</v>
      </c>
      <c r="AE223" s="27" t="s">
        <v>830</v>
      </c>
      <c r="AF223" s="135" t="str">
        <f t="shared" si="1"/>
        <v>Buenos Aires, Argentina</v>
      </c>
      <c r="AG223" s="135">
        <f t="shared" si="2"/>
        <v>3</v>
      </c>
      <c r="AH223" s="143">
        <f t="shared" si="3"/>
        <v>0</v>
      </c>
      <c r="AI223" s="143">
        <f t="shared" si="4"/>
        <v>0</v>
      </c>
      <c r="AJ223" s="142">
        <f t="shared" si="5"/>
        <v>2010</v>
      </c>
      <c r="AK223" s="142">
        <f t="shared" si="6"/>
        <v>2010</v>
      </c>
      <c r="AL223" s="144"/>
      <c r="AM223" s="144"/>
    </row>
    <row r="224">
      <c r="A224" s="135">
        <v>223.0</v>
      </c>
      <c r="B224" s="136">
        <v>43965.0</v>
      </c>
      <c r="C224" s="17">
        <v>52020.0</v>
      </c>
      <c r="D224" s="137" t="s">
        <v>700</v>
      </c>
      <c r="E224" s="135" t="s">
        <v>38</v>
      </c>
      <c r="F224" s="137" t="s">
        <v>831</v>
      </c>
      <c r="G224" s="135" t="s">
        <v>64</v>
      </c>
      <c r="H224" s="135" t="s">
        <v>41</v>
      </c>
      <c r="I224" s="135" t="s">
        <v>42</v>
      </c>
      <c r="J224" s="138"/>
      <c r="K224" s="138"/>
      <c r="L224" s="138"/>
      <c r="M224" s="139">
        <v>1.0</v>
      </c>
      <c r="N224" s="138"/>
      <c r="O224" s="138"/>
      <c r="P224" s="138"/>
      <c r="Q224" s="140"/>
      <c r="R224" s="140"/>
      <c r="S224" s="135" t="s">
        <v>114</v>
      </c>
      <c r="T224" s="135" t="s">
        <v>83</v>
      </c>
      <c r="U224" s="135" t="s">
        <v>67</v>
      </c>
      <c r="V224" s="135" t="s">
        <v>59</v>
      </c>
      <c r="W224" s="141"/>
      <c r="X224" s="141"/>
      <c r="Y224" s="141"/>
      <c r="Z224" s="141"/>
      <c r="AA224" s="142">
        <v>3950.0</v>
      </c>
      <c r="AB224" s="142">
        <v>0.0</v>
      </c>
      <c r="AC224" s="24" t="s">
        <v>701</v>
      </c>
      <c r="AD224" s="17">
        <v>4023.0</v>
      </c>
      <c r="AE224" s="27" t="s">
        <v>832</v>
      </c>
      <c r="AF224" s="135" t="str">
        <f t="shared" si="1"/>
        <v>Capital Federal, Argentina</v>
      </c>
      <c r="AG224" s="135">
        <f t="shared" si="2"/>
        <v>1</v>
      </c>
      <c r="AH224" s="143">
        <f t="shared" si="3"/>
        <v>0</v>
      </c>
      <c r="AI224" s="143">
        <f t="shared" si="4"/>
        <v>0</v>
      </c>
      <c r="AJ224" s="142">
        <f t="shared" si="5"/>
        <v>3950</v>
      </c>
      <c r="AK224" s="142">
        <f t="shared" si="6"/>
        <v>3950</v>
      </c>
      <c r="AL224" s="144"/>
      <c r="AM224" s="144"/>
    </row>
    <row r="225">
      <c r="A225" s="135">
        <v>224.0</v>
      </c>
      <c r="B225" s="136">
        <v>43965.0</v>
      </c>
      <c r="C225" s="17">
        <v>52020.0</v>
      </c>
      <c r="D225" s="137" t="s">
        <v>833</v>
      </c>
      <c r="E225" s="135" t="s">
        <v>38</v>
      </c>
      <c r="F225" s="137" t="s">
        <v>521</v>
      </c>
      <c r="G225" s="135" t="s">
        <v>64</v>
      </c>
      <c r="H225" s="135" t="s">
        <v>41</v>
      </c>
      <c r="I225" s="135" t="s">
        <v>42</v>
      </c>
      <c r="J225" s="139">
        <v>2.0</v>
      </c>
      <c r="K225" s="138"/>
      <c r="L225" s="138"/>
      <c r="M225" s="138"/>
      <c r="N225" s="138"/>
      <c r="O225" s="138"/>
      <c r="P225" s="138"/>
      <c r="Q225" s="140"/>
      <c r="R225" s="140"/>
      <c r="S225" s="135" t="s">
        <v>82</v>
      </c>
      <c r="T225" s="135" t="s">
        <v>58</v>
      </c>
      <c r="U225" s="135" t="s">
        <v>99</v>
      </c>
      <c r="V225" s="135" t="s">
        <v>46</v>
      </c>
      <c r="W225" s="141"/>
      <c r="X225" s="141"/>
      <c r="Y225" s="141"/>
      <c r="Z225" s="141"/>
      <c r="AA225" s="142">
        <v>7900.0</v>
      </c>
      <c r="AB225" s="142">
        <v>0.0</v>
      </c>
      <c r="AC225" s="24" t="s">
        <v>834</v>
      </c>
      <c r="AD225" s="17">
        <v>4133.0</v>
      </c>
      <c r="AE225" s="27" t="s">
        <v>835</v>
      </c>
      <c r="AF225" s="135" t="str">
        <f t="shared" si="1"/>
        <v>Córdoba, Argentina</v>
      </c>
      <c r="AG225" s="135">
        <f t="shared" si="2"/>
        <v>2</v>
      </c>
      <c r="AH225" s="143">
        <f t="shared" si="3"/>
        <v>0</v>
      </c>
      <c r="AI225" s="143">
        <f t="shared" si="4"/>
        <v>0</v>
      </c>
      <c r="AJ225" s="142">
        <f t="shared" si="5"/>
        <v>7900</v>
      </c>
      <c r="AK225" s="142">
        <f t="shared" si="6"/>
        <v>7900</v>
      </c>
      <c r="AL225" s="144"/>
      <c r="AM225" s="144"/>
    </row>
    <row r="226">
      <c r="A226" s="135">
        <v>225.0</v>
      </c>
      <c r="B226" s="136">
        <v>43966.0</v>
      </c>
      <c r="C226" s="17">
        <v>52020.0</v>
      </c>
      <c r="D226" s="137" t="s">
        <v>479</v>
      </c>
      <c r="E226" s="135" t="s">
        <v>38</v>
      </c>
      <c r="F226" s="137" t="s">
        <v>753</v>
      </c>
      <c r="G226" s="135" t="s">
        <v>64</v>
      </c>
      <c r="H226" s="135" t="s">
        <v>41</v>
      </c>
      <c r="I226" s="135" t="s">
        <v>42</v>
      </c>
      <c r="J226" s="138"/>
      <c r="K226" s="138"/>
      <c r="L226" s="138"/>
      <c r="M226" s="138"/>
      <c r="N226" s="138"/>
      <c r="O226" s="138"/>
      <c r="P226" s="139">
        <v>1.0</v>
      </c>
      <c r="Q226" s="140"/>
      <c r="R226" s="140"/>
      <c r="S226" s="135" t="s">
        <v>65</v>
      </c>
      <c r="T226" s="135" t="s">
        <v>66</v>
      </c>
      <c r="U226" s="135" t="s">
        <v>67</v>
      </c>
      <c r="V226" s="135" t="s">
        <v>84</v>
      </c>
      <c r="W226" s="141"/>
      <c r="X226" s="141"/>
      <c r="Y226" s="141"/>
      <c r="Z226" s="141"/>
      <c r="AA226" s="142">
        <v>1600.0</v>
      </c>
      <c r="AB226" s="142">
        <v>0.0</v>
      </c>
      <c r="AC226" s="24" t="s">
        <v>836</v>
      </c>
      <c r="AD226" s="17">
        <v>4135.0</v>
      </c>
      <c r="AE226" s="27" t="s">
        <v>837</v>
      </c>
      <c r="AF226" s="135" t="str">
        <f t="shared" si="1"/>
        <v>Buenos Aires, Argentina</v>
      </c>
      <c r="AG226" s="135">
        <f t="shared" si="2"/>
        <v>1</v>
      </c>
      <c r="AH226" s="143">
        <f t="shared" si="3"/>
        <v>0</v>
      </c>
      <c r="AI226" s="143">
        <f t="shared" si="4"/>
        <v>0</v>
      </c>
      <c r="AJ226" s="142">
        <f t="shared" si="5"/>
        <v>1600</v>
      </c>
      <c r="AK226" s="142">
        <f t="shared" si="6"/>
        <v>1600</v>
      </c>
      <c r="AL226" s="144"/>
      <c r="AM226" s="144"/>
    </row>
    <row r="227">
      <c r="A227" s="135">
        <v>226.0</v>
      </c>
      <c r="B227" s="136">
        <v>43970.0</v>
      </c>
      <c r="C227" s="17">
        <v>52020.0</v>
      </c>
      <c r="D227" s="137" t="s">
        <v>838</v>
      </c>
      <c r="E227" s="135" t="s">
        <v>38</v>
      </c>
      <c r="F227" s="137" t="s">
        <v>517</v>
      </c>
      <c r="G227" s="135" t="s">
        <v>40</v>
      </c>
      <c r="H227" s="135" t="s">
        <v>41</v>
      </c>
      <c r="I227" s="135" t="s">
        <v>42</v>
      </c>
      <c r="J227" s="139">
        <v>1.0</v>
      </c>
      <c r="K227" s="138"/>
      <c r="L227" s="138"/>
      <c r="M227" s="138"/>
      <c r="N227" s="138"/>
      <c r="O227" s="138"/>
      <c r="P227" s="138"/>
      <c r="Q227" s="140"/>
      <c r="R227" s="140"/>
      <c r="S227" s="135" t="s">
        <v>82</v>
      </c>
      <c r="T227" s="135" t="s">
        <v>839</v>
      </c>
      <c r="U227" s="135" t="s">
        <v>45</v>
      </c>
      <c r="V227" s="135" t="s">
        <v>217</v>
      </c>
      <c r="W227" s="141"/>
      <c r="X227" s="141"/>
      <c r="Y227" s="141"/>
      <c r="Z227" s="141"/>
      <c r="AA227" s="142">
        <v>3950.0</v>
      </c>
      <c r="AB227" s="142">
        <v>5925.0</v>
      </c>
      <c r="AC227" s="24" t="s">
        <v>840</v>
      </c>
      <c r="AD227" s="17">
        <v>4137.0</v>
      </c>
      <c r="AE227" s="27" t="s">
        <v>841</v>
      </c>
      <c r="AF227" s="135" t="str">
        <f t="shared" si="1"/>
        <v>Neuquén, Argentina</v>
      </c>
      <c r="AG227" s="135">
        <f t="shared" si="2"/>
        <v>1</v>
      </c>
      <c r="AH227" s="143">
        <f t="shared" si="3"/>
        <v>0</v>
      </c>
      <c r="AI227" s="143">
        <f t="shared" si="4"/>
        <v>0</v>
      </c>
      <c r="AJ227" s="142">
        <f t="shared" si="5"/>
        <v>9875</v>
      </c>
      <c r="AK227" s="142">
        <f t="shared" si="6"/>
        <v>9875</v>
      </c>
      <c r="AL227" s="144"/>
      <c r="AM227" s="144"/>
    </row>
    <row r="228">
      <c r="A228" s="135">
        <v>227.0</v>
      </c>
      <c r="B228" s="136">
        <v>43971.0</v>
      </c>
      <c r="C228" s="17">
        <v>52020.0</v>
      </c>
      <c r="D228" s="137" t="s">
        <v>842</v>
      </c>
      <c r="E228" s="135" t="s">
        <v>38</v>
      </c>
      <c r="F228" s="137" t="s">
        <v>744</v>
      </c>
      <c r="G228" s="135" t="s">
        <v>64</v>
      </c>
      <c r="H228" s="135" t="s">
        <v>41</v>
      </c>
      <c r="I228" s="135" t="s">
        <v>42</v>
      </c>
      <c r="J228" s="138"/>
      <c r="K228" s="138"/>
      <c r="L228" s="138"/>
      <c r="M228" s="138"/>
      <c r="N228" s="139">
        <v>1.0</v>
      </c>
      <c r="O228" s="138"/>
      <c r="P228" s="138"/>
      <c r="Q228" s="140"/>
      <c r="R228" s="140"/>
      <c r="S228" s="135" t="s">
        <v>89</v>
      </c>
      <c r="T228" s="146" t="s">
        <v>73</v>
      </c>
      <c r="U228" s="135" t="s">
        <v>99</v>
      </c>
      <c r="V228" s="135" t="s">
        <v>78</v>
      </c>
      <c r="W228" s="141"/>
      <c r="X228" s="141"/>
      <c r="Y228" s="141"/>
      <c r="Z228" s="141"/>
      <c r="AA228" s="142">
        <v>4304.0</v>
      </c>
      <c r="AB228" s="142">
        <v>0.0</v>
      </c>
      <c r="AC228" s="24" t="s">
        <v>843</v>
      </c>
      <c r="AD228" s="17">
        <v>4139.0</v>
      </c>
      <c r="AE228" s="27" t="s">
        <v>844</v>
      </c>
      <c r="AF228" s="146" t="str">
        <f t="shared" si="1"/>
        <v>Tierra de Fuego, Argentina</v>
      </c>
      <c r="AG228" s="146">
        <f t="shared" si="2"/>
        <v>1</v>
      </c>
      <c r="AH228" s="143">
        <f t="shared" si="3"/>
        <v>0</v>
      </c>
      <c r="AI228" s="143">
        <f t="shared" si="4"/>
        <v>0</v>
      </c>
      <c r="AJ228" s="142">
        <f t="shared" si="5"/>
        <v>4304</v>
      </c>
      <c r="AK228" s="142">
        <f t="shared" si="6"/>
        <v>4304</v>
      </c>
      <c r="AL228" s="144"/>
      <c r="AM228" s="144"/>
    </row>
    <row r="229">
      <c r="A229" s="135">
        <v>228.0</v>
      </c>
      <c r="B229" s="136">
        <v>43972.0</v>
      </c>
      <c r="C229" s="17">
        <v>52020.0</v>
      </c>
      <c r="D229" s="137" t="s">
        <v>845</v>
      </c>
      <c r="E229" s="135" t="s">
        <v>38</v>
      </c>
      <c r="F229" s="137" t="s">
        <v>528</v>
      </c>
      <c r="G229" s="135" t="s">
        <v>64</v>
      </c>
      <c r="H229" s="135" t="s">
        <v>41</v>
      </c>
      <c r="I229" s="135" t="s">
        <v>42</v>
      </c>
      <c r="J229" s="139">
        <v>1.0</v>
      </c>
      <c r="K229" s="138"/>
      <c r="L229" s="138"/>
      <c r="M229" s="138"/>
      <c r="N229" s="138"/>
      <c r="O229" s="138"/>
      <c r="P229" s="138"/>
      <c r="Q229" s="140"/>
      <c r="R229" s="140"/>
      <c r="S229" s="135" t="s">
        <v>167</v>
      </c>
      <c r="T229" s="135" t="s">
        <v>66</v>
      </c>
      <c r="U229" s="135" t="s">
        <v>99</v>
      </c>
      <c r="V229" s="135" t="s">
        <v>59</v>
      </c>
      <c r="W229" s="141"/>
      <c r="X229" s="141"/>
      <c r="Y229" s="141"/>
      <c r="Z229" s="141"/>
      <c r="AA229" s="142">
        <v>4528.0</v>
      </c>
      <c r="AB229" s="142">
        <v>0.0</v>
      </c>
      <c r="AC229" s="24" t="s">
        <v>846</v>
      </c>
      <c r="AD229" s="81">
        <v>4141.0</v>
      </c>
      <c r="AE229" s="82" t="s">
        <v>847</v>
      </c>
      <c r="AF229" s="135" t="str">
        <f t="shared" si="1"/>
        <v>Buenos Aires, Argentina</v>
      </c>
      <c r="AG229" s="135">
        <f t="shared" si="2"/>
        <v>1</v>
      </c>
      <c r="AH229" s="143">
        <f t="shared" si="3"/>
        <v>0</v>
      </c>
      <c r="AI229" s="143">
        <f t="shared" si="4"/>
        <v>0</v>
      </c>
      <c r="AJ229" s="142">
        <f t="shared" si="5"/>
        <v>4528</v>
      </c>
      <c r="AK229" s="142">
        <f t="shared" si="6"/>
        <v>4528</v>
      </c>
      <c r="AL229" s="144"/>
      <c r="AM229" s="144"/>
    </row>
    <row r="230">
      <c r="A230" s="135">
        <v>229.0</v>
      </c>
      <c r="B230" s="136">
        <v>43972.0</v>
      </c>
      <c r="C230" s="17">
        <v>52020.0</v>
      </c>
      <c r="D230" s="137" t="s">
        <v>848</v>
      </c>
      <c r="E230" s="135" t="s">
        <v>38</v>
      </c>
      <c r="F230" s="137" t="s">
        <v>849</v>
      </c>
      <c r="G230" s="135" t="s">
        <v>40</v>
      </c>
      <c r="H230" s="135" t="s">
        <v>547</v>
      </c>
      <c r="I230" s="135" t="s">
        <v>42</v>
      </c>
      <c r="J230" s="139">
        <v>2.0</v>
      </c>
      <c r="K230" s="139">
        <v>1.0</v>
      </c>
      <c r="L230" s="138"/>
      <c r="M230" s="138"/>
      <c r="N230" s="138"/>
      <c r="O230" s="138"/>
      <c r="P230" s="138"/>
      <c r="Q230" s="140"/>
      <c r="R230" s="140"/>
      <c r="S230" s="135" t="s">
        <v>72</v>
      </c>
      <c r="T230" s="146" t="s">
        <v>83</v>
      </c>
      <c r="U230" s="135" t="s">
        <v>45</v>
      </c>
      <c r="V230" s="135" t="s">
        <v>84</v>
      </c>
      <c r="W230" s="141"/>
      <c r="X230" s="141"/>
      <c r="Y230" s="141"/>
      <c r="Z230" s="141"/>
      <c r="AA230" s="142">
        <v>5255.0</v>
      </c>
      <c r="AB230" s="142">
        <v>0.0</v>
      </c>
      <c r="AC230" s="24" t="s">
        <v>850</v>
      </c>
      <c r="AD230" s="17">
        <v>4143.0</v>
      </c>
      <c r="AE230" s="27" t="s">
        <v>851</v>
      </c>
      <c r="AF230" s="146" t="str">
        <f t="shared" si="1"/>
        <v>Capital Federal, Argentina</v>
      </c>
      <c r="AG230" s="146">
        <f t="shared" si="2"/>
        <v>3</v>
      </c>
      <c r="AH230" s="143">
        <f t="shared" si="3"/>
        <v>0</v>
      </c>
      <c r="AI230" s="143">
        <f t="shared" si="4"/>
        <v>0</v>
      </c>
      <c r="AJ230" s="142">
        <f t="shared" si="5"/>
        <v>5255</v>
      </c>
      <c r="AK230" s="142">
        <f t="shared" si="6"/>
        <v>5255</v>
      </c>
      <c r="AL230" s="144"/>
      <c r="AM230" s="144"/>
    </row>
    <row r="231">
      <c r="A231" s="135">
        <v>230.0</v>
      </c>
      <c r="B231" s="136">
        <v>43972.0</v>
      </c>
      <c r="C231" s="17">
        <v>52020.0</v>
      </c>
      <c r="D231" s="137" t="s">
        <v>852</v>
      </c>
      <c r="E231" s="135" t="s">
        <v>38</v>
      </c>
      <c r="F231" s="137" t="s">
        <v>792</v>
      </c>
      <c r="G231" s="135" t="s">
        <v>40</v>
      </c>
      <c r="H231" s="135" t="s">
        <v>41</v>
      </c>
      <c r="I231" s="135" t="s">
        <v>42</v>
      </c>
      <c r="J231" s="139">
        <v>2.0</v>
      </c>
      <c r="K231" s="139">
        <v>1.0</v>
      </c>
      <c r="L231" s="138"/>
      <c r="M231" s="138"/>
      <c r="N231" s="138"/>
      <c r="O231" s="138"/>
      <c r="P231" s="138"/>
      <c r="Q231" s="140"/>
      <c r="R231" s="140"/>
      <c r="S231" s="135" t="s">
        <v>98</v>
      </c>
      <c r="T231" s="146" t="s">
        <v>263</v>
      </c>
      <c r="U231" s="135" t="s">
        <v>342</v>
      </c>
      <c r="V231" s="135" t="s">
        <v>84</v>
      </c>
      <c r="W231" s="141"/>
      <c r="X231" s="141"/>
      <c r="Y231" s="141"/>
      <c r="Z231" s="141"/>
      <c r="AA231" s="142">
        <v>10510.0</v>
      </c>
      <c r="AB231" s="142">
        <v>15765.0</v>
      </c>
      <c r="AC231" s="24" t="s">
        <v>853</v>
      </c>
      <c r="AD231" s="17">
        <v>4145.0</v>
      </c>
      <c r="AE231" s="27" t="s">
        <v>854</v>
      </c>
      <c r="AF231" s="146" t="str">
        <f t="shared" si="1"/>
        <v>Santa Fé, Argentina</v>
      </c>
      <c r="AG231" s="146">
        <f t="shared" si="2"/>
        <v>3</v>
      </c>
      <c r="AH231" s="143">
        <f t="shared" si="3"/>
        <v>0</v>
      </c>
      <c r="AI231" s="143">
        <f t="shared" si="4"/>
        <v>0</v>
      </c>
      <c r="AJ231" s="142">
        <f t="shared" si="5"/>
        <v>26275</v>
      </c>
      <c r="AK231" s="142">
        <f t="shared" si="6"/>
        <v>26275</v>
      </c>
      <c r="AL231" s="144"/>
      <c r="AM231" s="144"/>
    </row>
    <row r="232">
      <c r="A232" s="135">
        <v>231.0</v>
      </c>
      <c r="B232" s="136">
        <v>43972.0</v>
      </c>
      <c r="C232" s="17">
        <v>52020.0</v>
      </c>
      <c r="D232" s="137" t="s">
        <v>855</v>
      </c>
      <c r="E232" s="135" t="s">
        <v>38</v>
      </c>
      <c r="F232" s="137" t="s">
        <v>856</v>
      </c>
      <c r="G232" s="135" t="s">
        <v>64</v>
      </c>
      <c r="H232" s="135" t="s">
        <v>41</v>
      </c>
      <c r="I232" s="135" t="s">
        <v>42</v>
      </c>
      <c r="J232" s="139">
        <v>1.0</v>
      </c>
      <c r="K232" s="138"/>
      <c r="L232" s="138"/>
      <c r="M232" s="138"/>
      <c r="N232" s="138"/>
      <c r="O232" s="138"/>
      <c r="P232" s="138"/>
      <c r="Q232" s="140"/>
      <c r="R232" s="140"/>
      <c r="S232" s="135" t="s">
        <v>51</v>
      </c>
      <c r="T232" s="146" t="s">
        <v>83</v>
      </c>
      <c r="U232" s="135" t="s">
        <v>67</v>
      </c>
      <c r="V232" s="135" t="s">
        <v>84</v>
      </c>
      <c r="W232" s="142">
        <v>12500.0</v>
      </c>
      <c r="X232" s="142">
        <v>292000.0</v>
      </c>
      <c r="Y232" s="141"/>
      <c r="Z232" s="141"/>
      <c r="AA232" s="142">
        <v>6037.0</v>
      </c>
      <c r="AB232" s="142">
        <v>0.0</v>
      </c>
      <c r="AC232" s="24" t="s">
        <v>857</v>
      </c>
      <c r="AD232" s="17">
        <v>4153.0</v>
      </c>
      <c r="AE232" s="27" t="s">
        <v>858</v>
      </c>
      <c r="AF232" s="146" t="str">
        <f t="shared" si="1"/>
        <v>Capital Federal, Argentina</v>
      </c>
      <c r="AG232" s="146">
        <f t="shared" si="2"/>
        <v>1</v>
      </c>
      <c r="AH232" s="143">
        <f t="shared" si="3"/>
        <v>304500</v>
      </c>
      <c r="AI232" s="143">
        <f t="shared" si="4"/>
        <v>0</v>
      </c>
      <c r="AJ232" s="142">
        <f t="shared" si="5"/>
        <v>6037</v>
      </c>
      <c r="AK232" s="142">
        <f t="shared" si="6"/>
        <v>310537</v>
      </c>
      <c r="AL232" s="144"/>
      <c r="AM232" s="144"/>
    </row>
    <row r="233">
      <c r="A233" s="135">
        <v>232.0</v>
      </c>
      <c r="B233" s="136">
        <v>43978.0</v>
      </c>
      <c r="C233" s="17">
        <v>52020.0</v>
      </c>
      <c r="D233" s="137" t="s">
        <v>859</v>
      </c>
      <c r="E233" s="135" t="s">
        <v>38</v>
      </c>
      <c r="F233" s="137" t="s">
        <v>517</v>
      </c>
      <c r="G233" s="135" t="s">
        <v>40</v>
      </c>
      <c r="H233" s="135" t="s">
        <v>41</v>
      </c>
      <c r="I233" s="135" t="s">
        <v>42</v>
      </c>
      <c r="J233" s="139">
        <v>1.0</v>
      </c>
      <c r="K233" s="138"/>
      <c r="L233" s="138"/>
      <c r="M233" s="138"/>
      <c r="N233" s="138"/>
      <c r="O233" s="138"/>
      <c r="P233" s="138"/>
      <c r="Q233" s="140"/>
      <c r="R233" s="140"/>
      <c r="S233" s="135" t="s">
        <v>189</v>
      </c>
      <c r="T233" s="146" t="s">
        <v>66</v>
      </c>
      <c r="U233" s="135" t="s">
        <v>53</v>
      </c>
      <c r="V233" s="135" t="s">
        <v>78</v>
      </c>
      <c r="W233" s="141"/>
      <c r="X233" s="141"/>
      <c r="Y233" s="141"/>
      <c r="Z233" s="141"/>
      <c r="AA233" s="142">
        <v>1875.0</v>
      </c>
      <c r="AB233" s="142">
        <v>5925.0</v>
      </c>
      <c r="AC233" s="24" t="s">
        <v>860</v>
      </c>
      <c r="AD233" s="17">
        <v>3887.0</v>
      </c>
      <c r="AE233" s="27" t="s">
        <v>861</v>
      </c>
      <c r="AF233" s="146" t="str">
        <f t="shared" si="1"/>
        <v>Buenos Aires, Argentina</v>
      </c>
      <c r="AG233" s="146">
        <f t="shared" si="2"/>
        <v>1</v>
      </c>
      <c r="AH233" s="143">
        <f t="shared" si="3"/>
        <v>0</v>
      </c>
      <c r="AI233" s="143">
        <f t="shared" si="4"/>
        <v>0</v>
      </c>
      <c r="AJ233" s="142">
        <f t="shared" si="5"/>
        <v>7800</v>
      </c>
      <c r="AK233" s="142">
        <f t="shared" si="6"/>
        <v>7800</v>
      </c>
      <c r="AL233" s="144"/>
      <c r="AM233" s="144"/>
    </row>
    <row r="234">
      <c r="A234" s="135">
        <v>233.0</v>
      </c>
      <c r="B234" s="136">
        <v>43979.0</v>
      </c>
      <c r="C234" s="17">
        <v>52020.0</v>
      </c>
      <c r="D234" s="137" t="s">
        <v>862</v>
      </c>
      <c r="E234" s="135" t="s">
        <v>38</v>
      </c>
      <c r="F234" s="137" t="s">
        <v>517</v>
      </c>
      <c r="G234" s="135" t="s">
        <v>40</v>
      </c>
      <c r="H234" s="135" t="s">
        <v>41</v>
      </c>
      <c r="I234" s="135" t="s">
        <v>42</v>
      </c>
      <c r="J234" s="139">
        <v>1.0</v>
      </c>
      <c r="K234" s="138"/>
      <c r="L234" s="138"/>
      <c r="M234" s="138"/>
      <c r="N234" s="138"/>
      <c r="O234" s="138"/>
      <c r="P234" s="138"/>
      <c r="Q234" s="140"/>
      <c r="R234" s="140"/>
      <c r="S234" s="135" t="s">
        <v>114</v>
      </c>
      <c r="T234" s="146" t="s">
        <v>83</v>
      </c>
      <c r="U234" s="135" t="s">
        <v>45</v>
      </c>
      <c r="V234" s="135" t="s">
        <v>59</v>
      </c>
      <c r="W234" s="141"/>
      <c r="X234" s="141"/>
      <c r="Y234" s="141"/>
      <c r="Z234" s="141"/>
      <c r="AA234" s="142">
        <v>3950.0</v>
      </c>
      <c r="AB234" s="142">
        <v>5925.0</v>
      </c>
      <c r="AC234" s="24" t="s">
        <v>863</v>
      </c>
      <c r="AD234" s="17">
        <v>4187.0</v>
      </c>
      <c r="AE234" s="27" t="s">
        <v>864</v>
      </c>
      <c r="AF234" s="146" t="str">
        <f t="shared" si="1"/>
        <v>Capital Federal, Argentina</v>
      </c>
      <c r="AG234" s="146">
        <f t="shared" si="2"/>
        <v>1</v>
      </c>
      <c r="AH234" s="143">
        <f t="shared" si="3"/>
        <v>0</v>
      </c>
      <c r="AI234" s="143">
        <f t="shared" si="4"/>
        <v>0</v>
      </c>
      <c r="AJ234" s="142">
        <f t="shared" si="5"/>
        <v>9875</v>
      </c>
      <c r="AK234" s="142">
        <f t="shared" si="6"/>
        <v>9875</v>
      </c>
      <c r="AL234" s="144"/>
      <c r="AM234" s="144"/>
    </row>
    <row r="235">
      <c r="A235" s="135">
        <v>234.0</v>
      </c>
      <c r="B235" s="136">
        <v>43979.0</v>
      </c>
      <c r="C235" s="17">
        <v>52020.0</v>
      </c>
      <c r="D235" s="137" t="s">
        <v>865</v>
      </c>
      <c r="E235" s="135" t="s">
        <v>38</v>
      </c>
      <c r="F235" s="137" t="s">
        <v>753</v>
      </c>
      <c r="G235" s="135" t="s">
        <v>64</v>
      </c>
      <c r="H235" s="135" t="s">
        <v>41</v>
      </c>
      <c r="I235" s="135" t="s">
        <v>42</v>
      </c>
      <c r="J235" s="138"/>
      <c r="K235" s="138"/>
      <c r="L235" s="138"/>
      <c r="M235" s="138"/>
      <c r="N235" s="138"/>
      <c r="O235" s="138"/>
      <c r="P235" s="139">
        <v>1.0</v>
      </c>
      <c r="Q235" s="140"/>
      <c r="R235" s="140"/>
      <c r="S235" s="135" t="s">
        <v>276</v>
      </c>
      <c r="T235" s="135" t="s">
        <v>66</v>
      </c>
      <c r="U235" s="135" t="s">
        <v>99</v>
      </c>
      <c r="V235" s="135" t="s">
        <v>78</v>
      </c>
      <c r="W235" s="142">
        <v>1600.0</v>
      </c>
      <c r="X235" s="141"/>
      <c r="Y235" s="141"/>
      <c r="Z235" s="141"/>
      <c r="AA235" s="141"/>
      <c r="AB235" s="142">
        <v>0.0</v>
      </c>
      <c r="AC235" s="24" t="s">
        <v>866</v>
      </c>
      <c r="AD235" s="17">
        <v>4189.0</v>
      </c>
      <c r="AE235" s="27" t="s">
        <v>867</v>
      </c>
      <c r="AF235" s="135" t="str">
        <f t="shared" si="1"/>
        <v>Buenos Aires, Argentina</v>
      </c>
      <c r="AG235" s="135">
        <f t="shared" si="2"/>
        <v>1</v>
      </c>
      <c r="AH235" s="143">
        <f t="shared" si="3"/>
        <v>1600</v>
      </c>
      <c r="AI235" s="143">
        <f t="shared" si="4"/>
        <v>0</v>
      </c>
      <c r="AJ235" s="142">
        <f t="shared" si="5"/>
        <v>0</v>
      </c>
      <c r="AK235" s="142">
        <f t="shared" si="6"/>
        <v>1600</v>
      </c>
      <c r="AL235" s="144"/>
      <c r="AM235" s="144"/>
    </row>
    <row r="236">
      <c r="A236" s="135">
        <v>235.0</v>
      </c>
      <c r="B236" s="136">
        <v>43980.0</v>
      </c>
      <c r="C236" s="17">
        <v>52020.0</v>
      </c>
      <c r="D236" s="137" t="s">
        <v>868</v>
      </c>
      <c r="E236" s="135" t="s">
        <v>38</v>
      </c>
      <c r="F236" s="137" t="s">
        <v>546</v>
      </c>
      <c r="G236" s="135" t="s">
        <v>40</v>
      </c>
      <c r="H236" s="135" t="s">
        <v>547</v>
      </c>
      <c r="I236" s="135" t="s">
        <v>42</v>
      </c>
      <c r="J236" s="139">
        <v>1.0</v>
      </c>
      <c r="K236" s="138"/>
      <c r="L236" s="138"/>
      <c r="M236" s="138"/>
      <c r="N236" s="138"/>
      <c r="O236" s="138"/>
      <c r="P236" s="138"/>
      <c r="Q236" s="140"/>
      <c r="R236" s="140"/>
      <c r="S236" s="135" t="s">
        <v>204</v>
      </c>
      <c r="T236" s="135" t="s">
        <v>66</v>
      </c>
      <c r="U236" s="135" t="s">
        <v>342</v>
      </c>
      <c r="V236" s="135" t="s">
        <v>84</v>
      </c>
      <c r="W236" s="141"/>
      <c r="X236" s="141"/>
      <c r="Y236" s="141"/>
      <c r="Z236" s="141"/>
      <c r="AA236" s="142">
        <v>1975.0</v>
      </c>
      <c r="AB236" s="142">
        <v>0.0</v>
      </c>
      <c r="AC236" s="24" t="s">
        <v>869</v>
      </c>
      <c r="AD236" s="17">
        <v>4199.0</v>
      </c>
      <c r="AE236" s="27" t="s">
        <v>870</v>
      </c>
      <c r="AF236" s="135" t="str">
        <f t="shared" si="1"/>
        <v>Buenos Aires, Argentina</v>
      </c>
      <c r="AG236" s="135">
        <f t="shared" si="2"/>
        <v>1</v>
      </c>
      <c r="AH236" s="143">
        <f t="shared" si="3"/>
        <v>0</v>
      </c>
      <c r="AI236" s="143">
        <f t="shared" si="4"/>
        <v>0</v>
      </c>
      <c r="AJ236" s="142">
        <f t="shared" si="5"/>
        <v>1975</v>
      </c>
      <c r="AK236" s="142">
        <f t="shared" si="6"/>
        <v>1975</v>
      </c>
      <c r="AL236" s="144"/>
      <c r="AM236" s="144"/>
    </row>
    <row r="237">
      <c r="A237" s="135">
        <v>236.0</v>
      </c>
      <c r="B237" s="136">
        <v>43980.0</v>
      </c>
      <c r="C237" s="17">
        <v>52020.0</v>
      </c>
      <c r="D237" s="137" t="s">
        <v>871</v>
      </c>
      <c r="E237" s="135" t="s">
        <v>38</v>
      </c>
      <c r="F237" s="137" t="s">
        <v>753</v>
      </c>
      <c r="G237" s="135" t="s">
        <v>64</v>
      </c>
      <c r="H237" s="135" t="s">
        <v>41</v>
      </c>
      <c r="I237" s="135" t="s">
        <v>42</v>
      </c>
      <c r="J237" s="138"/>
      <c r="K237" s="138"/>
      <c r="L237" s="138"/>
      <c r="M237" s="138"/>
      <c r="N237" s="138"/>
      <c r="O237" s="138"/>
      <c r="P237" s="139">
        <v>1.0</v>
      </c>
      <c r="Q237" s="140"/>
      <c r="R237" s="140"/>
      <c r="S237" s="135" t="s">
        <v>89</v>
      </c>
      <c r="T237" s="135" t="s">
        <v>66</v>
      </c>
      <c r="U237" s="135" t="s">
        <v>99</v>
      </c>
      <c r="V237" s="135" t="s">
        <v>78</v>
      </c>
      <c r="W237" s="142">
        <v>1600.0</v>
      </c>
      <c r="X237" s="141"/>
      <c r="Y237" s="141"/>
      <c r="Z237" s="141"/>
      <c r="AA237" s="141"/>
      <c r="AB237" s="142">
        <v>0.0</v>
      </c>
      <c r="AC237" s="24" t="s">
        <v>872</v>
      </c>
      <c r="AD237" s="81">
        <v>4203.0</v>
      </c>
      <c r="AE237" s="82" t="s">
        <v>873</v>
      </c>
      <c r="AF237" s="135" t="str">
        <f t="shared" si="1"/>
        <v>Buenos Aires, Argentina</v>
      </c>
      <c r="AG237" s="135">
        <f t="shared" si="2"/>
        <v>1</v>
      </c>
      <c r="AH237" s="143">
        <f t="shared" si="3"/>
        <v>1600</v>
      </c>
      <c r="AI237" s="143">
        <f t="shared" si="4"/>
        <v>0</v>
      </c>
      <c r="AJ237" s="142">
        <f t="shared" si="5"/>
        <v>0</v>
      </c>
      <c r="AK237" s="142">
        <f t="shared" si="6"/>
        <v>1600</v>
      </c>
      <c r="AL237" s="144"/>
      <c r="AM237" s="144"/>
    </row>
    <row r="238">
      <c r="A238" s="147">
        <v>237.0</v>
      </c>
      <c r="B238" s="148">
        <v>43984.0</v>
      </c>
      <c r="C238" s="17">
        <v>62020.0</v>
      </c>
      <c r="D238" s="149" t="s">
        <v>874</v>
      </c>
      <c r="E238" s="147" t="s">
        <v>38</v>
      </c>
      <c r="F238" s="149" t="s">
        <v>517</v>
      </c>
      <c r="G238" s="147" t="s">
        <v>40</v>
      </c>
      <c r="H238" s="147" t="s">
        <v>41</v>
      </c>
      <c r="I238" s="147" t="s">
        <v>42</v>
      </c>
      <c r="J238" s="150">
        <v>1.0</v>
      </c>
      <c r="K238" s="151"/>
      <c r="L238" s="151"/>
      <c r="M238" s="150">
        <v>1.0</v>
      </c>
      <c r="N238" s="151"/>
      <c r="O238" s="151"/>
      <c r="P238" s="151"/>
      <c r="Q238" s="152"/>
      <c r="R238" s="152"/>
      <c r="S238" s="147" t="s">
        <v>114</v>
      </c>
      <c r="T238" s="147" t="s">
        <v>66</v>
      </c>
      <c r="U238" s="147" t="s">
        <v>53</v>
      </c>
      <c r="V238" s="147" t="s">
        <v>84</v>
      </c>
      <c r="W238" s="153"/>
      <c r="X238" s="153"/>
      <c r="Y238" s="153"/>
      <c r="Z238" s="153"/>
      <c r="AA238" s="154">
        <v>4004.0</v>
      </c>
      <c r="AB238" s="154">
        <v>13017.0</v>
      </c>
      <c r="AC238" s="24" t="s">
        <v>875</v>
      </c>
      <c r="AD238" s="17">
        <v>4209.0</v>
      </c>
      <c r="AE238" s="27" t="s">
        <v>876</v>
      </c>
      <c r="AF238" s="147" t="str">
        <f t="shared" si="1"/>
        <v>Buenos Aires, Argentina</v>
      </c>
      <c r="AG238" s="147">
        <f t="shared" si="2"/>
        <v>2</v>
      </c>
      <c r="AH238" s="155">
        <f t="shared" si="3"/>
        <v>0</v>
      </c>
      <c r="AI238" s="155">
        <f t="shared" si="4"/>
        <v>0</v>
      </c>
      <c r="AJ238" s="154">
        <f t="shared" si="5"/>
        <v>17021</v>
      </c>
      <c r="AK238" s="154">
        <f t="shared" si="6"/>
        <v>17021</v>
      </c>
      <c r="AL238" s="156"/>
      <c r="AM238" s="156"/>
    </row>
    <row r="239">
      <c r="A239" s="147">
        <v>238.0</v>
      </c>
      <c r="B239" s="148">
        <v>43984.0</v>
      </c>
      <c r="C239" s="17">
        <v>62020.0</v>
      </c>
      <c r="D239" s="149" t="s">
        <v>877</v>
      </c>
      <c r="E239" s="147" t="s">
        <v>38</v>
      </c>
      <c r="F239" s="149" t="s">
        <v>878</v>
      </c>
      <c r="G239" s="147" t="s">
        <v>40</v>
      </c>
      <c r="H239" s="147" t="s">
        <v>41</v>
      </c>
      <c r="I239" s="147" t="s">
        <v>42</v>
      </c>
      <c r="J239" s="150">
        <v>2.0</v>
      </c>
      <c r="K239" s="150">
        <v>2.0</v>
      </c>
      <c r="L239" s="151"/>
      <c r="M239" s="151"/>
      <c r="N239" s="151"/>
      <c r="O239" s="151"/>
      <c r="P239" s="150">
        <v>1.0</v>
      </c>
      <c r="Q239" s="152"/>
      <c r="R239" s="152"/>
      <c r="S239" s="147" t="s">
        <v>72</v>
      </c>
      <c r="T239" s="147" t="s">
        <v>879</v>
      </c>
      <c r="U239" s="147" t="s">
        <v>45</v>
      </c>
      <c r="V239" s="147" t="s">
        <v>217</v>
      </c>
      <c r="W239" s="154">
        <v>3250.0</v>
      </c>
      <c r="X239" s="153"/>
      <c r="Y239" s="153"/>
      <c r="Z239" s="153"/>
      <c r="AA239" s="154">
        <v>14720.0</v>
      </c>
      <c r="AB239" s="154">
        <v>39360.0</v>
      </c>
      <c r="AC239" s="24" t="s">
        <v>880</v>
      </c>
      <c r="AD239" s="145">
        <v>26247.0</v>
      </c>
      <c r="AE239" s="27" t="s">
        <v>881</v>
      </c>
      <c r="AF239" s="147" t="str">
        <f t="shared" si="1"/>
        <v>Salta, Argentina</v>
      </c>
      <c r="AG239" s="147">
        <f t="shared" si="2"/>
        <v>5</v>
      </c>
      <c r="AH239" s="155">
        <f t="shared" si="3"/>
        <v>3250</v>
      </c>
      <c r="AI239" s="155">
        <f t="shared" si="4"/>
        <v>0</v>
      </c>
      <c r="AJ239" s="154">
        <f t="shared" si="5"/>
        <v>54080</v>
      </c>
      <c r="AK239" s="154">
        <f t="shared" si="6"/>
        <v>57330</v>
      </c>
      <c r="AL239" s="156"/>
      <c r="AM239" s="156"/>
    </row>
    <row r="240">
      <c r="A240" s="147">
        <v>239.0</v>
      </c>
      <c r="B240" s="148">
        <v>43985.0</v>
      </c>
      <c r="C240" s="17">
        <v>62020.0</v>
      </c>
      <c r="D240" s="149" t="s">
        <v>882</v>
      </c>
      <c r="E240" s="147" t="s">
        <v>38</v>
      </c>
      <c r="F240" s="149" t="s">
        <v>517</v>
      </c>
      <c r="G240" s="147" t="s">
        <v>40</v>
      </c>
      <c r="H240" s="147" t="s">
        <v>41</v>
      </c>
      <c r="I240" s="147" t="s">
        <v>42</v>
      </c>
      <c r="J240" s="150">
        <v>1.0</v>
      </c>
      <c r="K240" s="151"/>
      <c r="L240" s="151"/>
      <c r="M240" s="151"/>
      <c r="N240" s="151"/>
      <c r="O240" s="151"/>
      <c r="P240" s="151"/>
      <c r="Q240" s="152"/>
      <c r="R240" s="152"/>
      <c r="S240" s="147" t="s">
        <v>109</v>
      </c>
      <c r="T240" s="147" t="s">
        <v>66</v>
      </c>
      <c r="U240" s="147" t="s">
        <v>45</v>
      </c>
      <c r="V240" s="147" t="s">
        <v>78</v>
      </c>
      <c r="W240" s="153"/>
      <c r="X240" s="153"/>
      <c r="Y240" s="153"/>
      <c r="Z240" s="153"/>
      <c r="AA240" s="154">
        <v>1975.0</v>
      </c>
      <c r="AB240" s="154">
        <v>5925.0</v>
      </c>
      <c r="AC240" s="24" t="s">
        <v>883</v>
      </c>
      <c r="AD240" s="17">
        <v>4207.0</v>
      </c>
      <c r="AE240" s="27" t="s">
        <v>884</v>
      </c>
      <c r="AF240" s="147" t="str">
        <f t="shared" si="1"/>
        <v>Buenos Aires, Argentina</v>
      </c>
      <c r="AG240" s="147">
        <f t="shared" si="2"/>
        <v>1</v>
      </c>
      <c r="AH240" s="155">
        <f t="shared" si="3"/>
        <v>0</v>
      </c>
      <c r="AI240" s="155">
        <f t="shared" si="4"/>
        <v>0</v>
      </c>
      <c r="AJ240" s="154">
        <f t="shared" si="5"/>
        <v>7900</v>
      </c>
      <c r="AK240" s="154">
        <f t="shared" si="6"/>
        <v>7900</v>
      </c>
      <c r="AL240" s="156"/>
      <c r="AM240" s="156"/>
    </row>
    <row r="241">
      <c r="A241" s="147">
        <v>240.0</v>
      </c>
      <c r="B241" s="148">
        <v>43986.0</v>
      </c>
      <c r="C241" s="17">
        <v>62020.0</v>
      </c>
      <c r="D241" s="149" t="s">
        <v>885</v>
      </c>
      <c r="E241" s="147" t="s">
        <v>38</v>
      </c>
      <c r="F241" s="149" t="s">
        <v>886</v>
      </c>
      <c r="G241" s="147" t="s">
        <v>64</v>
      </c>
      <c r="H241" s="147" t="s">
        <v>41</v>
      </c>
      <c r="I241" s="147" t="s">
        <v>42</v>
      </c>
      <c r="J241" s="151"/>
      <c r="K241" s="151"/>
      <c r="L241" s="151"/>
      <c r="M241" s="151"/>
      <c r="N241" s="151"/>
      <c r="O241" s="150">
        <v>1.0</v>
      </c>
      <c r="P241" s="151"/>
      <c r="Q241" s="152"/>
      <c r="R241" s="152"/>
      <c r="S241" s="147" t="s">
        <v>189</v>
      </c>
      <c r="T241" s="147" t="s">
        <v>66</v>
      </c>
      <c r="U241" s="147" t="s">
        <v>99</v>
      </c>
      <c r="V241" s="147" t="s">
        <v>78</v>
      </c>
      <c r="W241" s="153"/>
      <c r="X241" s="153"/>
      <c r="Y241" s="153"/>
      <c r="Z241" s="153"/>
      <c r="AA241" s="154">
        <v>1600.0</v>
      </c>
      <c r="AB241" s="154">
        <v>0.0</v>
      </c>
      <c r="AC241" s="24" t="s">
        <v>887</v>
      </c>
      <c r="AD241" s="17">
        <v>2126.0</v>
      </c>
      <c r="AE241" s="27" t="s">
        <v>888</v>
      </c>
      <c r="AF241" s="147" t="str">
        <f t="shared" si="1"/>
        <v>Buenos Aires, Argentina</v>
      </c>
      <c r="AG241" s="147">
        <f t="shared" si="2"/>
        <v>1</v>
      </c>
      <c r="AH241" s="155">
        <f t="shared" si="3"/>
        <v>0</v>
      </c>
      <c r="AI241" s="155">
        <f t="shared" si="4"/>
        <v>0</v>
      </c>
      <c r="AJ241" s="154">
        <f t="shared" si="5"/>
        <v>1600</v>
      </c>
      <c r="AK241" s="154">
        <f t="shared" si="6"/>
        <v>1600</v>
      </c>
      <c r="AL241" s="156"/>
      <c r="AM241" s="156"/>
    </row>
    <row r="242">
      <c r="A242" s="147">
        <v>241.0</v>
      </c>
      <c r="B242" s="148">
        <v>43986.0</v>
      </c>
      <c r="C242" s="17">
        <v>62020.0</v>
      </c>
      <c r="D242" s="149" t="s">
        <v>889</v>
      </c>
      <c r="E242" s="147" t="s">
        <v>38</v>
      </c>
      <c r="F242" s="149" t="s">
        <v>546</v>
      </c>
      <c r="G242" s="147" t="s">
        <v>40</v>
      </c>
      <c r="H242" s="147" t="s">
        <v>547</v>
      </c>
      <c r="I242" s="147" t="s">
        <v>42</v>
      </c>
      <c r="J242" s="150">
        <v>1.0</v>
      </c>
      <c r="K242" s="151"/>
      <c r="L242" s="151"/>
      <c r="M242" s="151"/>
      <c r="N242" s="151"/>
      <c r="O242" s="151"/>
      <c r="P242" s="151"/>
      <c r="Q242" s="152"/>
      <c r="R242" s="152"/>
      <c r="S242" s="147" t="s">
        <v>43</v>
      </c>
      <c r="T242" s="147" t="s">
        <v>66</v>
      </c>
      <c r="U242" s="147" t="s">
        <v>342</v>
      </c>
      <c r="V242" s="147" t="s">
        <v>46</v>
      </c>
      <c r="W242" s="153"/>
      <c r="X242" s="153"/>
      <c r="Y242" s="153"/>
      <c r="Z242" s="153"/>
      <c r="AA242" s="154">
        <v>1975.0</v>
      </c>
      <c r="AB242" s="154">
        <v>0.0</v>
      </c>
      <c r="AC242" s="24" t="s">
        <v>890</v>
      </c>
      <c r="AD242" s="17">
        <v>4227.0</v>
      </c>
      <c r="AE242" s="27" t="s">
        <v>891</v>
      </c>
      <c r="AF242" s="147" t="str">
        <f t="shared" si="1"/>
        <v>Buenos Aires, Argentina</v>
      </c>
      <c r="AG242" s="147">
        <f t="shared" si="2"/>
        <v>1</v>
      </c>
      <c r="AH242" s="155">
        <f t="shared" si="3"/>
        <v>0</v>
      </c>
      <c r="AI242" s="155">
        <f t="shared" si="4"/>
        <v>0</v>
      </c>
      <c r="AJ242" s="154">
        <f t="shared" si="5"/>
        <v>1975</v>
      </c>
      <c r="AK242" s="154">
        <f t="shared" si="6"/>
        <v>1975</v>
      </c>
      <c r="AL242" s="156"/>
      <c r="AM242" s="156"/>
    </row>
    <row r="243">
      <c r="A243" s="147">
        <v>242.0</v>
      </c>
      <c r="B243" s="148">
        <v>43987.0</v>
      </c>
      <c r="C243" s="17">
        <v>62020.0</v>
      </c>
      <c r="D243" s="149" t="s">
        <v>892</v>
      </c>
      <c r="E243" s="147" t="s">
        <v>38</v>
      </c>
      <c r="F243" s="149" t="s">
        <v>517</v>
      </c>
      <c r="G243" s="147" t="s">
        <v>40</v>
      </c>
      <c r="H243" s="147" t="s">
        <v>41</v>
      </c>
      <c r="I243" s="147" t="s">
        <v>42</v>
      </c>
      <c r="J243" s="150">
        <v>1.0</v>
      </c>
      <c r="K243" s="151"/>
      <c r="L243" s="151"/>
      <c r="M243" s="151"/>
      <c r="N243" s="151"/>
      <c r="O243" s="151"/>
      <c r="P243" s="151"/>
      <c r="Q243" s="152"/>
      <c r="R243" s="152"/>
      <c r="S243" s="147" t="s">
        <v>114</v>
      </c>
      <c r="T243" s="157" t="s">
        <v>66</v>
      </c>
      <c r="U243" s="147" t="s">
        <v>45</v>
      </c>
      <c r="V243" s="147" t="s">
        <v>84</v>
      </c>
      <c r="W243" s="153"/>
      <c r="X243" s="153"/>
      <c r="Y243" s="153"/>
      <c r="Z243" s="153"/>
      <c r="AA243" s="154">
        <v>3950.0</v>
      </c>
      <c r="AB243" s="154">
        <v>11850.0</v>
      </c>
      <c r="AC243" s="24" t="s">
        <v>893</v>
      </c>
      <c r="AD243" s="17">
        <v>4229.0</v>
      </c>
      <c r="AE243" s="27" t="s">
        <v>894</v>
      </c>
      <c r="AF243" s="157" t="str">
        <f t="shared" si="1"/>
        <v>Buenos Aires, Argentina</v>
      </c>
      <c r="AG243" s="157">
        <f t="shared" si="2"/>
        <v>1</v>
      </c>
      <c r="AH243" s="155">
        <f t="shared" si="3"/>
        <v>0</v>
      </c>
      <c r="AI243" s="155">
        <f t="shared" si="4"/>
        <v>0</v>
      </c>
      <c r="AJ243" s="154">
        <f t="shared" si="5"/>
        <v>15800</v>
      </c>
      <c r="AK243" s="154">
        <f t="shared" si="6"/>
        <v>15800</v>
      </c>
      <c r="AL243" s="156"/>
      <c r="AM243" s="156"/>
    </row>
    <row r="244">
      <c r="A244" s="147">
        <v>243.0</v>
      </c>
      <c r="B244" s="148">
        <v>43990.0</v>
      </c>
      <c r="C244" s="17">
        <v>62020.0</v>
      </c>
      <c r="D244" s="149" t="s">
        <v>895</v>
      </c>
      <c r="E244" s="147" t="s">
        <v>38</v>
      </c>
      <c r="F244" s="149" t="s">
        <v>546</v>
      </c>
      <c r="G244" s="147" t="s">
        <v>40</v>
      </c>
      <c r="H244" s="147" t="s">
        <v>547</v>
      </c>
      <c r="I244" s="147" t="s">
        <v>42</v>
      </c>
      <c r="J244" s="150">
        <v>1.0</v>
      </c>
      <c r="K244" s="151"/>
      <c r="L244" s="151"/>
      <c r="M244" s="151"/>
      <c r="N244" s="151"/>
      <c r="O244" s="151"/>
      <c r="P244" s="151"/>
      <c r="Q244" s="152"/>
      <c r="R244" s="152"/>
      <c r="S244" s="147" t="s">
        <v>98</v>
      </c>
      <c r="T244" s="147" t="s">
        <v>83</v>
      </c>
      <c r="U244" s="147" t="s">
        <v>45</v>
      </c>
      <c r="V244" s="147" t="s">
        <v>59</v>
      </c>
      <c r="W244" s="153"/>
      <c r="X244" s="153"/>
      <c r="Y244" s="153"/>
      <c r="Z244" s="153"/>
      <c r="AA244" s="154">
        <v>1975.0</v>
      </c>
      <c r="AB244" s="154">
        <v>0.0</v>
      </c>
      <c r="AC244" s="24" t="s">
        <v>896</v>
      </c>
      <c r="AD244" s="17">
        <v>4233.0</v>
      </c>
      <c r="AE244" s="27" t="s">
        <v>897</v>
      </c>
      <c r="AF244" s="147" t="str">
        <f t="shared" si="1"/>
        <v>Capital Federal, Argentina</v>
      </c>
      <c r="AG244" s="147">
        <f t="shared" si="2"/>
        <v>1</v>
      </c>
      <c r="AH244" s="155">
        <f t="shared" si="3"/>
        <v>0</v>
      </c>
      <c r="AI244" s="155">
        <f t="shared" si="4"/>
        <v>0</v>
      </c>
      <c r="AJ244" s="154">
        <f t="shared" si="5"/>
        <v>1975</v>
      </c>
      <c r="AK244" s="154">
        <f t="shared" si="6"/>
        <v>1975</v>
      </c>
      <c r="AL244" s="156"/>
      <c r="AM244" s="156"/>
    </row>
    <row r="245">
      <c r="A245" s="147">
        <v>244.0</v>
      </c>
      <c r="B245" s="148">
        <v>43991.0</v>
      </c>
      <c r="C245" s="17">
        <v>62020.0</v>
      </c>
      <c r="D245" s="149" t="s">
        <v>898</v>
      </c>
      <c r="E245" s="147" t="s">
        <v>38</v>
      </c>
      <c r="F245" s="149" t="s">
        <v>753</v>
      </c>
      <c r="G245" s="147" t="s">
        <v>64</v>
      </c>
      <c r="H245" s="147" t="s">
        <v>41</v>
      </c>
      <c r="I245" s="147" t="s">
        <v>42</v>
      </c>
      <c r="J245" s="151"/>
      <c r="K245" s="151"/>
      <c r="L245" s="151"/>
      <c r="M245" s="151"/>
      <c r="N245" s="151"/>
      <c r="O245" s="151"/>
      <c r="P245" s="150">
        <v>1.0</v>
      </c>
      <c r="Q245" s="152"/>
      <c r="R245" s="152"/>
      <c r="S245" s="147" t="s">
        <v>89</v>
      </c>
      <c r="T245" s="157" t="s">
        <v>66</v>
      </c>
      <c r="U245" s="147" t="s">
        <v>99</v>
      </c>
      <c r="V245" s="147" t="s">
        <v>78</v>
      </c>
      <c r="W245" s="154">
        <v>1600.0</v>
      </c>
      <c r="X245" s="153"/>
      <c r="Y245" s="153"/>
      <c r="Z245" s="153"/>
      <c r="AA245" s="153"/>
      <c r="AB245" s="154">
        <v>0.0</v>
      </c>
      <c r="AC245" s="24" t="s">
        <v>899</v>
      </c>
      <c r="AD245" s="17">
        <v>4235.0</v>
      </c>
      <c r="AE245" s="27" t="s">
        <v>900</v>
      </c>
      <c r="AF245" s="157" t="str">
        <f t="shared" si="1"/>
        <v>Buenos Aires, Argentina</v>
      </c>
      <c r="AG245" s="157">
        <f t="shared" si="2"/>
        <v>1</v>
      </c>
      <c r="AH245" s="155">
        <f t="shared" si="3"/>
        <v>1600</v>
      </c>
      <c r="AI245" s="155">
        <f t="shared" si="4"/>
        <v>0</v>
      </c>
      <c r="AJ245" s="154">
        <f t="shared" si="5"/>
        <v>0</v>
      </c>
      <c r="AK245" s="154">
        <f t="shared" si="6"/>
        <v>1600</v>
      </c>
      <c r="AL245" s="156"/>
      <c r="AM245" s="156"/>
    </row>
    <row r="246">
      <c r="A246" s="147">
        <v>245.0</v>
      </c>
      <c r="B246" s="148">
        <v>43991.0</v>
      </c>
      <c r="C246" s="17">
        <v>62020.0</v>
      </c>
      <c r="D246" s="149" t="s">
        <v>901</v>
      </c>
      <c r="E246" s="147" t="s">
        <v>38</v>
      </c>
      <c r="F246" s="149" t="s">
        <v>902</v>
      </c>
      <c r="G246" s="147" t="s">
        <v>40</v>
      </c>
      <c r="H246" s="147" t="s">
        <v>547</v>
      </c>
      <c r="I246" s="147" t="s">
        <v>42</v>
      </c>
      <c r="J246" s="150">
        <v>1.0</v>
      </c>
      <c r="K246" s="150">
        <v>1.0</v>
      </c>
      <c r="L246" s="151"/>
      <c r="M246" s="151"/>
      <c r="N246" s="151"/>
      <c r="O246" s="151"/>
      <c r="P246" s="151"/>
      <c r="Q246" s="152"/>
      <c r="R246" s="152"/>
      <c r="S246" s="147" t="s">
        <v>114</v>
      </c>
      <c r="T246" s="147" t="s">
        <v>66</v>
      </c>
      <c r="U246" s="147" t="s">
        <v>53</v>
      </c>
      <c r="V246" s="147" t="s">
        <v>84</v>
      </c>
      <c r="W246" s="153"/>
      <c r="X246" s="153"/>
      <c r="Y246" s="153"/>
      <c r="Z246" s="153"/>
      <c r="AA246" s="154">
        <v>3280.0</v>
      </c>
      <c r="AB246" s="154">
        <v>0.0</v>
      </c>
      <c r="AC246" s="24" t="s">
        <v>903</v>
      </c>
      <c r="AD246" s="17">
        <v>4237.0</v>
      </c>
      <c r="AE246" s="27" t="s">
        <v>904</v>
      </c>
      <c r="AF246" s="147" t="str">
        <f t="shared" si="1"/>
        <v>Buenos Aires, Argentina</v>
      </c>
      <c r="AG246" s="147">
        <f t="shared" si="2"/>
        <v>2</v>
      </c>
      <c r="AH246" s="155">
        <f t="shared" si="3"/>
        <v>0</v>
      </c>
      <c r="AI246" s="155">
        <f t="shared" si="4"/>
        <v>0</v>
      </c>
      <c r="AJ246" s="154">
        <f t="shared" si="5"/>
        <v>3280</v>
      </c>
      <c r="AK246" s="154">
        <f t="shared" si="6"/>
        <v>3280</v>
      </c>
      <c r="AL246" s="156"/>
      <c r="AM246" s="156"/>
    </row>
    <row r="247">
      <c r="A247" s="147">
        <v>246.0</v>
      </c>
      <c r="B247" s="148">
        <v>43991.0</v>
      </c>
      <c r="C247" s="17">
        <v>62020.0</v>
      </c>
      <c r="D247" s="149" t="s">
        <v>905</v>
      </c>
      <c r="E247" s="147" t="s">
        <v>38</v>
      </c>
      <c r="F247" s="149" t="s">
        <v>906</v>
      </c>
      <c r="G247" s="147" t="s">
        <v>40</v>
      </c>
      <c r="H247" s="147" t="s">
        <v>547</v>
      </c>
      <c r="I247" s="147" t="s">
        <v>42</v>
      </c>
      <c r="J247" s="150">
        <v>2.0</v>
      </c>
      <c r="K247" s="150">
        <v>2.0</v>
      </c>
      <c r="L247" s="151"/>
      <c r="M247" s="151"/>
      <c r="N247" s="151"/>
      <c r="O247" s="151"/>
      <c r="P247" s="151"/>
      <c r="Q247" s="152"/>
      <c r="R247" s="152"/>
      <c r="S247" s="147" t="s">
        <v>907</v>
      </c>
      <c r="T247" s="147" t="s">
        <v>83</v>
      </c>
      <c r="U247" s="147" t="s">
        <v>53</v>
      </c>
      <c r="V247" s="147" t="s">
        <v>59</v>
      </c>
      <c r="W247" s="153"/>
      <c r="X247" s="153"/>
      <c r="Y247" s="153"/>
      <c r="Z247" s="153"/>
      <c r="AA247" s="154">
        <v>6560.0</v>
      </c>
      <c r="AB247" s="154">
        <v>0.0</v>
      </c>
      <c r="AC247" s="24" t="s">
        <v>908</v>
      </c>
      <c r="AD247" s="17">
        <v>4241.0</v>
      </c>
      <c r="AE247" s="27" t="s">
        <v>909</v>
      </c>
      <c r="AF247" s="147" t="str">
        <f t="shared" si="1"/>
        <v>Capital Federal, Argentina</v>
      </c>
      <c r="AG247" s="147">
        <f t="shared" si="2"/>
        <v>4</v>
      </c>
      <c r="AH247" s="155">
        <f t="shared" si="3"/>
        <v>0</v>
      </c>
      <c r="AI247" s="155">
        <f t="shared" si="4"/>
        <v>0</v>
      </c>
      <c r="AJ247" s="154">
        <f t="shared" si="5"/>
        <v>6560</v>
      </c>
      <c r="AK247" s="154">
        <f t="shared" si="6"/>
        <v>6560</v>
      </c>
      <c r="AL247" s="156"/>
      <c r="AM247" s="156"/>
    </row>
    <row r="248">
      <c r="A248" s="147">
        <v>247.0</v>
      </c>
      <c r="B248" s="148">
        <v>43991.0</v>
      </c>
      <c r="C248" s="17">
        <v>62020.0</v>
      </c>
      <c r="D248" s="149" t="s">
        <v>102</v>
      </c>
      <c r="E248" s="147" t="s">
        <v>38</v>
      </c>
      <c r="F248" s="149" t="s">
        <v>910</v>
      </c>
      <c r="G248" s="147" t="s">
        <v>64</v>
      </c>
      <c r="H248" s="147" t="s">
        <v>41</v>
      </c>
      <c r="I248" s="147" t="s">
        <v>42</v>
      </c>
      <c r="J248" s="151"/>
      <c r="K248" s="150">
        <v>1.0</v>
      </c>
      <c r="L248" s="151"/>
      <c r="M248" s="151"/>
      <c r="N248" s="151"/>
      <c r="O248" s="151"/>
      <c r="P248" s="151"/>
      <c r="Q248" s="152"/>
      <c r="R248" s="152"/>
      <c r="S248" s="147" t="s">
        <v>167</v>
      </c>
      <c r="T248" s="147" t="s">
        <v>66</v>
      </c>
      <c r="U248" s="147" t="s">
        <v>99</v>
      </c>
      <c r="V248" s="147" t="s">
        <v>59</v>
      </c>
      <c r="W248" s="153"/>
      <c r="X248" s="153"/>
      <c r="Y248" s="153"/>
      <c r="Z248" s="153"/>
      <c r="AA248" s="154">
        <v>2991.0</v>
      </c>
      <c r="AB248" s="154">
        <v>4486.0</v>
      </c>
      <c r="AC248" s="24" t="s">
        <v>911</v>
      </c>
      <c r="AD248" s="17">
        <v>4243.0</v>
      </c>
      <c r="AE248" s="27" t="s">
        <v>912</v>
      </c>
      <c r="AF248" s="147" t="str">
        <f t="shared" si="1"/>
        <v>Buenos Aires, Argentina</v>
      </c>
      <c r="AG248" s="147">
        <f t="shared" si="2"/>
        <v>1</v>
      </c>
      <c r="AH248" s="155">
        <f t="shared" si="3"/>
        <v>0</v>
      </c>
      <c r="AI248" s="155">
        <f t="shared" si="4"/>
        <v>0</v>
      </c>
      <c r="AJ248" s="154">
        <f t="shared" si="5"/>
        <v>7477</v>
      </c>
      <c r="AK248" s="154">
        <f t="shared" si="6"/>
        <v>7477</v>
      </c>
      <c r="AL248" s="156"/>
      <c r="AM248" s="156"/>
    </row>
    <row r="249">
      <c r="A249" s="147">
        <v>248.0</v>
      </c>
      <c r="B249" s="148">
        <v>43992.0</v>
      </c>
      <c r="C249" s="17">
        <v>62020.0</v>
      </c>
      <c r="D249" s="149" t="s">
        <v>868</v>
      </c>
      <c r="E249" s="147" t="s">
        <v>38</v>
      </c>
      <c r="F249" s="149" t="s">
        <v>913</v>
      </c>
      <c r="G249" s="147" t="s">
        <v>64</v>
      </c>
      <c r="H249" s="147" t="s">
        <v>547</v>
      </c>
      <c r="I249" s="147" t="s">
        <v>42</v>
      </c>
      <c r="J249" s="150">
        <v>1.0</v>
      </c>
      <c r="K249" s="151"/>
      <c r="L249" s="151"/>
      <c r="M249" s="151"/>
      <c r="N249" s="151"/>
      <c r="O249" s="151"/>
      <c r="P249" s="151"/>
      <c r="Q249" s="152"/>
      <c r="R249" s="152"/>
      <c r="S249" s="147" t="s">
        <v>204</v>
      </c>
      <c r="T249" s="147" t="s">
        <v>66</v>
      </c>
      <c r="U249" s="147" t="s">
        <v>67</v>
      </c>
      <c r="V249" s="147" t="s">
        <v>84</v>
      </c>
      <c r="W249" s="153"/>
      <c r="X249" s="153"/>
      <c r="Y249" s="153"/>
      <c r="Z249" s="153"/>
      <c r="AA249" s="154">
        <v>1975.0</v>
      </c>
      <c r="AB249" s="154">
        <v>0.0</v>
      </c>
      <c r="AC249" s="24" t="s">
        <v>914</v>
      </c>
      <c r="AD249" s="17">
        <v>4245.0</v>
      </c>
      <c r="AE249" s="27" t="s">
        <v>915</v>
      </c>
      <c r="AF249" s="147" t="str">
        <f t="shared" si="1"/>
        <v>Buenos Aires, Argentina</v>
      </c>
      <c r="AG249" s="147">
        <f t="shared" si="2"/>
        <v>1</v>
      </c>
      <c r="AH249" s="155">
        <f t="shared" si="3"/>
        <v>0</v>
      </c>
      <c r="AI249" s="155">
        <f t="shared" si="4"/>
        <v>0</v>
      </c>
      <c r="AJ249" s="154">
        <f t="shared" si="5"/>
        <v>1975</v>
      </c>
      <c r="AK249" s="154">
        <f t="shared" si="6"/>
        <v>1975</v>
      </c>
      <c r="AL249" s="156"/>
      <c r="AM249" s="156"/>
    </row>
    <row r="250">
      <c r="A250" s="147">
        <v>249.0</v>
      </c>
      <c r="B250" s="148">
        <v>43992.0</v>
      </c>
      <c r="C250" s="17">
        <v>62020.0</v>
      </c>
      <c r="D250" s="149" t="s">
        <v>916</v>
      </c>
      <c r="E250" s="147" t="s">
        <v>38</v>
      </c>
      <c r="F250" s="149" t="s">
        <v>528</v>
      </c>
      <c r="G250" s="147" t="s">
        <v>64</v>
      </c>
      <c r="H250" s="147" t="s">
        <v>41</v>
      </c>
      <c r="I250" s="147" t="s">
        <v>42</v>
      </c>
      <c r="J250" s="150">
        <v>1.0</v>
      </c>
      <c r="K250" s="151"/>
      <c r="L250" s="151"/>
      <c r="M250" s="151"/>
      <c r="N250" s="151"/>
      <c r="O250" s="151"/>
      <c r="P250" s="151"/>
      <c r="Q250" s="152"/>
      <c r="R250" s="152"/>
      <c r="S250" s="147" t="s">
        <v>98</v>
      </c>
      <c r="T250" s="147" t="s">
        <v>66</v>
      </c>
      <c r="U250" s="147" t="s">
        <v>67</v>
      </c>
      <c r="V250" s="147" t="s">
        <v>78</v>
      </c>
      <c r="W250" s="153"/>
      <c r="X250" s="153"/>
      <c r="Y250" s="153"/>
      <c r="Z250" s="153"/>
      <c r="AA250" s="154">
        <v>3950.0</v>
      </c>
      <c r="AB250" s="154">
        <v>5925.0</v>
      </c>
      <c r="AC250" s="24" t="s">
        <v>917</v>
      </c>
      <c r="AD250" s="17">
        <v>4247.0</v>
      </c>
      <c r="AE250" s="27" t="s">
        <v>918</v>
      </c>
      <c r="AF250" s="147" t="str">
        <f t="shared" si="1"/>
        <v>Buenos Aires, Argentina</v>
      </c>
      <c r="AG250" s="147">
        <f t="shared" si="2"/>
        <v>1</v>
      </c>
      <c r="AH250" s="155">
        <f t="shared" si="3"/>
        <v>0</v>
      </c>
      <c r="AI250" s="155">
        <f t="shared" si="4"/>
        <v>0</v>
      </c>
      <c r="AJ250" s="154">
        <f t="shared" si="5"/>
        <v>9875</v>
      </c>
      <c r="AK250" s="154">
        <f t="shared" si="6"/>
        <v>9875</v>
      </c>
      <c r="AL250" s="156"/>
      <c r="AM250" s="156"/>
    </row>
    <row r="251">
      <c r="A251" s="147">
        <v>250.0</v>
      </c>
      <c r="B251" s="148">
        <v>43992.0</v>
      </c>
      <c r="C251" s="17">
        <v>62020.0</v>
      </c>
      <c r="D251" s="149" t="s">
        <v>919</v>
      </c>
      <c r="E251" s="147" t="s">
        <v>38</v>
      </c>
      <c r="F251" s="149" t="s">
        <v>920</v>
      </c>
      <c r="G251" s="147" t="s">
        <v>40</v>
      </c>
      <c r="H251" s="147" t="s">
        <v>547</v>
      </c>
      <c r="I251" s="147" t="s">
        <v>42</v>
      </c>
      <c r="J251" s="150">
        <v>1.0</v>
      </c>
      <c r="K251" s="151"/>
      <c r="L251" s="151"/>
      <c r="M251" s="151"/>
      <c r="N251" s="151"/>
      <c r="O251" s="151"/>
      <c r="P251" s="150">
        <v>1.0</v>
      </c>
      <c r="Q251" s="152"/>
      <c r="R251" s="152"/>
      <c r="S251" s="147" t="s">
        <v>167</v>
      </c>
      <c r="T251" s="147" t="s">
        <v>58</v>
      </c>
      <c r="U251" s="147" t="s">
        <v>45</v>
      </c>
      <c r="V251" s="147" t="s">
        <v>46</v>
      </c>
      <c r="W251" s="153"/>
      <c r="X251" s="153"/>
      <c r="Y251" s="153"/>
      <c r="Z251" s="153"/>
      <c r="AA251" s="154">
        <v>2775.0</v>
      </c>
      <c r="AB251" s="154">
        <v>0.0</v>
      </c>
      <c r="AC251" s="24" t="s">
        <v>921</v>
      </c>
      <c r="AD251" s="17">
        <v>4249.0</v>
      </c>
      <c r="AE251" s="27" t="s">
        <v>922</v>
      </c>
      <c r="AF251" s="147" t="str">
        <f t="shared" si="1"/>
        <v>Córdoba, Argentina</v>
      </c>
      <c r="AG251" s="147">
        <f t="shared" si="2"/>
        <v>2</v>
      </c>
      <c r="AH251" s="155">
        <f t="shared" si="3"/>
        <v>0</v>
      </c>
      <c r="AI251" s="155">
        <f t="shared" si="4"/>
        <v>0</v>
      </c>
      <c r="AJ251" s="154">
        <f t="shared" si="5"/>
        <v>2775</v>
      </c>
      <c r="AK251" s="154">
        <f t="shared" si="6"/>
        <v>2775</v>
      </c>
      <c r="AL251" s="156"/>
      <c r="AM251" s="156"/>
    </row>
    <row r="252">
      <c r="A252" s="147">
        <v>251.0</v>
      </c>
      <c r="B252" s="148">
        <v>43992.0</v>
      </c>
      <c r="C252" s="17">
        <v>62020.0</v>
      </c>
      <c r="D252" s="149" t="s">
        <v>923</v>
      </c>
      <c r="E252" s="147" t="s">
        <v>38</v>
      </c>
      <c r="F252" s="149" t="s">
        <v>682</v>
      </c>
      <c r="G252" s="147" t="s">
        <v>40</v>
      </c>
      <c r="H252" s="147" t="s">
        <v>41</v>
      </c>
      <c r="I252" s="147" t="s">
        <v>42</v>
      </c>
      <c r="J252" s="150">
        <v>1.0</v>
      </c>
      <c r="K252" s="150">
        <v>1.0</v>
      </c>
      <c r="L252" s="151"/>
      <c r="M252" s="151"/>
      <c r="N252" s="151"/>
      <c r="O252" s="151"/>
      <c r="P252" s="151"/>
      <c r="Q252" s="152"/>
      <c r="R252" s="152"/>
      <c r="S252" s="147" t="s">
        <v>114</v>
      </c>
      <c r="T252" s="147" t="s">
        <v>263</v>
      </c>
      <c r="U252" s="147" t="s">
        <v>572</v>
      </c>
      <c r="V252" s="147" t="s">
        <v>46</v>
      </c>
      <c r="W252" s="153"/>
      <c r="X252" s="153"/>
      <c r="Y252" s="153"/>
      <c r="Z252" s="153"/>
      <c r="AA252" s="154">
        <v>6560.0</v>
      </c>
      <c r="AB252" s="154">
        <v>9840.0</v>
      </c>
      <c r="AC252" s="24" t="s">
        <v>924</v>
      </c>
      <c r="AD252" s="17">
        <v>4115.0</v>
      </c>
      <c r="AE252" s="27" t="s">
        <v>925</v>
      </c>
      <c r="AF252" s="147" t="str">
        <f t="shared" si="1"/>
        <v>Santa Fé, Argentina</v>
      </c>
      <c r="AG252" s="147">
        <f t="shared" si="2"/>
        <v>2</v>
      </c>
      <c r="AH252" s="155">
        <f t="shared" si="3"/>
        <v>0</v>
      </c>
      <c r="AI252" s="155">
        <f t="shared" si="4"/>
        <v>0</v>
      </c>
      <c r="AJ252" s="154">
        <f t="shared" si="5"/>
        <v>16400</v>
      </c>
      <c r="AK252" s="154">
        <f t="shared" si="6"/>
        <v>16400</v>
      </c>
      <c r="AL252" s="156"/>
      <c r="AM252" s="156"/>
    </row>
    <row r="253">
      <c r="A253" s="147">
        <v>252.0</v>
      </c>
      <c r="B253" s="148">
        <v>43993.0</v>
      </c>
      <c r="C253" s="17">
        <v>62020.0</v>
      </c>
      <c r="D253" s="149" t="s">
        <v>898</v>
      </c>
      <c r="E253" s="147" t="s">
        <v>38</v>
      </c>
      <c r="F253" s="149" t="s">
        <v>63</v>
      </c>
      <c r="G253" s="147" t="s">
        <v>64</v>
      </c>
      <c r="H253" s="147" t="s">
        <v>41</v>
      </c>
      <c r="I253" s="147" t="s">
        <v>42</v>
      </c>
      <c r="J253" s="151"/>
      <c r="K253" s="151"/>
      <c r="L253" s="151"/>
      <c r="M253" s="151"/>
      <c r="N253" s="151"/>
      <c r="O253" s="151"/>
      <c r="P253" s="151"/>
      <c r="Q253" s="152"/>
      <c r="R253" s="152"/>
      <c r="S253" s="147" t="s">
        <v>105</v>
      </c>
      <c r="T253" s="157" t="s">
        <v>66</v>
      </c>
      <c r="U253" s="147" t="s">
        <v>99</v>
      </c>
      <c r="V253" s="147" t="s">
        <v>78</v>
      </c>
      <c r="W253" s="154">
        <v>1990.0</v>
      </c>
      <c r="X253" s="153"/>
      <c r="Y253" s="153"/>
      <c r="Z253" s="153"/>
      <c r="AA253" s="153"/>
      <c r="AB253" s="153" t="s">
        <v>926</v>
      </c>
      <c r="AC253" s="24" t="s">
        <v>927</v>
      </c>
      <c r="AD253" s="17">
        <v>4255.0</v>
      </c>
      <c r="AE253" s="27" t="s">
        <v>928</v>
      </c>
      <c r="AF253" s="157" t="str">
        <f t="shared" si="1"/>
        <v>Buenos Aires, Argentina</v>
      </c>
      <c r="AG253" s="157">
        <f t="shared" si="2"/>
        <v>0</v>
      </c>
      <c r="AH253" s="155">
        <f t="shared" si="3"/>
        <v>1990</v>
      </c>
      <c r="AI253" s="155">
        <f t="shared" si="4"/>
        <v>0</v>
      </c>
      <c r="AJ253" s="154">
        <f t="shared" si="5"/>
        <v>0</v>
      </c>
      <c r="AK253" s="154">
        <f t="shared" si="6"/>
        <v>1990</v>
      </c>
      <c r="AL253" s="156"/>
      <c r="AM253" s="156"/>
    </row>
    <row r="254">
      <c r="A254" s="147">
        <v>253.0</v>
      </c>
      <c r="B254" s="148">
        <v>43994.0</v>
      </c>
      <c r="C254" s="17">
        <v>62020.0</v>
      </c>
      <c r="D254" s="149" t="s">
        <v>929</v>
      </c>
      <c r="E254" s="147" t="s">
        <v>38</v>
      </c>
      <c r="F254" s="149" t="s">
        <v>753</v>
      </c>
      <c r="G254" s="147" t="s">
        <v>64</v>
      </c>
      <c r="H254" s="147" t="s">
        <v>41</v>
      </c>
      <c r="I254" s="147" t="s">
        <v>42</v>
      </c>
      <c r="J254" s="151"/>
      <c r="K254" s="151"/>
      <c r="L254" s="151"/>
      <c r="M254" s="151"/>
      <c r="N254" s="151"/>
      <c r="O254" s="151"/>
      <c r="P254" s="150">
        <v>1.0</v>
      </c>
      <c r="Q254" s="152"/>
      <c r="R254" s="152"/>
      <c r="S254" s="147" t="s">
        <v>89</v>
      </c>
      <c r="T254" s="147" t="s">
        <v>83</v>
      </c>
      <c r="U254" s="147" t="s">
        <v>67</v>
      </c>
      <c r="V254" s="147" t="s">
        <v>84</v>
      </c>
      <c r="W254" s="153"/>
      <c r="X254" s="153"/>
      <c r="Y254" s="153"/>
      <c r="Z254" s="153"/>
      <c r="AA254" s="154">
        <v>1600.0</v>
      </c>
      <c r="AB254" s="154">
        <v>0.0</v>
      </c>
      <c r="AC254" s="24" t="s">
        <v>930</v>
      </c>
      <c r="AD254" s="17">
        <v>4257.0</v>
      </c>
      <c r="AE254" s="27" t="s">
        <v>931</v>
      </c>
      <c r="AF254" s="147" t="str">
        <f t="shared" si="1"/>
        <v>Capital Federal, Argentina</v>
      </c>
      <c r="AG254" s="147">
        <f t="shared" si="2"/>
        <v>1</v>
      </c>
      <c r="AH254" s="155">
        <f t="shared" si="3"/>
        <v>0</v>
      </c>
      <c r="AI254" s="155">
        <f t="shared" si="4"/>
        <v>0</v>
      </c>
      <c r="AJ254" s="154">
        <f t="shared" si="5"/>
        <v>1600</v>
      </c>
      <c r="AK254" s="154">
        <f t="shared" si="6"/>
        <v>1600</v>
      </c>
      <c r="AL254" s="156"/>
      <c r="AM254" s="156"/>
    </row>
    <row r="255">
      <c r="A255" s="147">
        <v>254.0</v>
      </c>
      <c r="B255" s="148">
        <v>43999.0</v>
      </c>
      <c r="C255" s="17">
        <v>62020.0</v>
      </c>
      <c r="D255" s="149" t="s">
        <v>932</v>
      </c>
      <c r="E255" s="147" t="s">
        <v>38</v>
      </c>
      <c r="F255" s="149" t="s">
        <v>933</v>
      </c>
      <c r="G255" s="147" t="s">
        <v>40</v>
      </c>
      <c r="H255" s="147" t="s">
        <v>41</v>
      </c>
      <c r="I255" s="147" t="s">
        <v>42</v>
      </c>
      <c r="J255" s="150">
        <v>3.0</v>
      </c>
      <c r="K255" s="150">
        <v>1.0</v>
      </c>
      <c r="L255" s="151"/>
      <c r="M255" s="151"/>
      <c r="N255" s="151"/>
      <c r="O255" s="151"/>
      <c r="P255" s="151"/>
      <c r="Q255" s="152"/>
      <c r="R255" s="152"/>
      <c r="S255" s="147" t="s">
        <v>105</v>
      </c>
      <c r="T255" s="147" t="s">
        <v>66</v>
      </c>
      <c r="U255" s="147" t="s">
        <v>45</v>
      </c>
      <c r="V255" s="147" t="s">
        <v>78</v>
      </c>
      <c r="W255" s="153"/>
      <c r="X255" s="153"/>
      <c r="Y255" s="153"/>
      <c r="Z255" s="153"/>
      <c r="AA255" s="154">
        <v>14460.0</v>
      </c>
      <c r="AB255" s="154">
        <v>21690.0</v>
      </c>
      <c r="AC255" s="24" t="s">
        <v>934</v>
      </c>
      <c r="AD255" s="17">
        <v>4251.0</v>
      </c>
      <c r="AE255" s="27" t="s">
        <v>935</v>
      </c>
      <c r="AF255" s="147" t="str">
        <f t="shared" si="1"/>
        <v>Buenos Aires, Argentina</v>
      </c>
      <c r="AG255" s="147">
        <f t="shared" si="2"/>
        <v>4</v>
      </c>
      <c r="AH255" s="155">
        <f t="shared" si="3"/>
        <v>0</v>
      </c>
      <c r="AI255" s="155">
        <f t="shared" si="4"/>
        <v>0</v>
      </c>
      <c r="AJ255" s="154">
        <f t="shared" si="5"/>
        <v>36150</v>
      </c>
      <c r="AK255" s="154">
        <f t="shared" si="6"/>
        <v>36150</v>
      </c>
      <c r="AL255" s="156"/>
      <c r="AM255" s="156"/>
    </row>
    <row r="256">
      <c r="A256" s="147">
        <v>255.0</v>
      </c>
      <c r="B256" s="148">
        <v>43999.0</v>
      </c>
      <c r="C256" s="17">
        <v>62020.0</v>
      </c>
      <c r="D256" s="149" t="s">
        <v>936</v>
      </c>
      <c r="E256" s="147" t="s">
        <v>38</v>
      </c>
      <c r="F256" s="149" t="s">
        <v>517</v>
      </c>
      <c r="G256" s="147" t="s">
        <v>40</v>
      </c>
      <c r="H256" s="147" t="s">
        <v>41</v>
      </c>
      <c r="I256" s="147" t="s">
        <v>42</v>
      </c>
      <c r="J256" s="150">
        <v>1.0</v>
      </c>
      <c r="K256" s="151"/>
      <c r="L256" s="151"/>
      <c r="M256" s="151"/>
      <c r="N256" s="151"/>
      <c r="O256" s="151"/>
      <c r="P256" s="151"/>
      <c r="Q256" s="152"/>
      <c r="R256" s="152"/>
      <c r="S256" s="147" t="s">
        <v>189</v>
      </c>
      <c r="T256" s="157" t="s">
        <v>839</v>
      </c>
      <c r="U256" s="147" t="s">
        <v>163</v>
      </c>
      <c r="V256" s="147" t="s">
        <v>78</v>
      </c>
      <c r="W256" s="153"/>
      <c r="X256" s="153"/>
      <c r="Y256" s="153"/>
      <c r="Z256" s="153"/>
      <c r="AA256" s="154">
        <v>3950.0</v>
      </c>
      <c r="AB256" s="154">
        <v>5925.0</v>
      </c>
      <c r="AC256" s="24" t="s">
        <v>937</v>
      </c>
      <c r="AD256" s="17">
        <v>4253.0</v>
      </c>
      <c r="AE256" s="27" t="s">
        <v>938</v>
      </c>
      <c r="AF256" s="157" t="str">
        <f t="shared" si="1"/>
        <v>Neuquén, Argentina</v>
      </c>
      <c r="AG256" s="157">
        <f t="shared" si="2"/>
        <v>1</v>
      </c>
      <c r="AH256" s="155">
        <f t="shared" si="3"/>
        <v>0</v>
      </c>
      <c r="AI256" s="155">
        <f t="shared" si="4"/>
        <v>0</v>
      </c>
      <c r="AJ256" s="154">
        <f t="shared" si="5"/>
        <v>9875</v>
      </c>
      <c r="AK256" s="154">
        <f t="shared" si="6"/>
        <v>9875</v>
      </c>
      <c r="AL256" s="156"/>
      <c r="AM256" s="156"/>
    </row>
    <row r="257">
      <c r="A257" s="147">
        <v>256.0</v>
      </c>
      <c r="B257" s="148">
        <v>43999.0</v>
      </c>
      <c r="C257" s="17">
        <v>62020.0</v>
      </c>
      <c r="D257" s="149" t="s">
        <v>939</v>
      </c>
      <c r="E257" s="147" t="s">
        <v>38</v>
      </c>
      <c r="F257" s="149" t="s">
        <v>528</v>
      </c>
      <c r="G257" s="147" t="s">
        <v>64</v>
      </c>
      <c r="H257" s="147" t="s">
        <v>41</v>
      </c>
      <c r="I257" s="147" t="s">
        <v>42</v>
      </c>
      <c r="J257" s="150">
        <v>1.0</v>
      </c>
      <c r="K257" s="151"/>
      <c r="L257" s="151"/>
      <c r="M257" s="151"/>
      <c r="N257" s="151"/>
      <c r="O257" s="151"/>
      <c r="P257" s="151"/>
      <c r="Q257" s="152"/>
      <c r="R257" s="152"/>
      <c r="S257" s="147" t="s">
        <v>65</v>
      </c>
      <c r="T257" s="147" t="s">
        <v>58</v>
      </c>
      <c r="U257" s="147" t="s">
        <v>67</v>
      </c>
      <c r="V257" s="147" t="s">
        <v>217</v>
      </c>
      <c r="W257" s="153"/>
      <c r="X257" s="153"/>
      <c r="Y257" s="153"/>
      <c r="Z257" s="153"/>
      <c r="AA257" s="154">
        <v>4080.0</v>
      </c>
      <c r="AB257" s="154">
        <v>6112.0</v>
      </c>
      <c r="AC257" s="24" t="s">
        <v>940</v>
      </c>
      <c r="AD257" s="145">
        <v>4269.0</v>
      </c>
      <c r="AE257" s="27" t="s">
        <v>941</v>
      </c>
      <c r="AF257" s="147" t="str">
        <f t="shared" si="1"/>
        <v>Córdoba, Argentina</v>
      </c>
      <c r="AG257" s="147">
        <f t="shared" si="2"/>
        <v>1</v>
      </c>
      <c r="AH257" s="155">
        <f t="shared" si="3"/>
        <v>0</v>
      </c>
      <c r="AI257" s="155">
        <f t="shared" si="4"/>
        <v>0</v>
      </c>
      <c r="AJ257" s="154">
        <f t="shared" si="5"/>
        <v>10192</v>
      </c>
      <c r="AK257" s="154">
        <f t="shared" si="6"/>
        <v>10192</v>
      </c>
      <c r="AL257" s="156"/>
      <c r="AM257" s="156"/>
    </row>
    <row r="258">
      <c r="A258" s="147">
        <v>257.0</v>
      </c>
      <c r="B258" s="148">
        <v>44001.0</v>
      </c>
      <c r="C258" s="17">
        <v>62020.0</v>
      </c>
      <c r="D258" s="149" t="s">
        <v>942</v>
      </c>
      <c r="E258" s="147" t="s">
        <v>38</v>
      </c>
      <c r="F258" s="149" t="s">
        <v>546</v>
      </c>
      <c r="G258" s="147" t="s">
        <v>40</v>
      </c>
      <c r="H258" s="147" t="s">
        <v>547</v>
      </c>
      <c r="I258" s="147" t="s">
        <v>42</v>
      </c>
      <c r="J258" s="150">
        <v>1.0</v>
      </c>
      <c r="K258" s="151"/>
      <c r="L258" s="151"/>
      <c r="M258" s="151"/>
      <c r="N258" s="151"/>
      <c r="O258" s="151"/>
      <c r="P258" s="151"/>
      <c r="Q258" s="152"/>
      <c r="R258" s="152"/>
      <c r="S258" s="147" t="s">
        <v>114</v>
      </c>
      <c r="T258" s="147" t="s">
        <v>638</v>
      </c>
      <c r="U258" s="147" t="s">
        <v>45</v>
      </c>
      <c r="V258" s="147" t="s">
        <v>46</v>
      </c>
      <c r="W258" s="153"/>
      <c r="X258" s="153"/>
      <c r="Y258" s="153"/>
      <c r="Z258" s="153"/>
      <c r="AA258" s="154">
        <v>1975.0</v>
      </c>
      <c r="AB258" s="154">
        <v>0.0</v>
      </c>
      <c r="AC258" s="24" t="s">
        <v>943</v>
      </c>
      <c r="AD258" s="145">
        <v>4273.0</v>
      </c>
      <c r="AE258" s="27" t="s">
        <v>944</v>
      </c>
      <c r="AF258" s="147" t="str">
        <f t="shared" si="1"/>
        <v>Chaco, Argentina</v>
      </c>
      <c r="AG258" s="147">
        <f t="shared" si="2"/>
        <v>1</v>
      </c>
      <c r="AH258" s="155">
        <f t="shared" si="3"/>
        <v>0</v>
      </c>
      <c r="AI258" s="155">
        <f t="shared" si="4"/>
        <v>0</v>
      </c>
      <c r="AJ258" s="154">
        <f t="shared" si="5"/>
        <v>1975</v>
      </c>
      <c r="AK258" s="154">
        <f t="shared" si="6"/>
        <v>1975</v>
      </c>
      <c r="AL258" s="156"/>
      <c r="AM258" s="156"/>
    </row>
    <row r="259">
      <c r="A259" s="147">
        <v>258.0</v>
      </c>
      <c r="B259" s="148">
        <v>44004.0</v>
      </c>
      <c r="C259" s="17">
        <v>62020.0</v>
      </c>
      <c r="D259" s="149" t="s">
        <v>945</v>
      </c>
      <c r="E259" s="147" t="s">
        <v>38</v>
      </c>
      <c r="F259" s="149" t="s">
        <v>682</v>
      </c>
      <c r="G259" s="147" t="s">
        <v>40</v>
      </c>
      <c r="H259" s="147" t="s">
        <v>41</v>
      </c>
      <c r="I259" s="147" t="s">
        <v>42</v>
      </c>
      <c r="J259" s="150">
        <v>1.0</v>
      </c>
      <c r="K259" s="150">
        <v>1.0</v>
      </c>
      <c r="L259" s="151"/>
      <c r="M259" s="151"/>
      <c r="N259" s="151"/>
      <c r="O259" s="151"/>
      <c r="P259" s="151"/>
      <c r="Q259" s="152"/>
      <c r="R259" s="152"/>
      <c r="S259" s="147" t="s">
        <v>114</v>
      </c>
      <c r="T259" s="147" t="s">
        <v>66</v>
      </c>
      <c r="U259" s="147" t="s">
        <v>342</v>
      </c>
      <c r="V259" s="147" t="s">
        <v>59</v>
      </c>
      <c r="W259" s="153"/>
      <c r="X259" s="153"/>
      <c r="Y259" s="153"/>
      <c r="Z259" s="153"/>
      <c r="AA259" s="154">
        <v>6560.0</v>
      </c>
      <c r="AB259" s="154">
        <v>9840.0</v>
      </c>
      <c r="AC259" s="24" t="s">
        <v>946</v>
      </c>
      <c r="AD259" s="17">
        <v>4277.0</v>
      </c>
      <c r="AE259" s="27" t="s">
        <v>947</v>
      </c>
      <c r="AF259" s="147" t="str">
        <f t="shared" si="1"/>
        <v>Buenos Aires, Argentina</v>
      </c>
      <c r="AG259" s="147">
        <f t="shared" si="2"/>
        <v>2</v>
      </c>
      <c r="AH259" s="155">
        <f t="shared" si="3"/>
        <v>0</v>
      </c>
      <c r="AI259" s="155">
        <f t="shared" si="4"/>
        <v>0</v>
      </c>
      <c r="AJ259" s="154">
        <f t="shared" si="5"/>
        <v>16400</v>
      </c>
      <c r="AK259" s="154">
        <f t="shared" si="6"/>
        <v>16400</v>
      </c>
      <c r="AL259" s="156"/>
      <c r="AM259" s="156"/>
    </row>
    <row r="260">
      <c r="A260" s="147">
        <v>259.0</v>
      </c>
      <c r="B260" s="148">
        <v>44004.0</v>
      </c>
      <c r="C260" s="17">
        <v>62020.0</v>
      </c>
      <c r="D260" s="149" t="s">
        <v>801</v>
      </c>
      <c r="E260" s="147" t="s">
        <v>802</v>
      </c>
      <c r="F260" s="149" t="s">
        <v>948</v>
      </c>
      <c r="G260" s="147" t="s">
        <v>64</v>
      </c>
      <c r="H260" s="147" t="s">
        <v>41</v>
      </c>
      <c r="I260" s="147" t="s">
        <v>42</v>
      </c>
      <c r="J260" s="151"/>
      <c r="K260" s="150">
        <v>1.0</v>
      </c>
      <c r="L260" s="151"/>
      <c r="M260" s="151"/>
      <c r="N260" s="151"/>
      <c r="O260" s="151"/>
      <c r="P260" s="151"/>
      <c r="Q260" s="152"/>
      <c r="R260" s="152"/>
      <c r="S260" s="147" t="s">
        <v>98</v>
      </c>
      <c r="T260" s="147" t="s">
        <v>83</v>
      </c>
      <c r="U260" s="147" t="s">
        <v>99</v>
      </c>
      <c r="V260" s="147" t="s">
        <v>84</v>
      </c>
      <c r="W260" s="153"/>
      <c r="X260" s="153"/>
      <c r="Y260" s="153"/>
      <c r="Z260" s="153"/>
      <c r="AA260" s="154">
        <v>2991.0</v>
      </c>
      <c r="AB260" s="154">
        <v>4487.0</v>
      </c>
      <c r="AC260" s="24" t="s">
        <v>949</v>
      </c>
      <c r="AD260" s="17">
        <v>4275.0</v>
      </c>
      <c r="AE260" s="27" t="s">
        <v>950</v>
      </c>
      <c r="AF260" s="147" t="str">
        <f t="shared" si="1"/>
        <v>Capital Federal, Argentina</v>
      </c>
      <c r="AG260" s="147">
        <f t="shared" si="2"/>
        <v>1</v>
      </c>
      <c r="AH260" s="155">
        <f t="shared" si="3"/>
        <v>0</v>
      </c>
      <c r="AI260" s="155">
        <f t="shared" si="4"/>
        <v>0</v>
      </c>
      <c r="AJ260" s="154">
        <f t="shared" si="5"/>
        <v>7478</v>
      </c>
      <c r="AK260" s="154">
        <f t="shared" si="6"/>
        <v>7478</v>
      </c>
      <c r="AL260" s="156"/>
      <c r="AM260" s="156"/>
    </row>
    <row r="261">
      <c r="A261" s="147">
        <v>260.0</v>
      </c>
      <c r="B261" s="148">
        <v>44006.0</v>
      </c>
      <c r="C261" s="17">
        <v>62020.0</v>
      </c>
      <c r="D261" s="149" t="s">
        <v>951</v>
      </c>
      <c r="E261" s="147" t="s">
        <v>38</v>
      </c>
      <c r="F261" s="149" t="s">
        <v>528</v>
      </c>
      <c r="G261" s="147" t="s">
        <v>64</v>
      </c>
      <c r="H261" s="147" t="s">
        <v>41</v>
      </c>
      <c r="I261" s="147" t="s">
        <v>42</v>
      </c>
      <c r="J261" s="150">
        <v>1.0</v>
      </c>
      <c r="K261" s="151"/>
      <c r="L261" s="151"/>
      <c r="M261" s="151"/>
      <c r="N261" s="151"/>
      <c r="O261" s="151"/>
      <c r="P261" s="151"/>
      <c r="Q261" s="152"/>
      <c r="R261" s="152"/>
      <c r="S261" s="147" t="s">
        <v>167</v>
      </c>
      <c r="T261" s="147" t="s">
        <v>83</v>
      </c>
      <c r="U261" s="147" t="s">
        <v>99</v>
      </c>
      <c r="V261" s="147" t="s">
        <v>59</v>
      </c>
      <c r="W261" s="153"/>
      <c r="X261" s="153"/>
      <c r="Y261" s="153"/>
      <c r="Z261" s="153"/>
      <c r="AA261" s="154">
        <v>4528.0</v>
      </c>
      <c r="AB261" s="154">
        <v>6792.0</v>
      </c>
      <c r="AC261" s="24" t="s">
        <v>846</v>
      </c>
      <c r="AD261" s="17">
        <v>4141.0</v>
      </c>
      <c r="AE261" s="27" t="s">
        <v>952</v>
      </c>
      <c r="AF261" s="147" t="str">
        <f t="shared" si="1"/>
        <v>Capital Federal, Argentina</v>
      </c>
      <c r="AG261" s="147">
        <f t="shared" si="2"/>
        <v>1</v>
      </c>
      <c r="AH261" s="155">
        <f t="shared" si="3"/>
        <v>0</v>
      </c>
      <c r="AI261" s="155">
        <f t="shared" si="4"/>
        <v>0</v>
      </c>
      <c r="AJ261" s="154">
        <f t="shared" si="5"/>
        <v>11320</v>
      </c>
      <c r="AK261" s="154">
        <f t="shared" si="6"/>
        <v>11320</v>
      </c>
      <c r="AL261" s="156"/>
      <c r="AM261" s="156"/>
    </row>
    <row r="262">
      <c r="A262" s="147">
        <v>261.0</v>
      </c>
      <c r="B262" s="148">
        <v>44006.0</v>
      </c>
      <c r="C262" s="17">
        <v>62020.0</v>
      </c>
      <c r="D262" s="149" t="s">
        <v>953</v>
      </c>
      <c r="E262" s="147" t="s">
        <v>38</v>
      </c>
      <c r="F262" s="149" t="s">
        <v>682</v>
      </c>
      <c r="G262" s="147" t="s">
        <v>40</v>
      </c>
      <c r="H262" s="147" t="s">
        <v>41</v>
      </c>
      <c r="I262" s="147" t="s">
        <v>42</v>
      </c>
      <c r="J262" s="150">
        <v>1.0</v>
      </c>
      <c r="K262" s="150">
        <v>1.0</v>
      </c>
      <c r="L262" s="151"/>
      <c r="M262" s="151"/>
      <c r="N262" s="151"/>
      <c r="O262" s="151"/>
      <c r="P262" s="151"/>
      <c r="Q262" s="152"/>
      <c r="R262" s="152"/>
      <c r="S262" s="147" t="s">
        <v>43</v>
      </c>
      <c r="T262" s="147" t="s">
        <v>58</v>
      </c>
      <c r="U262" s="147" t="s">
        <v>163</v>
      </c>
      <c r="V262" s="147" t="s">
        <v>217</v>
      </c>
      <c r="W262" s="153"/>
      <c r="X262" s="153"/>
      <c r="Y262" s="153"/>
      <c r="Z262" s="153"/>
      <c r="AA262" s="154">
        <v>6560.0</v>
      </c>
      <c r="AB262" s="154">
        <v>9840.0</v>
      </c>
      <c r="AC262" s="24" t="s">
        <v>954</v>
      </c>
      <c r="AD262" s="145">
        <v>4271.0</v>
      </c>
      <c r="AE262" s="27" t="s">
        <v>955</v>
      </c>
      <c r="AF262" s="147" t="str">
        <f t="shared" si="1"/>
        <v>Córdoba, Argentina</v>
      </c>
      <c r="AG262" s="147">
        <f t="shared" si="2"/>
        <v>2</v>
      </c>
      <c r="AH262" s="155">
        <f t="shared" si="3"/>
        <v>0</v>
      </c>
      <c r="AI262" s="155">
        <f t="shared" si="4"/>
        <v>0</v>
      </c>
      <c r="AJ262" s="154">
        <f t="shared" si="5"/>
        <v>16400</v>
      </c>
      <c r="AK262" s="154">
        <f t="shared" si="6"/>
        <v>16400</v>
      </c>
      <c r="AL262" s="156"/>
      <c r="AM262" s="156"/>
    </row>
    <row r="263">
      <c r="A263" s="147">
        <v>262.0</v>
      </c>
      <c r="B263" s="148">
        <v>44008.0</v>
      </c>
      <c r="C263" s="17">
        <v>62020.0</v>
      </c>
      <c r="D263" s="149" t="s">
        <v>956</v>
      </c>
      <c r="E263" s="147" t="s">
        <v>38</v>
      </c>
      <c r="F263" s="149" t="s">
        <v>566</v>
      </c>
      <c r="G263" s="147" t="s">
        <v>40</v>
      </c>
      <c r="H263" s="147" t="s">
        <v>547</v>
      </c>
      <c r="I263" s="147" t="s">
        <v>42</v>
      </c>
      <c r="J263" s="150">
        <v>2.0</v>
      </c>
      <c r="K263" s="151"/>
      <c r="L263" s="151"/>
      <c r="M263" s="151"/>
      <c r="N263" s="151"/>
      <c r="O263" s="151"/>
      <c r="P263" s="151"/>
      <c r="Q263" s="152"/>
      <c r="R263" s="152"/>
      <c r="S263" s="147" t="s">
        <v>137</v>
      </c>
      <c r="T263" s="147" t="s">
        <v>73</v>
      </c>
      <c r="U263" s="147" t="s">
        <v>342</v>
      </c>
      <c r="V263" s="147" t="s">
        <v>78</v>
      </c>
      <c r="W263" s="153"/>
      <c r="X263" s="153"/>
      <c r="Y263" s="153"/>
      <c r="Z263" s="153"/>
      <c r="AA263" s="154">
        <v>3950.0</v>
      </c>
      <c r="AB263" s="154">
        <v>0.0</v>
      </c>
      <c r="AC263" s="24" t="s">
        <v>957</v>
      </c>
      <c r="AD263" s="17">
        <v>4285.0</v>
      </c>
      <c r="AE263" s="27" t="s">
        <v>958</v>
      </c>
      <c r="AF263" s="147" t="str">
        <f t="shared" si="1"/>
        <v>Tierra de Fuego, Argentina</v>
      </c>
      <c r="AG263" s="147">
        <f t="shared" si="2"/>
        <v>2</v>
      </c>
      <c r="AH263" s="155">
        <f t="shared" si="3"/>
        <v>0</v>
      </c>
      <c r="AI263" s="155">
        <f t="shared" si="4"/>
        <v>0</v>
      </c>
      <c r="AJ263" s="154">
        <f t="shared" si="5"/>
        <v>3950</v>
      </c>
      <c r="AK263" s="154">
        <f t="shared" si="6"/>
        <v>3950</v>
      </c>
      <c r="AL263" s="156"/>
      <c r="AM263" s="156"/>
    </row>
    <row r="264">
      <c r="A264" s="147">
        <v>263.0</v>
      </c>
      <c r="B264" s="148">
        <v>44008.0</v>
      </c>
      <c r="C264" s="17">
        <v>62020.0</v>
      </c>
      <c r="D264" s="149" t="s">
        <v>118</v>
      </c>
      <c r="E264" s="147" t="s">
        <v>38</v>
      </c>
      <c r="F264" s="149" t="s">
        <v>948</v>
      </c>
      <c r="G264" s="147" t="s">
        <v>64</v>
      </c>
      <c r="H264" s="147" t="s">
        <v>41</v>
      </c>
      <c r="I264" s="147" t="s">
        <v>42</v>
      </c>
      <c r="J264" s="151"/>
      <c r="K264" s="150">
        <v>1.0</v>
      </c>
      <c r="L264" s="151"/>
      <c r="M264" s="151"/>
      <c r="N264" s="151"/>
      <c r="O264" s="151"/>
      <c r="P264" s="151"/>
      <c r="Q264" s="152"/>
      <c r="R264" s="152"/>
      <c r="S264" s="147" t="s">
        <v>65</v>
      </c>
      <c r="T264" s="147" t="s">
        <v>66</v>
      </c>
      <c r="U264" s="147" t="s">
        <v>99</v>
      </c>
      <c r="V264" s="147" t="s">
        <v>84</v>
      </c>
      <c r="W264" s="153"/>
      <c r="X264" s="153"/>
      <c r="Y264" s="153"/>
      <c r="Z264" s="153"/>
      <c r="AA264" s="154">
        <v>3590.0</v>
      </c>
      <c r="AB264" s="154">
        <v>10768.0</v>
      </c>
      <c r="AC264" s="24" t="s">
        <v>959</v>
      </c>
      <c r="AD264" s="17">
        <v>4279.0</v>
      </c>
      <c r="AE264" s="27" t="s">
        <v>960</v>
      </c>
      <c r="AF264" s="147" t="str">
        <f t="shared" si="1"/>
        <v>Buenos Aires, Argentina</v>
      </c>
      <c r="AG264" s="147">
        <f t="shared" si="2"/>
        <v>1</v>
      </c>
      <c r="AH264" s="155">
        <f t="shared" si="3"/>
        <v>0</v>
      </c>
      <c r="AI264" s="155">
        <f t="shared" si="4"/>
        <v>0</v>
      </c>
      <c r="AJ264" s="154">
        <f t="shared" si="5"/>
        <v>14358</v>
      </c>
      <c r="AK264" s="154">
        <f t="shared" si="6"/>
        <v>14358</v>
      </c>
      <c r="AL264" s="156"/>
      <c r="AM264" s="156"/>
    </row>
    <row r="265">
      <c r="A265" s="147">
        <v>264.0</v>
      </c>
      <c r="B265" s="148">
        <v>44008.0</v>
      </c>
      <c r="C265" s="17">
        <v>62020.0</v>
      </c>
      <c r="D265" s="149" t="s">
        <v>961</v>
      </c>
      <c r="E265" s="147" t="s">
        <v>38</v>
      </c>
      <c r="F265" s="149" t="s">
        <v>962</v>
      </c>
      <c r="G265" s="147" t="s">
        <v>40</v>
      </c>
      <c r="H265" s="147" t="s">
        <v>547</v>
      </c>
      <c r="I265" s="147" t="s">
        <v>42</v>
      </c>
      <c r="J265" s="150">
        <v>1.0</v>
      </c>
      <c r="K265" s="150">
        <v>3.0</v>
      </c>
      <c r="L265" s="151"/>
      <c r="M265" s="151"/>
      <c r="N265" s="151"/>
      <c r="O265" s="151"/>
      <c r="P265" s="151"/>
      <c r="Q265" s="152"/>
      <c r="R265" s="152"/>
      <c r="S265" s="147" t="s">
        <v>963</v>
      </c>
      <c r="T265" s="147" t="s">
        <v>879</v>
      </c>
      <c r="U265" s="147" t="s">
        <v>45</v>
      </c>
      <c r="V265" s="147" t="s">
        <v>84</v>
      </c>
      <c r="W265" s="153"/>
      <c r="X265" s="153"/>
      <c r="Y265" s="153"/>
      <c r="Z265" s="153"/>
      <c r="AA265" s="154">
        <v>6690.0</v>
      </c>
      <c r="AB265" s="154">
        <v>0.0</v>
      </c>
      <c r="AC265" s="24" t="s">
        <v>964</v>
      </c>
      <c r="AD265" s="17">
        <v>4281.0</v>
      </c>
      <c r="AE265" s="27" t="s">
        <v>965</v>
      </c>
      <c r="AF265" s="147" t="str">
        <f t="shared" si="1"/>
        <v>Salta, Argentina</v>
      </c>
      <c r="AG265" s="147">
        <f t="shared" si="2"/>
        <v>4</v>
      </c>
      <c r="AH265" s="155">
        <f t="shared" si="3"/>
        <v>0</v>
      </c>
      <c r="AI265" s="155">
        <f t="shared" si="4"/>
        <v>0</v>
      </c>
      <c r="AJ265" s="154">
        <f t="shared" si="5"/>
        <v>6690</v>
      </c>
      <c r="AK265" s="154">
        <f t="shared" si="6"/>
        <v>6690</v>
      </c>
      <c r="AL265" s="156"/>
      <c r="AM265" s="156"/>
    </row>
    <row r="266">
      <c r="A266" s="147">
        <v>265.0</v>
      </c>
      <c r="B266" s="148">
        <v>44008.0</v>
      </c>
      <c r="C266" s="17">
        <v>62020.0</v>
      </c>
      <c r="D266" s="149" t="s">
        <v>966</v>
      </c>
      <c r="E266" s="147" t="s">
        <v>38</v>
      </c>
      <c r="F266" s="149" t="s">
        <v>967</v>
      </c>
      <c r="G266" s="147" t="s">
        <v>64</v>
      </c>
      <c r="H266" s="147" t="s">
        <v>41</v>
      </c>
      <c r="I266" s="147" t="s">
        <v>42</v>
      </c>
      <c r="J266" s="151"/>
      <c r="K266" s="151"/>
      <c r="L266" s="151"/>
      <c r="M266" s="151"/>
      <c r="N266" s="151"/>
      <c r="O266" s="151"/>
      <c r="P266" s="150">
        <v>1.0</v>
      </c>
      <c r="Q266" s="152"/>
      <c r="R266" s="152"/>
      <c r="S266" s="147" t="s">
        <v>82</v>
      </c>
      <c r="T266" s="147" t="s">
        <v>83</v>
      </c>
      <c r="U266" s="147" t="s">
        <v>99</v>
      </c>
      <c r="V266" s="147" t="s">
        <v>84</v>
      </c>
      <c r="W266" s="153"/>
      <c r="X266" s="153"/>
      <c r="Y266" s="153"/>
      <c r="Z266" s="153"/>
      <c r="AA266" s="154">
        <v>0.0</v>
      </c>
      <c r="AB266" s="154">
        <v>13550.0</v>
      </c>
      <c r="AC266" s="24" t="s">
        <v>968</v>
      </c>
      <c r="AD266" s="17">
        <v>4287.0</v>
      </c>
      <c r="AE266" s="27" t="s">
        <v>969</v>
      </c>
      <c r="AF266" s="147" t="str">
        <f t="shared" si="1"/>
        <v>Capital Federal, Argentina</v>
      </c>
      <c r="AG266" s="147">
        <f t="shared" si="2"/>
        <v>1</v>
      </c>
      <c r="AH266" s="155">
        <f t="shared" si="3"/>
        <v>0</v>
      </c>
      <c r="AI266" s="155">
        <f t="shared" si="4"/>
        <v>0</v>
      </c>
      <c r="AJ266" s="154">
        <f t="shared" si="5"/>
        <v>13550</v>
      </c>
      <c r="AK266" s="154">
        <f t="shared" si="6"/>
        <v>13550</v>
      </c>
      <c r="AL266" s="156"/>
      <c r="AM266" s="156"/>
    </row>
    <row r="267">
      <c r="A267" s="147">
        <v>266.0</v>
      </c>
      <c r="B267" s="148">
        <v>44011.0</v>
      </c>
      <c r="C267" s="17">
        <v>62020.0</v>
      </c>
      <c r="D267" s="149" t="s">
        <v>970</v>
      </c>
      <c r="E267" s="147" t="s">
        <v>38</v>
      </c>
      <c r="F267" s="149" t="s">
        <v>971</v>
      </c>
      <c r="G267" s="147" t="s">
        <v>40</v>
      </c>
      <c r="H267" s="147" t="s">
        <v>41</v>
      </c>
      <c r="I267" s="147" t="s">
        <v>42</v>
      </c>
      <c r="J267" s="150">
        <v>4.0</v>
      </c>
      <c r="K267" s="151"/>
      <c r="L267" s="151"/>
      <c r="M267" s="151"/>
      <c r="N267" s="151"/>
      <c r="O267" s="151"/>
      <c r="P267" s="151"/>
      <c r="Q267" s="152"/>
      <c r="R267" s="152"/>
      <c r="S267" s="147" t="s">
        <v>189</v>
      </c>
      <c r="T267" s="147" t="s">
        <v>972</v>
      </c>
      <c r="U267" s="147" t="s">
        <v>45</v>
      </c>
      <c r="V267" s="147" t="s">
        <v>78</v>
      </c>
      <c r="W267" s="153"/>
      <c r="X267" s="153"/>
      <c r="Y267" s="153"/>
      <c r="Z267" s="153"/>
      <c r="AA267" s="154">
        <v>15800.0</v>
      </c>
      <c r="AB267" s="154">
        <v>23700.0</v>
      </c>
      <c r="AC267" s="24" t="s">
        <v>973</v>
      </c>
      <c r="AD267" s="17">
        <v>4291.0</v>
      </c>
      <c r="AE267" s="27" t="s">
        <v>974</v>
      </c>
      <c r="AF267" s="147" t="str">
        <f t="shared" si="1"/>
        <v>Río Negro, Argentina</v>
      </c>
      <c r="AG267" s="147">
        <f t="shared" si="2"/>
        <v>4</v>
      </c>
      <c r="AH267" s="155">
        <f t="shared" si="3"/>
        <v>0</v>
      </c>
      <c r="AI267" s="155">
        <f t="shared" si="4"/>
        <v>0</v>
      </c>
      <c r="AJ267" s="154">
        <f t="shared" si="5"/>
        <v>39500</v>
      </c>
      <c r="AK267" s="154">
        <f t="shared" si="6"/>
        <v>39500</v>
      </c>
      <c r="AL267" s="156"/>
      <c r="AM267" s="156"/>
    </row>
    <row r="268">
      <c r="A268" s="147">
        <v>267.0</v>
      </c>
      <c r="B268" s="148">
        <v>44011.0</v>
      </c>
      <c r="C268" s="17">
        <v>62020.0</v>
      </c>
      <c r="D268" s="149" t="s">
        <v>975</v>
      </c>
      <c r="E268" s="147" t="s">
        <v>38</v>
      </c>
      <c r="F268" s="149" t="s">
        <v>976</v>
      </c>
      <c r="G268" s="147" t="s">
        <v>40</v>
      </c>
      <c r="H268" s="147" t="s">
        <v>41</v>
      </c>
      <c r="I268" s="147" t="s">
        <v>42</v>
      </c>
      <c r="J268" s="150">
        <v>2.0</v>
      </c>
      <c r="K268" s="151"/>
      <c r="L268" s="151"/>
      <c r="M268" s="151"/>
      <c r="N268" s="151"/>
      <c r="O268" s="151"/>
      <c r="P268" s="151"/>
      <c r="Q268" s="152"/>
      <c r="R268" s="152"/>
      <c r="S268" s="147" t="s">
        <v>72</v>
      </c>
      <c r="T268" s="147" t="s">
        <v>83</v>
      </c>
      <c r="U268" s="147" t="s">
        <v>342</v>
      </c>
      <c r="V268" s="147" t="s">
        <v>84</v>
      </c>
      <c r="W268" s="153"/>
      <c r="X268" s="153"/>
      <c r="Y268" s="153"/>
      <c r="Z268" s="153"/>
      <c r="AA268" s="154">
        <v>9500.0</v>
      </c>
      <c r="AB268" s="154">
        <v>23700.0</v>
      </c>
      <c r="AC268" s="24" t="s">
        <v>977</v>
      </c>
      <c r="AD268" s="17">
        <v>4261.0</v>
      </c>
      <c r="AE268" s="27" t="s">
        <v>978</v>
      </c>
      <c r="AF268" s="147" t="str">
        <f t="shared" si="1"/>
        <v>Capital Federal, Argentina</v>
      </c>
      <c r="AG268" s="147">
        <f t="shared" si="2"/>
        <v>2</v>
      </c>
      <c r="AH268" s="155">
        <f t="shared" si="3"/>
        <v>0</v>
      </c>
      <c r="AI268" s="155">
        <f t="shared" si="4"/>
        <v>0</v>
      </c>
      <c r="AJ268" s="154">
        <f t="shared" si="5"/>
        <v>33200</v>
      </c>
      <c r="AK268" s="154">
        <f t="shared" si="6"/>
        <v>33200</v>
      </c>
      <c r="AL268" s="156"/>
      <c r="AM268" s="156"/>
    </row>
    <row r="269">
      <c r="A269" s="147">
        <v>268.0</v>
      </c>
      <c r="B269" s="148">
        <v>44011.0</v>
      </c>
      <c r="C269" s="17">
        <v>62020.0</v>
      </c>
      <c r="D269" s="149" t="s">
        <v>677</v>
      </c>
      <c r="E269" s="147" t="s">
        <v>38</v>
      </c>
      <c r="F269" s="149" t="s">
        <v>979</v>
      </c>
      <c r="G269" s="147" t="s">
        <v>64</v>
      </c>
      <c r="H269" s="147" t="s">
        <v>41</v>
      </c>
      <c r="I269" s="147" t="s">
        <v>42</v>
      </c>
      <c r="J269" s="151"/>
      <c r="K269" s="150">
        <v>2.0</v>
      </c>
      <c r="L269" s="151"/>
      <c r="M269" s="151"/>
      <c r="N269" s="151"/>
      <c r="O269" s="151"/>
      <c r="P269" s="151"/>
      <c r="Q269" s="152"/>
      <c r="R269" s="152"/>
      <c r="S269" s="147" t="s">
        <v>137</v>
      </c>
      <c r="T269" s="147" t="s">
        <v>66</v>
      </c>
      <c r="U269" s="147" t="s">
        <v>67</v>
      </c>
      <c r="V269" s="147" t="s">
        <v>399</v>
      </c>
      <c r="W269" s="153"/>
      <c r="X269" s="153"/>
      <c r="Y269" s="153"/>
      <c r="Z269" s="153"/>
      <c r="AA269" s="154">
        <v>5220.0</v>
      </c>
      <c r="AB269" s="154">
        <v>7830.0</v>
      </c>
      <c r="AC269" s="24" t="s">
        <v>980</v>
      </c>
      <c r="AD269" s="17">
        <v>4295.0</v>
      </c>
      <c r="AE269" s="27" t="s">
        <v>981</v>
      </c>
      <c r="AF269" s="147" t="str">
        <f t="shared" si="1"/>
        <v>Buenos Aires, Argentina</v>
      </c>
      <c r="AG269" s="147">
        <f t="shared" si="2"/>
        <v>2</v>
      </c>
      <c r="AH269" s="155">
        <f t="shared" si="3"/>
        <v>0</v>
      </c>
      <c r="AI269" s="155">
        <f t="shared" si="4"/>
        <v>0</v>
      </c>
      <c r="AJ269" s="154">
        <f t="shared" si="5"/>
        <v>13050</v>
      </c>
      <c r="AK269" s="154">
        <f t="shared" si="6"/>
        <v>13050</v>
      </c>
      <c r="AL269" s="156"/>
      <c r="AM269" s="156"/>
    </row>
    <row r="270">
      <c r="A270" s="147">
        <v>269.0</v>
      </c>
      <c r="B270" s="148">
        <v>44012.0</v>
      </c>
      <c r="C270" s="17">
        <v>62020.0</v>
      </c>
      <c r="D270" s="149" t="s">
        <v>982</v>
      </c>
      <c r="E270" s="147" t="s">
        <v>38</v>
      </c>
      <c r="F270" s="149" t="s">
        <v>983</v>
      </c>
      <c r="G270" s="147" t="s">
        <v>40</v>
      </c>
      <c r="H270" s="147" t="s">
        <v>41</v>
      </c>
      <c r="I270" s="147" t="s">
        <v>42</v>
      </c>
      <c r="J270" s="150">
        <v>2.0</v>
      </c>
      <c r="K270" s="150">
        <v>5.0</v>
      </c>
      <c r="L270" s="151"/>
      <c r="M270" s="151"/>
      <c r="N270" s="151"/>
      <c r="O270" s="151"/>
      <c r="P270" s="151"/>
      <c r="Q270" s="152"/>
      <c r="R270" s="152"/>
      <c r="S270" s="147" t="s">
        <v>43</v>
      </c>
      <c r="T270" s="147" t="s">
        <v>984</v>
      </c>
      <c r="U270" s="147" t="s">
        <v>572</v>
      </c>
      <c r="V270" s="147" t="s">
        <v>217</v>
      </c>
      <c r="W270" s="153"/>
      <c r="X270" s="153"/>
      <c r="Y270" s="153"/>
      <c r="Z270" s="153"/>
      <c r="AA270" s="154">
        <v>20950.0</v>
      </c>
      <c r="AB270" s="154">
        <v>31425.0</v>
      </c>
      <c r="AC270" s="24" t="s">
        <v>985</v>
      </c>
      <c r="AD270" s="145">
        <v>4299.0</v>
      </c>
      <c r="AE270" s="27" t="s">
        <v>986</v>
      </c>
      <c r="AF270" s="147" t="str">
        <f t="shared" si="1"/>
        <v>Santiago del Estero, Argentina</v>
      </c>
      <c r="AG270" s="147">
        <f t="shared" si="2"/>
        <v>7</v>
      </c>
      <c r="AH270" s="155">
        <f t="shared" si="3"/>
        <v>0</v>
      </c>
      <c r="AI270" s="155">
        <f t="shared" si="4"/>
        <v>0</v>
      </c>
      <c r="AJ270" s="154">
        <f t="shared" si="5"/>
        <v>52375</v>
      </c>
      <c r="AK270" s="154">
        <f t="shared" si="6"/>
        <v>52375</v>
      </c>
      <c r="AL270" s="156"/>
      <c r="AM270" s="156"/>
    </row>
    <row r="271">
      <c r="A271" s="104">
        <v>270.0</v>
      </c>
      <c r="B271" s="105">
        <v>44013.0</v>
      </c>
      <c r="C271" s="17">
        <v>72020.0</v>
      </c>
      <c r="D271" s="106" t="s">
        <v>641</v>
      </c>
      <c r="E271" s="104" t="s">
        <v>38</v>
      </c>
      <c r="F271" s="106" t="s">
        <v>987</v>
      </c>
      <c r="G271" s="104" t="s">
        <v>64</v>
      </c>
      <c r="H271" s="104" t="s">
        <v>227</v>
      </c>
      <c r="I271" s="104" t="s">
        <v>643</v>
      </c>
      <c r="J271" s="108"/>
      <c r="K271" s="108"/>
      <c r="L271" s="108"/>
      <c r="M271" s="108"/>
      <c r="N271" s="108"/>
      <c r="O271" s="108"/>
      <c r="P271" s="108"/>
      <c r="Q271" s="109"/>
      <c r="R271" s="109"/>
      <c r="S271" s="104" t="s">
        <v>109</v>
      </c>
      <c r="T271" s="104" t="s">
        <v>83</v>
      </c>
      <c r="U271" s="104" t="s">
        <v>67</v>
      </c>
      <c r="V271" s="104" t="s">
        <v>988</v>
      </c>
      <c r="W271" s="110"/>
      <c r="X271" s="110"/>
      <c r="Y271" s="110"/>
      <c r="Z271" s="110"/>
      <c r="AA271" s="111">
        <v>0.0</v>
      </c>
      <c r="AB271" s="111">
        <v>3955374.0</v>
      </c>
      <c r="AC271" s="38"/>
      <c r="AD271" s="38"/>
      <c r="AE271" s="38"/>
      <c r="AF271" s="104" t="str">
        <f t="shared" si="1"/>
        <v>Capital Federal, Argentina</v>
      </c>
      <c r="AG271" s="104">
        <f t="shared" si="2"/>
        <v>0</v>
      </c>
      <c r="AH271" s="112">
        <f t="shared" si="3"/>
        <v>0</v>
      </c>
      <c r="AI271" s="112">
        <f t="shared" si="4"/>
        <v>0</v>
      </c>
      <c r="AJ271" s="111">
        <f t="shared" si="5"/>
        <v>3955374</v>
      </c>
      <c r="AK271" s="111">
        <f t="shared" si="6"/>
        <v>3955374</v>
      </c>
      <c r="AL271" s="113"/>
      <c r="AM271" s="113"/>
    </row>
    <row r="272">
      <c r="A272" s="104">
        <v>271.0</v>
      </c>
      <c r="B272" s="105">
        <v>44013.0</v>
      </c>
      <c r="C272" s="17">
        <v>72020.0</v>
      </c>
      <c r="D272" s="106" t="s">
        <v>989</v>
      </c>
      <c r="E272" s="104" t="s">
        <v>38</v>
      </c>
      <c r="F272" s="106" t="s">
        <v>990</v>
      </c>
      <c r="G272" s="104" t="s">
        <v>64</v>
      </c>
      <c r="H272" s="104" t="s">
        <v>41</v>
      </c>
      <c r="I272" s="104" t="s">
        <v>42</v>
      </c>
      <c r="J272" s="108"/>
      <c r="K272" s="108"/>
      <c r="L272" s="108"/>
      <c r="M272" s="108"/>
      <c r="N272" s="107">
        <v>1.0</v>
      </c>
      <c r="O272" s="108"/>
      <c r="P272" s="108"/>
      <c r="Q272" s="109"/>
      <c r="R272" s="109"/>
      <c r="S272" s="104" t="s">
        <v>204</v>
      </c>
      <c r="T272" s="158" t="s">
        <v>66</v>
      </c>
      <c r="U272" s="104" t="s">
        <v>99</v>
      </c>
      <c r="V272" s="104" t="s">
        <v>78</v>
      </c>
      <c r="W272" s="111">
        <v>16450.0</v>
      </c>
      <c r="X272" s="111">
        <v>263000.0</v>
      </c>
      <c r="Y272" s="110"/>
      <c r="Z272" s="110"/>
      <c r="AA272" s="110"/>
      <c r="AB272" s="110" t="s">
        <v>926</v>
      </c>
      <c r="AC272" s="24" t="s">
        <v>991</v>
      </c>
      <c r="AD272" s="17">
        <v>4303.0</v>
      </c>
      <c r="AE272" s="27" t="s">
        <v>992</v>
      </c>
      <c r="AF272" s="158" t="str">
        <f t="shared" si="1"/>
        <v>Buenos Aires, Argentina</v>
      </c>
      <c r="AG272" s="158">
        <f t="shared" si="2"/>
        <v>1</v>
      </c>
      <c r="AH272" s="112">
        <f t="shared" si="3"/>
        <v>279450</v>
      </c>
      <c r="AI272" s="112">
        <f t="shared" si="4"/>
        <v>0</v>
      </c>
      <c r="AJ272" s="111">
        <f t="shared" si="5"/>
        <v>0</v>
      </c>
      <c r="AK272" s="111">
        <f t="shared" si="6"/>
        <v>279450</v>
      </c>
      <c r="AL272" s="113"/>
      <c r="AM272" s="113"/>
    </row>
    <row r="273">
      <c r="A273" s="104">
        <v>272.0</v>
      </c>
      <c r="B273" s="105">
        <v>44018.0</v>
      </c>
      <c r="C273" s="17">
        <v>72020.0</v>
      </c>
      <c r="D273" s="106" t="s">
        <v>662</v>
      </c>
      <c r="E273" s="104" t="s">
        <v>38</v>
      </c>
      <c r="F273" s="106" t="s">
        <v>555</v>
      </c>
      <c r="G273" s="104" t="s">
        <v>64</v>
      </c>
      <c r="H273" s="104" t="s">
        <v>41</v>
      </c>
      <c r="I273" s="104" t="s">
        <v>42</v>
      </c>
      <c r="J273" s="108"/>
      <c r="K273" s="108"/>
      <c r="L273" s="108"/>
      <c r="M273" s="107">
        <v>1.0</v>
      </c>
      <c r="N273" s="108"/>
      <c r="O273" s="108"/>
      <c r="P273" s="108"/>
      <c r="Q273" s="109"/>
      <c r="R273" s="109"/>
      <c r="S273" s="104" t="s">
        <v>114</v>
      </c>
      <c r="T273" s="104" t="s">
        <v>83</v>
      </c>
      <c r="U273" s="104" t="s">
        <v>45</v>
      </c>
      <c r="V273" s="104" t="s">
        <v>59</v>
      </c>
      <c r="W273" s="110"/>
      <c r="X273" s="110"/>
      <c r="Y273" s="110"/>
      <c r="Z273" s="110"/>
      <c r="AA273" s="111">
        <v>3950.0</v>
      </c>
      <c r="AB273" s="111">
        <v>0.0</v>
      </c>
      <c r="AC273" s="24" t="s">
        <v>664</v>
      </c>
      <c r="AD273" s="17">
        <v>4005.0</v>
      </c>
      <c r="AE273" s="27" t="s">
        <v>665</v>
      </c>
      <c r="AF273" s="104" t="str">
        <f t="shared" si="1"/>
        <v>Capital Federal, Argentina</v>
      </c>
      <c r="AG273" s="104">
        <f t="shared" si="2"/>
        <v>1</v>
      </c>
      <c r="AH273" s="112">
        <f t="shared" si="3"/>
        <v>0</v>
      </c>
      <c r="AI273" s="112">
        <f t="shared" si="4"/>
        <v>0</v>
      </c>
      <c r="AJ273" s="111">
        <f t="shared" si="5"/>
        <v>3950</v>
      </c>
      <c r="AK273" s="111">
        <f t="shared" si="6"/>
        <v>3950</v>
      </c>
      <c r="AL273" s="113"/>
      <c r="AM273" s="113"/>
    </row>
    <row r="274">
      <c r="A274" s="104">
        <v>273.0</v>
      </c>
      <c r="B274" s="105">
        <v>44018.0</v>
      </c>
      <c r="C274" s="17">
        <v>72020.0</v>
      </c>
      <c r="D274" s="106" t="s">
        <v>993</v>
      </c>
      <c r="E274" s="104" t="s">
        <v>38</v>
      </c>
      <c r="F274" s="106" t="s">
        <v>994</v>
      </c>
      <c r="G274" s="104" t="s">
        <v>40</v>
      </c>
      <c r="H274" s="104" t="s">
        <v>41</v>
      </c>
      <c r="I274" s="104" t="s">
        <v>42</v>
      </c>
      <c r="J274" s="107">
        <v>1.0</v>
      </c>
      <c r="K274" s="108"/>
      <c r="L274" s="108"/>
      <c r="M274" s="108"/>
      <c r="N274" s="108"/>
      <c r="O274" s="108"/>
      <c r="P274" s="108"/>
      <c r="Q274" s="109"/>
      <c r="R274" s="109"/>
      <c r="S274" s="104" t="s">
        <v>98</v>
      </c>
      <c r="T274" s="104" t="s">
        <v>83</v>
      </c>
      <c r="U274" s="104" t="s">
        <v>163</v>
      </c>
      <c r="V274" s="104" t="s">
        <v>84</v>
      </c>
      <c r="W274" s="110"/>
      <c r="X274" s="110"/>
      <c r="Y274" s="110"/>
      <c r="Z274" s="110"/>
      <c r="AA274" s="111">
        <v>5550.0</v>
      </c>
      <c r="AB274" s="111">
        <v>11850.0</v>
      </c>
      <c r="AC274" s="24" t="s">
        <v>995</v>
      </c>
      <c r="AD274" s="17">
        <v>4309.0</v>
      </c>
      <c r="AE274" s="27" t="s">
        <v>996</v>
      </c>
      <c r="AF274" s="104" t="str">
        <f t="shared" si="1"/>
        <v>Capital Federal, Argentina</v>
      </c>
      <c r="AG274" s="104">
        <f t="shared" si="2"/>
        <v>1</v>
      </c>
      <c r="AH274" s="112">
        <f t="shared" si="3"/>
        <v>0</v>
      </c>
      <c r="AI274" s="112">
        <f t="shared" si="4"/>
        <v>0</v>
      </c>
      <c r="AJ274" s="111">
        <f t="shared" si="5"/>
        <v>17400</v>
      </c>
      <c r="AK274" s="111">
        <f t="shared" si="6"/>
        <v>17400</v>
      </c>
      <c r="AL274" s="113"/>
      <c r="AM274" s="113"/>
    </row>
    <row r="275">
      <c r="A275" s="104">
        <v>274.0</v>
      </c>
      <c r="B275" s="105">
        <v>44018.0</v>
      </c>
      <c r="C275" s="17">
        <v>72020.0</v>
      </c>
      <c r="D275" s="106" t="s">
        <v>749</v>
      </c>
      <c r="E275" s="104" t="s">
        <v>38</v>
      </c>
      <c r="F275" s="106" t="s">
        <v>997</v>
      </c>
      <c r="G275" s="104" t="s">
        <v>64</v>
      </c>
      <c r="H275" s="104" t="s">
        <v>41</v>
      </c>
      <c r="I275" s="104" t="s">
        <v>42</v>
      </c>
      <c r="J275" s="108"/>
      <c r="K275" s="108"/>
      <c r="L275" s="108"/>
      <c r="M275" s="108"/>
      <c r="N275" s="108"/>
      <c r="O275" s="108"/>
      <c r="P275" s="107">
        <v>1.0</v>
      </c>
      <c r="Q275" s="109"/>
      <c r="R275" s="109"/>
      <c r="S275" s="104" t="s">
        <v>98</v>
      </c>
      <c r="T275" s="104" t="s">
        <v>73</v>
      </c>
      <c r="U275" s="104" t="s">
        <v>67</v>
      </c>
      <c r="V275" s="104" t="s">
        <v>78</v>
      </c>
      <c r="W275" s="111">
        <v>1600.0</v>
      </c>
      <c r="X275" s="110"/>
      <c r="Y275" s="110"/>
      <c r="Z275" s="110"/>
      <c r="AA275" s="110"/>
      <c r="AB275" s="111">
        <v>0.0</v>
      </c>
      <c r="AC275" s="24" t="s">
        <v>750</v>
      </c>
      <c r="AD275" s="17">
        <v>4075.0</v>
      </c>
      <c r="AE275" s="27" t="s">
        <v>998</v>
      </c>
      <c r="AF275" s="104" t="str">
        <f t="shared" si="1"/>
        <v>Tierra de Fuego, Argentina</v>
      </c>
      <c r="AG275" s="104">
        <f t="shared" si="2"/>
        <v>1</v>
      </c>
      <c r="AH275" s="112">
        <f t="shared" si="3"/>
        <v>1600</v>
      </c>
      <c r="AI275" s="112">
        <f t="shared" si="4"/>
        <v>0</v>
      </c>
      <c r="AJ275" s="111">
        <f t="shared" si="5"/>
        <v>0</v>
      </c>
      <c r="AK275" s="111">
        <f t="shared" si="6"/>
        <v>1600</v>
      </c>
      <c r="AL275" s="113"/>
      <c r="AM275" s="113"/>
    </row>
    <row r="276">
      <c r="A276" s="104">
        <v>275.0</v>
      </c>
      <c r="B276" s="105">
        <v>44018.0</v>
      </c>
      <c r="C276" s="17">
        <v>72020.0</v>
      </c>
      <c r="D276" s="106" t="s">
        <v>607</v>
      </c>
      <c r="E276" s="104" t="s">
        <v>38</v>
      </c>
      <c r="F276" s="106" t="s">
        <v>555</v>
      </c>
      <c r="G276" s="104" t="s">
        <v>64</v>
      </c>
      <c r="H276" s="104" t="s">
        <v>41</v>
      </c>
      <c r="I276" s="104" t="s">
        <v>42</v>
      </c>
      <c r="J276" s="108"/>
      <c r="K276" s="108"/>
      <c r="L276" s="108"/>
      <c r="M276" s="107">
        <v>1.0</v>
      </c>
      <c r="N276" s="108"/>
      <c r="O276" s="108"/>
      <c r="P276" s="108"/>
      <c r="Q276" s="109"/>
      <c r="R276" s="109"/>
      <c r="S276" s="104" t="s">
        <v>189</v>
      </c>
      <c r="T276" s="104" t="s">
        <v>66</v>
      </c>
      <c r="U276" s="104" t="s">
        <v>163</v>
      </c>
      <c r="V276" s="104" t="s">
        <v>59</v>
      </c>
      <c r="W276" s="110"/>
      <c r="X276" s="110"/>
      <c r="Y276" s="110"/>
      <c r="Z276" s="110"/>
      <c r="AA276" s="111">
        <v>3950.0</v>
      </c>
      <c r="AB276" s="111">
        <v>0.0</v>
      </c>
      <c r="AC276" s="24" t="s">
        <v>608</v>
      </c>
      <c r="AD276" s="17">
        <v>3767.0</v>
      </c>
      <c r="AE276" s="27" t="s">
        <v>609</v>
      </c>
      <c r="AF276" s="104" t="str">
        <f t="shared" si="1"/>
        <v>Buenos Aires, Argentina</v>
      </c>
      <c r="AG276" s="104">
        <f t="shared" si="2"/>
        <v>1</v>
      </c>
      <c r="AH276" s="112">
        <f t="shared" si="3"/>
        <v>0</v>
      </c>
      <c r="AI276" s="112">
        <f t="shared" si="4"/>
        <v>0</v>
      </c>
      <c r="AJ276" s="111">
        <f t="shared" si="5"/>
        <v>3950</v>
      </c>
      <c r="AK276" s="111">
        <f t="shared" si="6"/>
        <v>3950</v>
      </c>
      <c r="AL276" s="113"/>
      <c r="AM276" s="113"/>
    </row>
    <row r="277">
      <c r="A277" s="104">
        <v>276.0</v>
      </c>
      <c r="B277" s="105">
        <v>44018.0</v>
      </c>
      <c r="C277" s="17">
        <v>72020.0</v>
      </c>
      <c r="D277" s="106" t="s">
        <v>780</v>
      </c>
      <c r="E277" s="104" t="s">
        <v>38</v>
      </c>
      <c r="F277" s="106" t="s">
        <v>555</v>
      </c>
      <c r="G277" s="104" t="s">
        <v>40</v>
      </c>
      <c r="H277" s="104" t="s">
        <v>41</v>
      </c>
      <c r="I277" s="104" t="s">
        <v>42</v>
      </c>
      <c r="J277" s="108"/>
      <c r="K277" s="108"/>
      <c r="L277" s="108"/>
      <c r="M277" s="107">
        <v>1.0</v>
      </c>
      <c r="N277" s="108"/>
      <c r="O277" s="108"/>
      <c r="P277" s="108"/>
      <c r="Q277" s="109"/>
      <c r="R277" s="109"/>
      <c r="S277" s="104" t="s">
        <v>137</v>
      </c>
      <c r="T277" s="104" t="s">
        <v>66</v>
      </c>
      <c r="U277" s="104" t="s">
        <v>67</v>
      </c>
      <c r="V277" s="104" t="s">
        <v>78</v>
      </c>
      <c r="W277" s="110"/>
      <c r="X277" s="110"/>
      <c r="Y277" s="110"/>
      <c r="Z277" s="110"/>
      <c r="AA277" s="111">
        <v>3950.0</v>
      </c>
      <c r="AB277" s="111">
        <v>0.0</v>
      </c>
      <c r="AC277" s="24" t="s">
        <v>782</v>
      </c>
      <c r="AD277" s="17">
        <v>4095.0</v>
      </c>
      <c r="AE277" s="27" t="s">
        <v>783</v>
      </c>
      <c r="AF277" s="104" t="str">
        <f t="shared" si="1"/>
        <v>Buenos Aires, Argentina</v>
      </c>
      <c r="AG277" s="104">
        <f t="shared" si="2"/>
        <v>1</v>
      </c>
      <c r="AH277" s="112">
        <f t="shared" si="3"/>
        <v>0</v>
      </c>
      <c r="AI277" s="112">
        <f t="shared" si="4"/>
        <v>0</v>
      </c>
      <c r="AJ277" s="111">
        <f t="shared" si="5"/>
        <v>3950</v>
      </c>
      <c r="AK277" s="111">
        <f t="shared" si="6"/>
        <v>3950</v>
      </c>
      <c r="AL277" s="113"/>
      <c r="AM277" s="113"/>
    </row>
    <row r="278">
      <c r="A278" s="104">
        <v>277.0</v>
      </c>
      <c r="B278" s="105">
        <v>44020.0</v>
      </c>
      <c r="C278" s="17">
        <v>72020.0</v>
      </c>
      <c r="D278" s="106" t="s">
        <v>999</v>
      </c>
      <c r="E278" s="104" t="s">
        <v>1000</v>
      </c>
      <c r="F278" s="106" t="s">
        <v>1001</v>
      </c>
      <c r="G278" s="104" t="s">
        <v>40</v>
      </c>
      <c r="H278" s="104" t="s">
        <v>41</v>
      </c>
      <c r="I278" s="104" t="s">
        <v>42</v>
      </c>
      <c r="J278" s="107">
        <v>1.0</v>
      </c>
      <c r="K278" s="108"/>
      <c r="L278" s="108"/>
      <c r="M278" s="107">
        <v>1.0</v>
      </c>
      <c r="N278" s="108"/>
      <c r="O278" s="108"/>
      <c r="P278" s="108"/>
      <c r="Q278" s="109"/>
      <c r="R278" s="109"/>
      <c r="S278" s="104" t="s">
        <v>65</v>
      </c>
      <c r="T278" s="104" t="s">
        <v>66</v>
      </c>
      <c r="U278" s="104" t="s">
        <v>53</v>
      </c>
      <c r="V278" s="104" t="s">
        <v>84</v>
      </c>
      <c r="W278" s="110"/>
      <c r="X278" s="110"/>
      <c r="Y278" s="110"/>
      <c r="Z278" s="110"/>
      <c r="AA278" s="111">
        <v>4315.0</v>
      </c>
      <c r="AB278" s="111">
        <v>21618.0</v>
      </c>
      <c r="AC278" s="24" t="s">
        <v>1002</v>
      </c>
      <c r="AD278" s="17">
        <v>4315.0</v>
      </c>
      <c r="AE278" s="27" t="s">
        <v>1003</v>
      </c>
      <c r="AF278" s="104" t="str">
        <f t="shared" si="1"/>
        <v>Buenos Aires, Argentina</v>
      </c>
      <c r="AG278" s="104">
        <f t="shared" si="2"/>
        <v>2</v>
      </c>
      <c r="AH278" s="112">
        <f t="shared" si="3"/>
        <v>0</v>
      </c>
      <c r="AI278" s="112">
        <f t="shared" si="4"/>
        <v>0</v>
      </c>
      <c r="AJ278" s="111">
        <f t="shared" si="5"/>
        <v>25933</v>
      </c>
      <c r="AK278" s="111">
        <f t="shared" si="6"/>
        <v>25933</v>
      </c>
      <c r="AL278" s="113"/>
      <c r="AM278" s="113"/>
    </row>
    <row r="279">
      <c r="A279" s="104">
        <v>278.0</v>
      </c>
      <c r="B279" s="105">
        <v>44020.0</v>
      </c>
      <c r="C279" s="17">
        <v>72020.0</v>
      </c>
      <c r="D279" s="106" t="s">
        <v>1004</v>
      </c>
      <c r="E279" s="104" t="s">
        <v>38</v>
      </c>
      <c r="F279" s="106" t="s">
        <v>682</v>
      </c>
      <c r="G279" s="104" t="s">
        <v>40</v>
      </c>
      <c r="H279" s="104" t="s">
        <v>41</v>
      </c>
      <c r="I279" s="104" t="s">
        <v>42</v>
      </c>
      <c r="J279" s="107">
        <v>1.0</v>
      </c>
      <c r="K279" s="107">
        <v>1.0</v>
      </c>
      <c r="L279" s="108"/>
      <c r="M279" s="108"/>
      <c r="N279" s="108"/>
      <c r="O279" s="108"/>
      <c r="P279" s="108"/>
      <c r="Q279" s="109"/>
      <c r="R279" s="109"/>
      <c r="S279" s="104" t="s">
        <v>167</v>
      </c>
      <c r="T279" s="104" t="s">
        <v>58</v>
      </c>
      <c r="U279" s="104" t="s">
        <v>163</v>
      </c>
      <c r="V279" s="104" t="s">
        <v>217</v>
      </c>
      <c r="W279" s="110"/>
      <c r="X279" s="110"/>
      <c r="Y279" s="110"/>
      <c r="Z279" s="110"/>
      <c r="AA279" s="111">
        <v>6560.0</v>
      </c>
      <c r="AB279" s="111">
        <v>9840.0</v>
      </c>
      <c r="AC279" s="24" t="s">
        <v>1005</v>
      </c>
      <c r="AD279" s="159">
        <v>4327.0</v>
      </c>
      <c r="AE279" s="82" t="s">
        <v>1006</v>
      </c>
      <c r="AF279" s="104" t="str">
        <f t="shared" si="1"/>
        <v>Córdoba, Argentina</v>
      </c>
      <c r="AG279" s="104">
        <f t="shared" si="2"/>
        <v>2</v>
      </c>
      <c r="AH279" s="112">
        <f t="shared" si="3"/>
        <v>0</v>
      </c>
      <c r="AI279" s="112">
        <f t="shared" si="4"/>
        <v>0</v>
      </c>
      <c r="AJ279" s="111">
        <f t="shared" si="5"/>
        <v>16400</v>
      </c>
      <c r="AK279" s="111">
        <f t="shared" si="6"/>
        <v>16400</v>
      </c>
      <c r="AL279" s="113"/>
      <c r="AM279" s="113"/>
    </row>
    <row r="280">
      <c r="A280" s="104">
        <v>279.0</v>
      </c>
      <c r="B280" s="105">
        <v>44020.0</v>
      </c>
      <c r="C280" s="17">
        <v>72020.0</v>
      </c>
      <c r="D280" s="106" t="s">
        <v>1007</v>
      </c>
      <c r="E280" s="104" t="s">
        <v>38</v>
      </c>
      <c r="F280" s="106" t="s">
        <v>1008</v>
      </c>
      <c r="G280" s="104" t="s">
        <v>40</v>
      </c>
      <c r="H280" s="104" t="s">
        <v>41</v>
      </c>
      <c r="I280" s="104" t="s">
        <v>42</v>
      </c>
      <c r="J280" s="107">
        <v>1.0</v>
      </c>
      <c r="K280" s="107">
        <v>2.0</v>
      </c>
      <c r="L280" s="108"/>
      <c r="M280" s="108"/>
      <c r="N280" s="108"/>
      <c r="O280" s="108"/>
      <c r="P280" s="108"/>
      <c r="Q280" s="109"/>
      <c r="R280" s="109"/>
      <c r="S280" s="104" t="s">
        <v>51</v>
      </c>
      <c r="T280" s="104" t="s">
        <v>66</v>
      </c>
      <c r="U280" s="104" t="s">
        <v>45</v>
      </c>
      <c r="V280" s="104" t="s">
        <v>59</v>
      </c>
      <c r="W280" s="110"/>
      <c r="X280" s="110"/>
      <c r="Y280" s="110"/>
      <c r="Z280" s="110"/>
      <c r="AA280" s="111">
        <v>9170.0</v>
      </c>
      <c r="AB280" s="111">
        <v>13755.0</v>
      </c>
      <c r="AC280" s="24" t="s">
        <v>1009</v>
      </c>
      <c r="AD280" s="17">
        <v>4317.0</v>
      </c>
      <c r="AE280" s="27" t="s">
        <v>1010</v>
      </c>
      <c r="AF280" s="104" t="str">
        <f t="shared" si="1"/>
        <v>Buenos Aires, Argentina</v>
      </c>
      <c r="AG280" s="104">
        <f t="shared" si="2"/>
        <v>3</v>
      </c>
      <c r="AH280" s="112">
        <f t="shared" si="3"/>
        <v>0</v>
      </c>
      <c r="AI280" s="112">
        <f t="shared" si="4"/>
        <v>0</v>
      </c>
      <c r="AJ280" s="111">
        <f t="shared" si="5"/>
        <v>22925</v>
      </c>
      <c r="AK280" s="111">
        <f t="shared" si="6"/>
        <v>22925</v>
      </c>
      <c r="AL280" s="113"/>
      <c r="AM280" s="113"/>
    </row>
    <row r="281">
      <c r="A281" s="104">
        <v>280.0</v>
      </c>
      <c r="B281" s="105">
        <v>44020.0</v>
      </c>
      <c r="C281" s="17">
        <v>72020.0</v>
      </c>
      <c r="D281" s="106" t="s">
        <v>1011</v>
      </c>
      <c r="E281" s="104" t="s">
        <v>38</v>
      </c>
      <c r="F281" s="106" t="s">
        <v>1012</v>
      </c>
      <c r="G281" s="104" t="s">
        <v>64</v>
      </c>
      <c r="H281" s="104" t="s">
        <v>41</v>
      </c>
      <c r="I281" s="104" t="s">
        <v>42</v>
      </c>
      <c r="J281" s="108"/>
      <c r="K281" s="108"/>
      <c r="L281" s="108"/>
      <c r="M281" s="108"/>
      <c r="N281" s="107">
        <v>1.0</v>
      </c>
      <c r="O281" s="108"/>
      <c r="P281" s="108"/>
      <c r="Q281" s="109"/>
      <c r="R281" s="109"/>
      <c r="S281" s="104" t="s">
        <v>114</v>
      </c>
      <c r="T281" s="104" t="s">
        <v>66</v>
      </c>
      <c r="U281" s="104" t="s">
        <v>67</v>
      </c>
      <c r="V281" s="104" t="s">
        <v>84</v>
      </c>
      <c r="W281" s="111">
        <v>13500.0</v>
      </c>
      <c r="X281" s="111">
        <v>429000.0</v>
      </c>
      <c r="Y281" s="110"/>
      <c r="Z281" s="110"/>
      <c r="AA281" s="111">
        <v>5339.0</v>
      </c>
      <c r="AB281" s="111">
        <v>0.0</v>
      </c>
      <c r="AC281" s="24" t="s">
        <v>1013</v>
      </c>
      <c r="AD281" s="17">
        <v>4319.0</v>
      </c>
      <c r="AE281" s="27" t="s">
        <v>1014</v>
      </c>
      <c r="AF281" s="104" t="str">
        <f t="shared" si="1"/>
        <v>Buenos Aires, Argentina</v>
      </c>
      <c r="AG281" s="104">
        <f t="shared" si="2"/>
        <v>1</v>
      </c>
      <c r="AH281" s="112">
        <f t="shared" si="3"/>
        <v>442500</v>
      </c>
      <c r="AI281" s="112">
        <f t="shared" si="4"/>
        <v>0</v>
      </c>
      <c r="AJ281" s="111">
        <f t="shared" si="5"/>
        <v>5339</v>
      </c>
      <c r="AK281" s="111">
        <f t="shared" si="6"/>
        <v>447839</v>
      </c>
      <c r="AL281" s="113"/>
      <c r="AM281" s="113"/>
    </row>
    <row r="282">
      <c r="A282" s="104">
        <v>281.0</v>
      </c>
      <c r="B282" s="105">
        <v>44025.0</v>
      </c>
      <c r="C282" s="17">
        <v>72020.0</v>
      </c>
      <c r="D282" s="106" t="s">
        <v>1011</v>
      </c>
      <c r="E282" s="104" t="s">
        <v>38</v>
      </c>
      <c r="F282" s="106" t="s">
        <v>948</v>
      </c>
      <c r="G282" s="104" t="s">
        <v>64</v>
      </c>
      <c r="H282" s="104" t="s">
        <v>41</v>
      </c>
      <c r="I282" s="104" t="s">
        <v>42</v>
      </c>
      <c r="J282" s="108"/>
      <c r="K282" s="107">
        <v>1.0</v>
      </c>
      <c r="L282" s="108"/>
      <c r="M282" s="108"/>
      <c r="N282" s="108"/>
      <c r="O282" s="108"/>
      <c r="P282" s="108"/>
      <c r="Q282" s="109"/>
      <c r="R282" s="109"/>
      <c r="S282" s="104" t="s">
        <v>114</v>
      </c>
      <c r="T282" s="104" t="s">
        <v>66</v>
      </c>
      <c r="U282" s="104" t="s">
        <v>67</v>
      </c>
      <c r="V282" s="104" t="s">
        <v>84</v>
      </c>
      <c r="W282" s="110"/>
      <c r="X282" s="110"/>
      <c r="Y282" s="110"/>
      <c r="Z282" s="110"/>
      <c r="AA282" s="111">
        <v>2991.0</v>
      </c>
      <c r="AB282" s="111">
        <v>8973.0</v>
      </c>
      <c r="AC282" s="24" t="s">
        <v>1015</v>
      </c>
      <c r="AD282" s="17">
        <v>4325.0</v>
      </c>
      <c r="AE282" s="27" t="s">
        <v>1016</v>
      </c>
      <c r="AF282" s="104" t="str">
        <f t="shared" si="1"/>
        <v>Buenos Aires, Argentina</v>
      </c>
      <c r="AG282" s="104">
        <f t="shared" si="2"/>
        <v>1</v>
      </c>
      <c r="AH282" s="112">
        <f t="shared" si="3"/>
        <v>0</v>
      </c>
      <c r="AI282" s="112">
        <f t="shared" si="4"/>
        <v>0</v>
      </c>
      <c r="AJ282" s="111">
        <f t="shared" si="5"/>
        <v>11964</v>
      </c>
      <c r="AK282" s="111">
        <f t="shared" si="6"/>
        <v>11964</v>
      </c>
      <c r="AL282" s="113"/>
      <c r="AM282" s="113"/>
    </row>
    <row r="283">
      <c r="A283" s="104">
        <v>282.0</v>
      </c>
      <c r="B283" s="105">
        <v>44026.0</v>
      </c>
      <c r="C283" s="17">
        <v>72020.0</v>
      </c>
      <c r="D283" s="106" t="s">
        <v>1017</v>
      </c>
      <c r="E283" s="104" t="s">
        <v>38</v>
      </c>
      <c r="F283" s="106" t="s">
        <v>1018</v>
      </c>
      <c r="G283" s="104" t="s">
        <v>64</v>
      </c>
      <c r="H283" s="104" t="s">
        <v>547</v>
      </c>
      <c r="I283" s="104" t="s">
        <v>42</v>
      </c>
      <c r="J283" s="108"/>
      <c r="K283" s="108"/>
      <c r="L283" s="108"/>
      <c r="M283" s="107">
        <v>1.0</v>
      </c>
      <c r="N283" s="108"/>
      <c r="O283" s="108"/>
      <c r="P283" s="108"/>
      <c r="Q283" s="109"/>
      <c r="R283" s="109"/>
      <c r="S283" s="104" t="s">
        <v>137</v>
      </c>
      <c r="T283" s="104" t="s">
        <v>263</v>
      </c>
      <c r="U283" s="104" t="s">
        <v>626</v>
      </c>
      <c r="V283" s="104" t="s">
        <v>46</v>
      </c>
      <c r="W283" s="110"/>
      <c r="X283" s="110"/>
      <c r="Y283" s="110"/>
      <c r="Z283" s="110"/>
      <c r="AA283" s="111">
        <v>1975.0</v>
      </c>
      <c r="AB283" s="111">
        <v>0.0</v>
      </c>
      <c r="AC283" s="24" t="s">
        <v>627</v>
      </c>
      <c r="AD283" s="81">
        <v>3423.0</v>
      </c>
      <c r="AE283" s="82" t="s">
        <v>628</v>
      </c>
      <c r="AF283" s="104" t="str">
        <f t="shared" si="1"/>
        <v>Santa Fé, Argentina</v>
      </c>
      <c r="AG283" s="104">
        <f t="shared" si="2"/>
        <v>1</v>
      </c>
      <c r="AH283" s="112">
        <f t="shared" si="3"/>
        <v>0</v>
      </c>
      <c r="AI283" s="112">
        <f t="shared" si="4"/>
        <v>0</v>
      </c>
      <c r="AJ283" s="111">
        <f t="shared" si="5"/>
        <v>1975</v>
      </c>
      <c r="AK283" s="111">
        <f t="shared" si="6"/>
        <v>1975</v>
      </c>
      <c r="AL283" s="113"/>
      <c r="AM283" s="113"/>
    </row>
    <row r="284">
      <c r="A284" s="104">
        <v>283.0</v>
      </c>
      <c r="B284" s="105">
        <v>44027.0</v>
      </c>
      <c r="C284" s="17">
        <v>72020.0</v>
      </c>
      <c r="D284" s="106" t="s">
        <v>1019</v>
      </c>
      <c r="E284" s="104" t="s">
        <v>38</v>
      </c>
      <c r="F284" s="106" t="s">
        <v>566</v>
      </c>
      <c r="G284" s="104" t="s">
        <v>40</v>
      </c>
      <c r="H284" s="104" t="s">
        <v>547</v>
      </c>
      <c r="I284" s="104" t="s">
        <v>42</v>
      </c>
      <c r="J284" s="107">
        <v>2.0</v>
      </c>
      <c r="K284" s="108"/>
      <c r="L284" s="108"/>
      <c r="M284" s="108"/>
      <c r="N284" s="108"/>
      <c r="O284" s="108"/>
      <c r="P284" s="108"/>
      <c r="Q284" s="109"/>
      <c r="R284" s="109"/>
      <c r="S284" s="104" t="s">
        <v>105</v>
      </c>
      <c r="T284" s="104" t="s">
        <v>66</v>
      </c>
      <c r="U284" s="104" t="s">
        <v>342</v>
      </c>
      <c r="V284" s="104" t="s">
        <v>217</v>
      </c>
      <c r="W284" s="110"/>
      <c r="X284" s="110"/>
      <c r="Y284" s="110"/>
      <c r="Z284" s="110"/>
      <c r="AA284" s="111">
        <v>3950.0</v>
      </c>
      <c r="AB284" s="111">
        <v>0.0</v>
      </c>
      <c r="AC284" s="24" t="s">
        <v>1020</v>
      </c>
      <c r="AD284" s="145">
        <v>4333.0</v>
      </c>
      <c r="AE284" s="27" t="s">
        <v>1021</v>
      </c>
      <c r="AF284" s="104" t="str">
        <f t="shared" si="1"/>
        <v>Buenos Aires, Argentina</v>
      </c>
      <c r="AG284" s="104">
        <f t="shared" si="2"/>
        <v>2</v>
      </c>
      <c r="AH284" s="112">
        <f t="shared" si="3"/>
        <v>0</v>
      </c>
      <c r="AI284" s="112">
        <f t="shared" si="4"/>
        <v>0</v>
      </c>
      <c r="AJ284" s="111">
        <f t="shared" si="5"/>
        <v>3950</v>
      </c>
      <c r="AK284" s="111">
        <f t="shared" si="6"/>
        <v>3950</v>
      </c>
      <c r="AL284" s="113"/>
      <c r="AM284" s="113"/>
    </row>
    <row r="285">
      <c r="A285" s="104">
        <v>284.0</v>
      </c>
      <c r="B285" s="105">
        <v>44028.0</v>
      </c>
      <c r="C285" s="17">
        <v>72020.0</v>
      </c>
      <c r="D285" s="106" t="s">
        <v>746</v>
      </c>
      <c r="E285" s="104" t="s">
        <v>38</v>
      </c>
      <c r="F285" s="106" t="s">
        <v>1018</v>
      </c>
      <c r="G285" s="104" t="s">
        <v>64</v>
      </c>
      <c r="H285" s="104" t="s">
        <v>547</v>
      </c>
      <c r="I285" s="104" t="s">
        <v>42</v>
      </c>
      <c r="J285" s="108"/>
      <c r="K285" s="108"/>
      <c r="L285" s="108"/>
      <c r="M285" s="107">
        <v>1.0</v>
      </c>
      <c r="N285" s="108"/>
      <c r="O285" s="108"/>
      <c r="P285" s="108"/>
      <c r="Q285" s="109"/>
      <c r="R285" s="109"/>
      <c r="S285" s="104" t="s">
        <v>189</v>
      </c>
      <c r="T285" s="104" t="s">
        <v>66</v>
      </c>
      <c r="U285" s="104" t="s">
        <v>45</v>
      </c>
      <c r="V285" s="104" t="s">
        <v>59</v>
      </c>
      <c r="W285" s="110"/>
      <c r="X285" s="110"/>
      <c r="Y285" s="110"/>
      <c r="Z285" s="110"/>
      <c r="AA285" s="111">
        <v>1975.0</v>
      </c>
      <c r="AB285" s="111">
        <v>0.0</v>
      </c>
      <c r="AC285" s="24" t="s">
        <v>747</v>
      </c>
      <c r="AD285" s="17">
        <v>4077.0</v>
      </c>
      <c r="AE285" s="27" t="s">
        <v>1022</v>
      </c>
      <c r="AF285" s="104" t="str">
        <f t="shared" si="1"/>
        <v>Buenos Aires, Argentina</v>
      </c>
      <c r="AG285" s="104">
        <f t="shared" si="2"/>
        <v>1</v>
      </c>
      <c r="AH285" s="112">
        <f t="shared" si="3"/>
        <v>0</v>
      </c>
      <c r="AI285" s="112">
        <f t="shared" si="4"/>
        <v>0</v>
      </c>
      <c r="AJ285" s="111">
        <f t="shared" si="5"/>
        <v>1975</v>
      </c>
      <c r="AK285" s="111">
        <f t="shared" si="6"/>
        <v>1975</v>
      </c>
      <c r="AL285" s="113"/>
      <c r="AM285" s="113"/>
    </row>
    <row r="286">
      <c r="A286" s="104">
        <v>285.0</v>
      </c>
      <c r="B286" s="105">
        <v>44028.0</v>
      </c>
      <c r="C286" s="17">
        <v>72020.0</v>
      </c>
      <c r="D286" s="106" t="s">
        <v>775</v>
      </c>
      <c r="E286" s="104" t="s">
        <v>38</v>
      </c>
      <c r="F286" s="106" t="s">
        <v>1023</v>
      </c>
      <c r="G286" s="104" t="s">
        <v>64</v>
      </c>
      <c r="H286" s="104" t="s">
        <v>547</v>
      </c>
      <c r="I286" s="104" t="s">
        <v>42</v>
      </c>
      <c r="J286" s="108"/>
      <c r="K286" s="108"/>
      <c r="L286" s="108"/>
      <c r="M286" s="108"/>
      <c r="N286" s="108"/>
      <c r="O286" s="107">
        <v>1.0</v>
      </c>
      <c r="P286" s="108"/>
      <c r="Q286" s="109"/>
      <c r="R286" s="109"/>
      <c r="S286" s="104" t="s">
        <v>114</v>
      </c>
      <c r="T286" s="104" t="s">
        <v>66</v>
      </c>
      <c r="U286" s="104" t="s">
        <v>53</v>
      </c>
      <c r="V286" s="104" t="s">
        <v>59</v>
      </c>
      <c r="W286" s="110"/>
      <c r="X286" s="110"/>
      <c r="Y286" s="110"/>
      <c r="Z286" s="110"/>
      <c r="AA286" s="111">
        <v>800.0</v>
      </c>
      <c r="AB286" s="111">
        <v>0.0</v>
      </c>
      <c r="AC286" s="24" t="s">
        <v>776</v>
      </c>
      <c r="AD286" s="17">
        <v>4099.0</v>
      </c>
      <c r="AE286" s="27" t="s">
        <v>777</v>
      </c>
      <c r="AF286" s="104" t="str">
        <f t="shared" si="1"/>
        <v>Buenos Aires, Argentina</v>
      </c>
      <c r="AG286" s="104">
        <f t="shared" si="2"/>
        <v>1</v>
      </c>
      <c r="AH286" s="112">
        <f t="shared" si="3"/>
        <v>0</v>
      </c>
      <c r="AI286" s="112">
        <f t="shared" si="4"/>
        <v>0</v>
      </c>
      <c r="AJ286" s="111">
        <f t="shared" si="5"/>
        <v>800</v>
      </c>
      <c r="AK286" s="111">
        <f t="shared" si="6"/>
        <v>800</v>
      </c>
      <c r="AL286" s="113"/>
      <c r="AM286" s="113"/>
    </row>
    <row r="287">
      <c r="A287" s="104">
        <v>286.0</v>
      </c>
      <c r="B287" s="105">
        <v>44028.0</v>
      </c>
      <c r="C287" s="17">
        <v>72020.0</v>
      </c>
      <c r="D287" s="106" t="s">
        <v>772</v>
      </c>
      <c r="E287" s="104" t="s">
        <v>38</v>
      </c>
      <c r="F287" s="106" t="s">
        <v>555</v>
      </c>
      <c r="G287" s="104" t="s">
        <v>64</v>
      </c>
      <c r="H287" s="104" t="s">
        <v>41</v>
      </c>
      <c r="I287" s="104" t="s">
        <v>42</v>
      </c>
      <c r="J287" s="108"/>
      <c r="K287" s="108"/>
      <c r="L287" s="108"/>
      <c r="M287" s="107">
        <v>1.0</v>
      </c>
      <c r="N287" s="108"/>
      <c r="O287" s="108"/>
      <c r="P287" s="108"/>
      <c r="Q287" s="109"/>
      <c r="R287" s="109"/>
      <c r="S287" s="104" t="s">
        <v>167</v>
      </c>
      <c r="T287" s="104" t="s">
        <v>83</v>
      </c>
      <c r="U287" s="104" t="s">
        <v>163</v>
      </c>
      <c r="V287" s="104" t="s">
        <v>59</v>
      </c>
      <c r="W287" s="110"/>
      <c r="X287" s="110"/>
      <c r="Y287" s="110"/>
      <c r="Z287" s="110"/>
      <c r="AA287" s="111">
        <v>3950.0</v>
      </c>
      <c r="AB287" s="111">
        <v>0.0</v>
      </c>
      <c r="AC287" s="24" t="s">
        <v>773</v>
      </c>
      <c r="AD287" s="17">
        <v>4085.0</v>
      </c>
      <c r="AE287" s="27" t="s">
        <v>774</v>
      </c>
      <c r="AF287" s="104" t="str">
        <f t="shared" si="1"/>
        <v>Capital Federal, Argentina</v>
      </c>
      <c r="AG287" s="104">
        <f t="shared" si="2"/>
        <v>1</v>
      </c>
      <c r="AH287" s="112">
        <f t="shared" si="3"/>
        <v>0</v>
      </c>
      <c r="AI287" s="112">
        <f t="shared" si="4"/>
        <v>0</v>
      </c>
      <c r="AJ287" s="111">
        <f t="shared" si="5"/>
        <v>3950</v>
      </c>
      <c r="AK287" s="111">
        <f t="shared" si="6"/>
        <v>3950</v>
      </c>
      <c r="AL287" s="113"/>
      <c r="AM287" s="113"/>
    </row>
    <row r="288">
      <c r="A288" s="104">
        <v>287.0</v>
      </c>
      <c r="B288" s="105">
        <v>44028.0</v>
      </c>
      <c r="C288" s="17">
        <v>72020.0</v>
      </c>
      <c r="D288" s="106" t="s">
        <v>595</v>
      </c>
      <c r="E288" s="104" t="s">
        <v>38</v>
      </c>
      <c r="F288" s="106" t="s">
        <v>1018</v>
      </c>
      <c r="G288" s="104" t="s">
        <v>40</v>
      </c>
      <c r="H288" s="104" t="s">
        <v>547</v>
      </c>
      <c r="I288" s="104" t="s">
        <v>42</v>
      </c>
      <c r="J288" s="108"/>
      <c r="K288" s="108"/>
      <c r="L288" s="108"/>
      <c r="M288" s="107">
        <v>1.0</v>
      </c>
      <c r="N288" s="108"/>
      <c r="O288" s="108"/>
      <c r="P288" s="108"/>
      <c r="Q288" s="109"/>
      <c r="R288" s="109"/>
      <c r="S288" s="104" t="s">
        <v>109</v>
      </c>
      <c r="T288" s="104" t="s">
        <v>671</v>
      </c>
      <c r="U288" s="104" t="s">
        <v>67</v>
      </c>
      <c r="V288" s="104" t="s">
        <v>78</v>
      </c>
      <c r="W288" s="110"/>
      <c r="X288" s="110"/>
      <c r="Y288" s="110"/>
      <c r="Z288" s="110"/>
      <c r="AA288" s="111">
        <v>1975.0</v>
      </c>
      <c r="AB288" s="111">
        <v>0.0</v>
      </c>
      <c r="AC288" s="24" t="s">
        <v>1024</v>
      </c>
      <c r="AD288" s="17">
        <v>4157.0</v>
      </c>
      <c r="AE288" s="27" t="s">
        <v>598</v>
      </c>
      <c r="AF288" s="104" t="str">
        <f t="shared" si="1"/>
        <v>Chubut, Argentina</v>
      </c>
      <c r="AG288" s="104">
        <f t="shared" si="2"/>
        <v>1</v>
      </c>
      <c r="AH288" s="112">
        <f t="shared" si="3"/>
        <v>0</v>
      </c>
      <c r="AI288" s="112">
        <f t="shared" si="4"/>
        <v>0</v>
      </c>
      <c r="AJ288" s="111">
        <f t="shared" si="5"/>
        <v>1975</v>
      </c>
      <c r="AK288" s="111">
        <f t="shared" si="6"/>
        <v>1975</v>
      </c>
      <c r="AL288" s="113"/>
      <c r="AM288" s="113"/>
    </row>
    <row r="289">
      <c r="A289" s="104">
        <v>288.0</v>
      </c>
      <c r="B289" s="105">
        <v>44028.0</v>
      </c>
      <c r="C289" s="17">
        <v>72020.0</v>
      </c>
      <c r="D289" s="106" t="s">
        <v>1025</v>
      </c>
      <c r="E289" s="104" t="s">
        <v>38</v>
      </c>
      <c r="F289" s="106" t="s">
        <v>1026</v>
      </c>
      <c r="G289" s="104" t="s">
        <v>40</v>
      </c>
      <c r="H289" s="104" t="s">
        <v>227</v>
      </c>
      <c r="I289" s="104" t="s">
        <v>42</v>
      </c>
      <c r="J289" s="107">
        <v>8.0</v>
      </c>
      <c r="K289" s="107">
        <v>7.0</v>
      </c>
      <c r="L289" s="108"/>
      <c r="M289" s="108"/>
      <c r="N289" s="108"/>
      <c r="O289" s="108"/>
      <c r="P289" s="108"/>
      <c r="Q289" s="109"/>
      <c r="R289" s="109"/>
      <c r="S289" s="104" t="s">
        <v>72</v>
      </c>
      <c r="T289" s="104" t="s">
        <v>263</v>
      </c>
      <c r="U289" s="104" t="s">
        <v>1027</v>
      </c>
      <c r="V289" s="104" t="s">
        <v>84</v>
      </c>
      <c r="W289" s="110"/>
      <c r="X289" s="110"/>
      <c r="Y289" s="110"/>
      <c r="Z289" s="110"/>
      <c r="AA289" s="111">
        <v>76520.0</v>
      </c>
      <c r="AB289" s="111">
        <v>462366.0</v>
      </c>
      <c r="AC289" s="24" t="s">
        <v>1028</v>
      </c>
      <c r="AD289" s="17">
        <v>4313.0</v>
      </c>
      <c r="AE289" s="27" t="s">
        <v>1029</v>
      </c>
      <c r="AF289" s="104" t="str">
        <f t="shared" si="1"/>
        <v>Santa Fé, Argentina</v>
      </c>
      <c r="AG289" s="104">
        <f t="shared" si="2"/>
        <v>15</v>
      </c>
      <c r="AH289" s="112">
        <f t="shared" si="3"/>
        <v>0</v>
      </c>
      <c r="AI289" s="112">
        <f t="shared" si="4"/>
        <v>0</v>
      </c>
      <c r="AJ289" s="111">
        <f t="shared" si="5"/>
        <v>538886</v>
      </c>
      <c r="AK289" s="111">
        <f t="shared" si="6"/>
        <v>538886</v>
      </c>
      <c r="AL289" s="113"/>
      <c r="AM289" s="113"/>
    </row>
    <row r="290">
      <c r="A290" s="104">
        <v>289.0</v>
      </c>
      <c r="B290" s="105">
        <v>44028.0</v>
      </c>
      <c r="C290" s="17">
        <v>72020.0</v>
      </c>
      <c r="D290" s="106" t="s">
        <v>1025</v>
      </c>
      <c r="E290" s="104" t="s">
        <v>38</v>
      </c>
      <c r="F290" s="106" t="s">
        <v>1030</v>
      </c>
      <c r="G290" s="104" t="s">
        <v>40</v>
      </c>
      <c r="H290" s="104" t="s">
        <v>227</v>
      </c>
      <c r="I290" s="104" t="s">
        <v>42</v>
      </c>
      <c r="J290" s="108"/>
      <c r="K290" s="108"/>
      <c r="L290" s="108"/>
      <c r="M290" s="108"/>
      <c r="N290" s="107">
        <v>1.0</v>
      </c>
      <c r="O290" s="108"/>
      <c r="P290" s="108"/>
      <c r="Q290" s="109"/>
      <c r="R290" s="109"/>
      <c r="S290" s="104" t="s">
        <v>72</v>
      </c>
      <c r="T290" s="104" t="s">
        <v>263</v>
      </c>
      <c r="U290" s="104" t="s">
        <v>1027</v>
      </c>
      <c r="V290" s="104" t="s">
        <v>84</v>
      </c>
      <c r="W290" s="111">
        <v>14725.0</v>
      </c>
      <c r="X290" s="111">
        <v>588000.0</v>
      </c>
      <c r="Y290" s="110"/>
      <c r="Z290" s="110"/>
      <c r="AA290" s="111">
        <v>0.0</v>
      </c>
      <c r="AB290" s="111">
        <v>0.0</v>
      </c>
      <c r="AC290" s="24" t="s">
        <v>1031</v>
      </c>
      <c r="AD290" s="17">
        <v>4323.0</v>
      </c>
      <c r="AE290" s="27" t="s">
        <v>1032</v>
      </c>
      <c r="AF290" s="104" t="str">
        <f t="shared" si="1"/>
        <v>Santa Fé, Argentina</v>
      </c>
      <c r="AG290" s="104">
        <f t="shared" si="2"/>
        <v>1</v>
      </c>
      <c r="AH290" s="112">
        <f t="shared" si="3"/>
        <v>602725</v>
      </c>
      <c r="AI290" s="112">
        <f t="shared" si="4"/>
        <v>0</v>
      </c>
      <c r="AJ290" s="111">
        <f t="shared" si="5"/>
        <v>0</v>
      </c>
      <c r="AK290" s="111">
        <f t="shared" si="6"/>
        <v>602725</v>
      </c>
      <c r="AL290" s="113"/>
      <c r="AM290" s="113"/>
    </row>
    <row r="291">
      <c r="A291" s="104">
        <v>290.0</v>
      </c>
      <c r="B291" s="105">
        <v>44029.0</v>
      </c>
      <c r="C291" s="17">
        <v>72020.0</v>
      </c>
      <c r="D291" s="106" t="s">
        <v>1033</v>
      </c>
      <c r="E291" s="104" t="s">
        <v>38</v>
      </c>
      <c r="F291" s="106" t="s">
        <v>566</v>
      </c>
      <c r="G291" s="104" t="s">
        <v>40</v>
      </c>
      <c r="H291" s="104" t="s">
        <v>547</v>
      </c>
      <c r="I291" s="104" t="s">
        <v>42</v>
      </c>
      <c r="J291" s="107">
        <v>2.0</v>
      </c>
      <c r="K291" s="108"/>
      <c r="L291" s="108"/>
      <c r="M291" s="108"/>
      <c r="N291" s="108"/>
      <c r="O291" s="108"/>
      <c r="P291" s="108"/>
      <c r="Q291" s="109"/>
      <c r="R291" s="109"/>
      <c r="S291" s="104" t="s">
        <v>963</v>
      </c>
      <c r="T291" s="104" t="s">
        <v>73</v>
      </c>
      <c r="U291" s="104" t="s">
        <v>342</v>
      </c>
      <c r="V291" s="104" t="s">
        <v>78</v>
      </c>
      <c r="W291" s="110"/>
      <c r="X291" s="110"/>
      <c r="Y291" s="110"/>
      <c r="Z291" s="110"/>
      <c r="AA291" s="111">
        <v>3950.0</v>
      </c>
      <c r="AB291" s="111">
        <v>0.0</v>
      </c>
      <c r="AC291" s="24" t="s">
        <v>1034</v>
      </c>
      <c r="AD291" s="81">
        <v>4331.0</v>
      </c>
      <c r="AE291" s="82" t="s">
        <v>1035</v>
      </c>
      <c r="AF291" s="104" t="str">
        <f t="shared" si="1"/>
        <v>Tierra de Fuego, Argentina</v>
      </c>
      <c r="AG291" s="104">
        <f t="shared" si="2"/>
        <v>2</v>
      </c>
      <c r="AH291" s="112">
        <f t="shared" si="3"/>
        <v>0</v>
      </c>
      <c r="AI291" s="112">
        <f t="shared" si="4"/>
        <v>0</v>
      </c>
      <c r="AJ291" s="111">
        <f t="shared" si="5"/>
        <v>3950</v>
      </c>
      <c r="AK291" s="111">
        <f t="shared" si="6"/>
        <v>3950</v>
      </c>
      <c r="AL291" s="113"/>
      <c r="AM291" s="113"/>
    </row>
    <row r="292">
      <c r="A292" s="104">
        <v>291.0</v>
      </c>
      <c r="B292" s="105">
        <v>44032.0</v>
      </c>
      <c r="C292" s="17">
        <v>72020.0</v>
      </c>
      <c r="D292" s="106" t="s">
        <v>769</v>
      </c>
      <c r="E292" s="104" t="s">
        <v>38</v>
      </c>
      <c r="F292" s="106" t="s">
        <v>555</v>
      </c>
      <c r="G292" s="104" t="s">
        <v>64</v>
      </c>
      <c r="H292" s="104" t="s">
        <v>41</v>
      </c>
      <c r="I292" s="104" t="s">
        <v>42</v>
      </c>
      <c r="J292" s="108"/>
      <c r="K292" s="108"/>
      <c r="L292" s="108"/>
      <c r="M292" s="107">
        <v>1.0</v>
      </c>
      <c r="N292" s="108"/>
      <c r="O292" s="108"/>
      <c r="P292" s="108"/>
      <c r="Q292" s="109"/>
      <c r="R292" s="109"/>
      <c r="S292" s="104" t="s">
        <v>65</v>
      </c>
      <c r="T292" s="104" t="s">
        <v>66</v>
      </c>
      <c r="U292" s="104" t="s">
        <v>53</v>
      </c>
      <c r="V292" s="104" t="s">
        <v>59</v>
      </c>
      <c r="W292" s="110"/>
      <c r="X292" s="110"/>
      <c r="Y292" s="110"/>
      <c r="Z292" s="110"/>
      <c r="AA292" s="111">
        <v>3950.0</v>
      </c>
      <c r="AB292" s="111">
        <v>0.0</v>
      </c>
      <c r="AC292" s="24" t="s">
        <v>770</v>
      </c>
      <c r="AD292" s="17">
        <v>4079.0</v>
      </c>
      <c r="AE292" s="27" t="s">
        <v>771</v>
      </c>
      <c r="AF292" s="104" t="str">
        <f t="shared" si="1"/>
        <v>Buenos Aires, Argentina</v>
      </c>
      <c r="AG292" s="104">
        <f t="shared" si="2"/>
        <v>1</v>
      </c>
      <c r="AH292" s="112">
        <f t="shared" si="3"/>
        <v>0</v>
      </c>
      <c r="AI292" s="112">
        <f t="shared" si="4"/>
        <v>0</v>
      </c>
      <c r="AJ292" s="111">
        <f t="shared" si="5"/>
        <v>3950</v>
      </c>
      <c r="AK292" s="111">
        <f t="shared" si="6"/>
        <v>3950</v>
      </c>
      <c r="AL292" s="113"/>
      <c r="AM292" s="113"/>
    </row>
    <row r="293">
      <c r="A293" s="104">
        <v>292.0</v>
      </c>
      <c r="B293" s="105">
        <v>44032.0</v>
      </c>
      <c r="C293" s="17">
        <v>72020.0</v>
      </c>
      <c r="D293" s="106" t="s">
        <v>1036</v>
      </c>
      <c r="E293" s="104" t="s">
        <v>38</v>
      </c>
      <c r="F293" s="106" t="s">
        <v>792</v>
      </c>
      <c r="G293" s="104" t="s">
        <v>40</v>
      </c>
      <c r="H293" s="104" t="s">
        <v>41</v>
      </c>
      <c r="I293" s="104" t="s">
        <v>42</v>
      </c>
      <c r="J293" s="107">
        <v>2.0</v>
      </c>
      <c r="K293" s="107">
        <v>1.0</v>
      </c>
      <c r="L293" s="108"/>
      <c r="M293" s="108"/>
      <c r="N293" s="108"/>
      <c r="O293" s="108"/>
      <c r="P293" s="108"/>
      <c r="Q293" s="109"/>
      <c r="R293" s="109"/>
      <c r="S293" s="104" t="s">
        <v>98</v>
      </c>
      <c r="T293" s="158" t="s">
        <v>83</v>
      </c>
      <c r="U293" s="104" t="s">
        <v>45</v>
      </c>
      <c r="V293" s="104" t="s">
        <v>59</v>
      </c>
      <c r="W293" s="110"/>
      <c r="X293" s="110"/>
      <c r="Y293" s="110"/>
      <c r="Z293" s="110"/>
      <c r="AA293" s="111">
        <v>10510.0</v>
      </c>
      <c r="AB293" s="111">
        <v>15765.0</v>
      </c>
      <c r="AC293" s="24" t="s">
        <v>1037</v>
      </c>
      <c r="AD293" s="17">
        <v>4347.0</v>
      </c>
      <c r="AE293" s="27" t="s">
        <v>1038</v>
      </c>
      <c r="AF293" s="158" t="str">
        <f t="shared" si="1"/>
        <v>Capital Federal, Argentina</v>
      </c>
      <c r="AG293" s="158">
        <f t="shared" si="2"/>
        <v>3</v>
      </c>
      <c r="AH293" s="112">
        <f t="shared" si="3"/>
        <v>0</v>
      </c>
      <c r="AI293" s="112">
        <f t="shared" si="4"/>
        <v>0</v>
      </c>
      <c r="AJ293" s="111">
        <f t="shared" si="5"/>
        <v>26275</v>
      </c>
      <c r="AK293" s="111">
        <f t="shared" si="6"/>
        <v>26275</v>
      </c>
      <c r="AL293" s="113"/>
      <c r="AM293" s="113"/>
    </row>
    <row r="294">
      <c r="A294" s="104">
        <v>293.0</v>
      </c>
      <c r="B294" s="105">
        <v>44032.0</v>
      </c>
      <c r="C294" s="17">
        <v>72020.0</v>
      </c>
      <c r="D294" s="106" t="s">
        <v>1039</v>
      </c>
      <c r="E294" s="104" t="s">
        <v>38</v>
      </c>
      <c r="F294" s="106" t="s">
        <v>967</v>
      </c>
      <c r="G294" s="104" t="s">
        <v>64</v>
      </c>
      <c r="H294" s="104" t="s">
        <v>41</v>
      </c>
      <c r="I294" s="104" t="s">
        <v>42</v>
      </c>
      <c r="J294" s="108"/>
      <c r="K294" s="108"/>
      <c r="L294" s="108"/>
      <c r="M294" s="108"/>
      <c r="N294" s="108"/>
      <c r="O294" s="108"/>
      <c r="P294" s="108"/>
      <c r="Q294" s="109"/>
      <c r="R294" s="104">
        <v>3.0</v>
      </c>
      <c r="S294" s="104" t="s">
        <v>137</v>
      </c>
      <c r="T294" s="158" t="s">
        <v>66</v>
      </c>
      <c r="U294" s="104" t="s">
        <v>67</v>
      </c>
      <c r="V294" s="104" t="s">
        <v>84</v>
      </c>
      <c r="W294" s="110"/>
      <c r="X294" s="110"/>
      <c r="Y294" s="110"/>
      <c r="Z294" s="110"/>
      <c r="AA294" s="111">
        <v>0.0</v>
      </c>
      <c r="AB294" s="111">
        <v>13500.0</v>
      </c>
      <c r="AC294" s="24" t="s">
        <v>1040</v>
      </c>
      <c r="AD294" s="17">
        <v>4345.0</v>
      </c>
      <c r="AE294" s="27" t="s">
        <v>1041</v>
      </c>
      <c r="AF294" s="158" t="str">
        <f t="shared" si="1"/>
        <v>Buenos Aires, Argentina</v>
      </c>
      <c r="AG294" s="158">
        <f t="shared" si="2"/>
        <v>0</v>
      </c>
      <c r="AH294" s="112">
        <f t="shared" si="3"/>
        <v>0</v>
      </c>
      <c r="AI294" s="112">
        <f t="shared" si="4"/>
        <v>0</v>
      </c>
      <c r="AJ294" s="111">
        <f t="shared" si="5"/>
        <v>13500</v>
      </c>
      <c r="AK294" s="111">
        <f t="shared" si="6"/>
        <v>13500</v>
      </c>
      <c r="AL294" s="113"/>
      <c r="AM294" s="113"/>
    </row>
    <row r="295">
      <c r="A295" s="104">
        <v>294.0</v>
      </c>
      <c r="B295" s="105">
        <v>44032.0</v>
      </c>
      <c r="C295" s="17">
        <v>72020.0</v>
      </c>
      <c r="D295" s="106" t="s">
        <v>1042</v>
      </c>
      <c r="E295" s="104" t="s">
        <v>38</v>
      </c>
      <c r="F295" s="106" t="s">
        <v>997</v>
      </c>
      <c r="G295" s="104" t="s">
        <v>64</v>
      </c>
      <c r="H295" s="104" t="s">
        <v>41</v>
      </c>
      <c r="I295" s="104" t="s">
        <v>42</v>
      </c>
      <c r="J295" s="108"/>
      <c r="K295" s="108"/>
      <c r="L295" s="108"/>
      <c r="M295" s="108"/>
      <c r="N295" s="108"/>
      <c r="O295" s="108"/>
      <c r="P295" s="107">
        <v>1.0</v>
      </c>
      <c r="Q295" s="109"/>
      <c r="R295" s="109"/>
      <c r="S295" s="104" t="s">
        <v>65</v>
      </c>
      <c r="T295" s="158" t="s">
        <v>66</v>
      </c>
      <c r="U295" s="104" t="s">
        <v>67</v>
      </c>
      <c r="V295" s="104" t="s">
        <v>84</v>
      </c>
      <c r="W295" s="111">
        <v>2490.0</v>
      </c>
      <c r="X295" s="110"/>
      <c r="Y295" s="110"/>
      <c r="Z295" s="110"/>
      <c r="AA295" s="111">
        <v>1600.0</v>
      </c>
      <c r="AB295" s="111">
        <v>0.0</v>
      </c>
      <c r="AC295" s="24" t="s">
        <v>1043</v>
      </c>
      <c r="AD295" s="17">
        <v>4349.0</v>
      </c>
      <c r="AE295" s="27" t="s">
        <v>1044</v>
      </c>
      <c r="AF295" s="158" t="str">
        <f t="shared" si="1"/>
        <v>Buenos Aires, Argentina</v>
      </c>
      <c r="AG295" s="158">
        <f t="shared" si="2"/>
        <v>1</v>
      </c>
      <c r="AH295" s="112">
        <f t="shared" si="3"/>
        <v>2490</v>
      </c>
      <c r="AI295" s="112">
        <f t="shared" si="4"/>
        <v>0</v>
      </c>
      <c r="AJ295" s="111">
        <f t="shared" si="5"/>
        <v>1600</v>
      </c>
      <c r="AK295" s="111">
        <f t="shared" si="6"/>
        <v>4090</v>
      </c>
      <c r="AL295" s="113"/>
      <c r="AM295" s="113"/>
    </row>
    <row r="296">
      <c r="A296" s="104">
        <v>295.0</v>
      </c>
      <c r="B296" s="105">
        <v>44032.0</v>
      </c>
      <c r="C296" s="17">
        <v>72020.0</v>
      </c>
      <c r="D296" s="106" t="s">
        <v>1045</v>
      </c>
      <c r="E296" s="104" t="s">
        <v>38</v>
      </c>
      <c r="F296" s="106" t="s">
        <v>1046</v>
      </c>
      <c r="G296" s="104" t="s">
        <v>40</v>
      </c>
      <c r="H296" s="104" t="s">
        <v>41</v>
      </c>
      <c r="I296" s="104" t="s">
        <v>42</v>
      </c>
      <c r="J296" s="107">
        <v>1.0</v>
      </c>
      <c r="K296" s="108"/>
      <c r="L296" s="108"/>
      <c r="M296" s="108"/>
      <c r="N296" s="108"/>
      <c r="O296" s="108"/>
      <c r="P296" s="108"/>
      <c r="Q296" s="109"/>
      <c r="R296" s="109"/>
      <c r="S296" s="104" t="s">
        <v>65</v>
      </c>
      <c r="T296" s="158" t="s">
        <v>66</v>
      </c>
      <c r="U296" s="104" t="s">
        <v>342</v>
      </c>
      <c r="V296" s="104" t="s">
        <v>78</v>
      </c>
      <c r="W296" s="110"/>
      <c r="X296" s="110"/>
      <c r="Y296" s="110"/>
      <c r="Z296" s="110"/>
      <c r="AA296" s="110"/>
      <c r="AB296" s="111">
        <v>5925.0</v>
      </c>
      <c r="AC296" s="38"/>
      <c r="AD296" s="134"/>
      <c r="AE296" s="134"/>
      <c r="AF296" s="158" t="str">
        <f t="shared" si="1"/>
        <v>Buenos Aires, Argentina</v>
      </c>
      <c r="AG296" s="158">
        <f t="shared" si="2"/>
        <v>1</v>
      </c>
      <c r="AH296" s="112">
        <f t="shared" si="3"/>
        <v>0</v>
      </c>
      <c r="AI296" s="112">
        <f t="shared" si="4"/>
        <v>0</v>
      </c>
      <c r="AJ296" s="111">
        <f t="shared" si="5"/>
        <v>5925</v>
      </c>
      <c r="AK296" s="111">
        <f t="shared" si="6"/>
        <v>5925</v>
      </c>
      <c r="AL296" s="113"/>
      <c r="AM296" s="113"/>
    </row>
    <row r="297">
      <c r="A297" s="104">
        <v>296.0</v>
      </c>
      <c r="B297" s="105">
        <v>44033.0</v>
      </c>
      <c r="C297" s="17">
        <v>72020.0</v>
      </c>
      <c r="D297" s="106" t="s">
        <v>1047</v>
      </c>
      <c r="E297" s="104" t="s">
        <v>38</v>
      </c>
      <c r="F297" s="106" t="s">
        <v>546</v>
      </c>
      <c r="G297" s="104" t="s">
        <v>40</v>
      </c>
      <c r="H297" s="104" t="s">
        <v>547</v>
      </c>
      <c r="I297" s="104" t="s">
        <v>42</v>
      </c>
      <c r="J297" s="107">
        <v>1.0</v>
      </c>
      <c r="K297" s="108"/>
      <c r="L297" s="108"/>
      <c r="M297" s="108"/>
      <c r="N297" s="108"/>
      <c r="O297" s="108"/>
      <c r="P297" s="108"/>
      <c r="Q297" s="109"/>
      <c r="R297" s="109"/>
      <c r="S297" s="104" t="s">
        <v>109</v>
      </c>
      <c r="T297" s="158" t="s">
        <v>66</v>
      </c>
      <c r="U297" s="104" t="s">
        <v>342</v>
      </c>
      <c r="V297" s="104" t="s">
        <v>78</v>
      </c>
      <c r="W297" s="110"/>
      <c r="X297" s="110"/>
      <c r="Y297" s="110"/>
      <c r="Z297" s="110"/>
      <c r="AA297" s="111">
        <v>1975.0</v>
      </c>
      <c r="AB297" s="111">
        <v>0.0</v>
      </c>
      <c r="AC297" s="24" t="s">
        <v>1048</v>
      </c>
      <c r="AD297" s="17">
        <v>4339.0</v>
      </c>
      <c r="AE297" s="27" t="s">
        <v>1049</v>
      </c>
      <c r="AF297" s="158" t="str">
        <f t="shared" si="1"/>
        <v>Buenos Aires, Argentina</v>
      </c>
      <c r="AG297" s="158">
        <f t="shared" si="2"/>
        <v>1</v>
      </c>
      <c r="AH297" s="112">
        <f t="shared" si="3"/>
        <v>0</v>
      </c>
      <c r="AI297" s="112">
        <f t="shared" si="4"/>
        <v>0</v>
      </c>
      <c r="AJ297" s="111">
        <f t="shared" si="5"/>
        <v>1975</v>
      </c>
      <c r="AK297" s="111">
        <f t="shared" si="6"/>
        <v>1975</v>
      </c>
      <c r="AL297" s="113"/>
      <c r="AM297" s="113"/>
    </row>
    <row r="298">
      <c r="A298" s="104">
        <v>297.0</v>
      </c>
      <c r="B298" s="105">
        <v>44033.0</v>
      </c>
      <c r="C298" s="17">
        <v>72020.0</v>
      </c>
      <c r="D298" s="106" t="s">
        <v>1050</v>
      </c>
      <c r="E298" s="104" t="s">
        <v>38</v>
      </c>
      <c r="F298" s="106" t="s">
        <v>546</v>
      </c>
      <c r="G298" s="104" t="s">
        <v>40</v>
      </c>
      <c r="H298" s="104" t="s">
        <v>547</v>
      </c>
      <c r="I298" s="104" t="s">
        <v>42</v>
      </c>
      <c r="J298" s="107">
        <v>1.0</v>
      </c>
      <c r="K298" s="108"/>
      <c r="L298" s="108"/>
      <c r="M298" s="108"/>
      <c r="N298" s="108"/>
      <c r="O298" s="108"/>
      <c r="P298" s="108"/>
      <c r="Q298" s="109"/>
      <c r="R298" s="109"/>
      <c r="S298" s="104" t="s">
        <v>51</v>
      </c>
      <c r="T298" s="104" t="s">
        <v>839</v>
      </c>
      <c r="U298" s="104" t="s">
        <v>45</v>
      </c>
      <c r="V298" s="104" t="s">
        <v>78</v>
      </c>
      <c r="W298" s="110"/>
      <c r="X298" s="110"/>
      <c r="Y298" s="110"/>
      <c r="Z298" s="110"/>
      <c r="AA298" s="111">
        <v>1975.0</v>
      </c>
      <c r="AB298" s="111">
        <v>0.0</v>
      </c>
      <c r="AC298" s="24" t="s">
        <v>1051</v>
      </c>
      <c r="AD298" s="17">
        <v>4329.0</v>
      </c>
      <c r="AE298" s="27" t="s">
        <v>1052</v>
      </c>
      <c r="AF298" s="104" t="str">
        <f t="shared" si="1"/>
        <v>Neuquén, Argentina</v>
      </c>
      <c r="AG298" s="104">
        <f t="shared" si="2"/>
        <v>1</v>
      </c>
      <c r="AH298" s="112">
        <f t="shared" si="3"/>
        <v>0</v>
      </c>
      <c r="AI298" s="112">
        <f t="shared" si="4"/>
        <v>0</v>
      </c>
      <c r="AJ298" s="111">
        <f t="shared" si="5"/>
        <v>1975</v>
      </c>
      <c r="AK298" s="111">
        <f t="shared" si="6"/>
        <v>1975</v>
      </c>
      <c r="AL298" s="113"/>
      <c r="AM298" s="113"/>
    </row>
    <row r="299">
      <c r="A299" s="104">
        <v>298.0</v>
      </c>
      <c r="B299" s="105">
        <v>44035.0</v>
      </c>
      <c r="C299" s="17">
        <v>72020.0</v>
      </c>
      <c r="D299" s="106" t="s">
        <v>827</v>
      </c>
      <c r="E299" s="104" t="s">
        <v>38</v>
      </c>
      <c r="F299" s="106" t="s">
        <v>555</v>
      </c>
      <c r="G299" s="104" t="s">
        <v>64</v>
      </c>
      <c r="H299" s="104" t="s">
        <v>41</v>
      </c>
      <c r="I299" s="104" t="s">
        <v>42</v>
      </c>
      <c r="J299" s="107">
        <v>1.0</v>
      </c>
      <c r="K299" s="108"/>
      <c r="L299" s="108"/>
      <c r="M299" s="108"/>
      <c r="N299" s="108"/>
      <c r="O299" s="108"/>
      <c r="P299" s="108"/>
      <c r="Q299" s="109"/>
      <c r="R299" s="109"/>
      <c r="S299" s="104" t="s">
        <v>98</v>
      </c>
      <c r="T299" s="104" t="s">
        <v>66</v>
      </c>
      <c r="U299" s="104" t="s">
        <v>342</v>
      </c>
      <c r="V299" s="104" t="s">
        <v>59</v>
      </c>
      <c r="W299" s="110"/>
      <c r="X299" s="110"/>
      <c r="Y299" s="110"/>
      <c r="Z299" s="110"/>
      <c r="AA299" s="111">
        <v>3950.0</v>
      </c>
      <c r="AB299" s="111">
        <v>0.0</v>
      </c>
      <c r="AC299" s="24" t="s">
        <v>828</v>
      </c>
      <c r="AD299" s="17">
        <v>4131.0</v>
      </c>
      <c r="AE299" s="27" t="s">
        <v>829</v>
      </c>
      <c r="AF299" s="104" t="str">
        <f t="shared" si="1"/>
        <v>Buenos Aires, Argentina</v>
      </c>
      <c r="AG299" s="104">
        <f t="shared" si="2"/>
        <v>1</v>
      </c>
      <c r="AH299" s="112">
        <f t="shared" si="3"/>
        <v>0</v>
      </c>
      <c r="AI299" s="112">
        <f t="shared" si="4"/>
        <v>0</v>
      </c>
      <c r="AJ299" s="111">
        <f t="shared" si="5"/>
        <v>3950</v>
      </c>
      <c r="AK299" s="111">
        <f t="shared" si="6"/>
        <v>3950</v>
      </c>
      <c r="AL299" s="113"/>
      <c r="AM299" s="113"/>
    </row>
    <row r="300">
      <c r="A300" s="104">
        <v>299.0</v>
      </c>
      <c r="B300" s="105">
        <v>44036.0</v>
      </c>
      <c r="C300" s="17">
        <v>72020.0</v>
      </c>
      <c r="D300" s="106" t="s">
        <v>1053</v>
      </c>
      <c r="E300" s="104" t="s">
        <v>38</v>
      </c>
      <c r="F300" s="106" t="s">
        <v>1018</v>
      </c>
      <c r="G300" s="104" t="s">
        <v>40</v>
      </c>
      <c r="H300" s="104" t="s">
        <v>547</v>
      </c>
      <c r="I300" s="104" t="s">
        <v>42</v>
      </c>
      <c r="J300" s="107">
        <v>1.0</v>
      </c>
      <c r="K300" s="108"/>
      <c r="L300" s="108"/>
      <c r="M300" s="108"/>
      <c r="N300" s="108"/>
      <c r="O300" s="108"/>
      <c r="P300" s="108"/>
      <c r="Q300" s="109"/>
      <c r="R300" s="109"/>
      <c r="S300" s="104" t="s">
        <v>114</v>
      </c>
      <c r="T300" s="104" t="s">
        <v>83</v>
      </c>
      <c r="U300" s="104" t="s">
        <v>67</v>
      </c>
      <c r="V300" s="104" t="s">
        <v>84</v>
      </c>
      <c r="W300" s="110"/>
      <c r="X300" s="110"/>
      <c r="Y300" s="110"/>
      <c r="Z300" s="110"/>
      <c r="AA300" s="111">
        <v>1975.0</v>
      </c>
      <c r="AB300" s="111">
        <v>0.0</v>
      </c>
      <c r="AC300" s="24" t="s">
        <v>763</v>
      </c>
      <c r="AD300" s="17">
        <v>4087.0</v>
      </c>
      <c r="AE300" s="27" t="s">
        <v>764</v>
      </c>
      <c r="AF300" s="104" t="str">
        <f t="shared" si="1"/>
        <v>Capital Federal, Argentina</v>
      </c>
      <c r="AG300" s="104">
        <f t="shared" si="2"/>
        <v>1</v>
      </c>
      <c r="AH300" s="112">
        <f t="shared" si="3"/>
        <v>0</v>
      </c>
      <c r="AI300" s="112">
        <f t="shared" si="4"/>
        <v>0</v>
      </c>
      <c r="AJ300" s="111">
        <f t="shared" si="5"/>
        <v>1975</v>
      </c>
      <c r="AK300" s="111">
        <f t="shared" si="6"/>
        <v>1975</v>
      </c>
      <c r="AL300" s="113"/>
      <c r="AM300" s="113"/>
    </row>
    <row r="301">
      <c r="A301" s="104">
        <v>300.0</v>
      </c>
      <c r="B301" s="105">
        <v>44036.0</v>
      </c>
      <c r="C301" s="17">
        <v>72020.0</v>
      </c>
      <c r="D301" s="106" t="s">
        <v>516</v>
      </c>
      <c r="E301" s="104" t="s">
        <v>38</v>
      </c>
      <c r="F301" s="106" t="s">
        <v>1054</v>
      </c>
      <c r="G301" s="104" t="s">
        <v>64</v>
      </c>
      <c r="H301" s="104" t="s">
        <v>41</v>
      </c>
      <c r="I301" s="104" t="s">
        <v>42</v>
      </c>
      <c r="J301" s="108"/>
      <c r="K301" s="108"/>
      <c r="L301" s="108"/>
      <c r="M301" s="108"/>
      <c r="N301" s="108"/>
      <c r="O301" s="108"/>
      <c r="P301" s="107">
        <v>1.0</v>
      </c>
      <c r="Q301" s="109"/>
      <c r="R301" s="109"/>
      <c r="S301" s="104" t="s">
        <v>189</v>
      </c>
      <c r="T301" s="104" t="s">
        <v>83</v>
      </c>
      <c r="U301" s="104" t="s">
        <v>67</v>
      </c>
      <c r="V301" s="104" t="s">
        <v>84</v>
      </c>
      <c r="W301" s="111">
        <v>6490.0</v>
      </c>
      <c r="X301" s="110"/>
      <c r="Y301" s="110"/>
      <c r="Z301" s="110"/>
      <c r="AA301" s="111">
        <v>1600.0</v>
      </c>
      <c r="AB301" s="111">
        <v>0.0</v>
      </c>
      <c r="AC301" s="24" t="s">
        <v>1055</v>
      </c>
      <c r="AD301" s="17">
        <v>4361.0</v>
      </c>
      <c r="AE301" s="27" t="s">
        <v>1056</v>
      </c>
      <c r="AF301" s="104" t="str">
        <f t="shared" si="1"/>
        <v>Capital Federal, Argentina</v>
      </c>
      <c r="AG301" s="104">
        <f t="shared" si="2"/>
        <v>1</v>
      </c>
      <c r="AH301" s="112">
        <f t="shared" si="3"/>
        <v>6490</v>
      </c>
      <c r="AI301" s="112">
        <f t="shared" si="4"/>
        <v>0</v>
      </c>
      <c r="AJ301" s="111">
        <f t="shared" si="5"/>
        <v>1600</v>
      </c>
      <c r="AK301" s="111">
        <f t="shared" si="6"/>
        <v>8090</v>
      </c>
      <c r="AL301" s="113"/>
      <c r="AM301" s="113"/>
    </row>
    <row r="302">
      <c r="A302" s="104">
        <v>301.0</v>
      </c>
      <c r="B302" s="105">
        <v>44036.0</v>
      </c>
      <c r="C302" s="17">
        <v>72020.0</v>
      </c>
      <c r="D302" s="106" t="s">
        <v>1057</v>
      </c>
      <c r="E302" s="104" t="s">
        <v>38</v>
      </c>
      <c r="F302" s="106" t="s">
        <v>1058</v>
      </c>
      <c r="G302" s="104" t="s">
        <v>40</v>
      </c>
      <c r="H302" s="104" t="s">
        <v>41</v>
      </c>
      <c r="I302" s="104" t="s">
        <v>42</v>
      </c>
      <c r="J302" s="107">
        <v>6.0</v>
      </c>
      <c r="K302" s="108"/>
      <c r="L302" s="108"/>
      <c r="M302" s="108"/>
      <c r="N302" s="108"/>
      <c r="O302" s="108"/>
      <c r="P302" s="108"/>
      <c r="Q302" s="109"/>
      <c r="R302" s="109"/>
      <c r="S302" s="104" t="s">
        <v>65</v>
      </c>
      <c r="T302" s="158" t="s">
        <v>66</v>
      </c>
      <c r="U302" s="104" t="s">
        <v>67</v>
      </c>
      <c r="V302" s="104" t="s">
        <v>84</v>
      </c>
      <c r="W302" s="110"/>
      <c r="X302" s="110"/>
      <c r="Y302" s="110"/>
      <c r="Z302" s="110"/>
      <c r="AA302" s="111">
        <v>25300.0</v>
      </c>
      <c r="AB302" s="111">
        <v>161100.0</v>
      </c>
      <c r="AC302" s="24" t="s">
        <v>1059</v>
      </c>
      <c r="AD302" s="17">
        <v>4365.0</v>
      </c>
      <c r="AE302" s="27" t="s">
        <v>1060</v>
      </c>
      <c r="AF302" s="158" t="str">
        <f t="shared" si="1"/>
        <v>Buenos Aires, Argentina</v>
      </c>
      <c r="AG302" s="158">
        <f t="shared" si="2"/>
        <v>6</v>
      </c>
      <c r="AH302" s="112">
        <f t="shared" si="3"/>
        <v>0</v>
      </c>
      <c r="AI302" s="112">
        <f t="shared" si="4"/>
        <v>0</v>
      </c>
      <c r="AJ302" s="111">
        <f t="shared" si="5"/>
        <v>186400</v>
      </c>
      <c r="AK302" s="111">
        <f t="shared" si="6"/>
        <v>186400</v>
      </c>
      <c r="AL302" s="113"/>
      <c r="AM302" s="113"/>
    </row>
    <row r="303">
      <c r="A303" s="104">
        <v>302.0</v>
      </c>
      <c r="B303" s="105">
        <v>44039.0</v>
      </c>
      <c r="C303" s="17">
        <v>72020.0</v>
      </c>
      <c r="D303" s="160" t="s">
        <v>782</v>
      </c>
      <c r="E303" s="104" t="s">
        <v>38</v>
      </c>
      <c r="F303" s="106" t="s">
        <v>1061</v>
      </c>
      <c r="G303" s="104" t="s">
        <v>64</v>
      </c>
      <c r="H303" s="104" t="s">
        <v>41</v>
      </c>
      <c r="I303" s="104" t="s">
        <v>42</v>
      </c>
      <c r="J303" s="107">
        <v>1.0</v>
      </c>
      <c r="K303" s="108"/>
      <c r="L303" s="108"/>
      <c r="M303" s="108"/>
      <c r="N303" s="108"/>
      <c r="O303" s="108"/>
      <c r="P303" s="108"/>
      <c r="Q303" s="109"/>
      <c r="R303" s="109"/>
      <c r="S303" s="104" t="s">
        <v>137</v>
      </c>
      <c r="T303" s="104" t="s">
        <v>66</v>
      </c>
      <c r="U303" s="104" t="s">
        <v>67</v>
      </c>
      <c r="V303" s="104" t="s">
        <v>78</v>
      </c>
      <c r="W303" s="110"/>
      <c r="X303" s="110"/>
      <c r="Y303" s="110"/>
      <c r="Z303" s="110"/>
      <c r="AA303" s="111">
        <v>2300.0</v>
      </c>
      <c r="AB303" s="111">
        <v>0.0</v>
      </c>
      <c r="AC303" s="24" t="s">
        <v>782</v>
      </c>
      <c r="AD303" s="81">
        <v>4095.0</v>
      </c>
      <c r="AE303" s="82" t="s">
        <v>1062</v>
      </c>
      <c r="AF303" s="104" t="str">
        <f t="shared" si="1"/>
        <v>Buenos Aires, Argentina</v>
      </c>
      <c r="AG303" s="104">
        <f t="shared" si="2"/>
        <v>1</v>
      </c>
      <c r="AH303" s="112">
        <f t="shared" si="3"/>
        <v>0</v>
      </c>
      <c r="AI303" s="112">
        <f t="shared" si="4"/>
        <v>0</v>
      </c>
      <c r="AJ303" s="111">
        <f t="shared" si="5"/>
        <v>2300</v>
      </c>
      <c r="AK303" s="111">
        <f t="shared" si="6"/>
        <v>2300</v>
      </c>
      <c r="AL303" s="113"/>
      <c r="AM303" s="113"/>
    </row>
    <row r="304">
      <c r="A304" s="104">
        <v>303.0</v>
      </c>
      <c r="B304" s="105">
        <v>44040.0</v>
      </c>
      <c r="C304" s="17">
        <v>72020.0</v>
      </c>
      <c r="D304" s="106" t="s">
        <v>516</v>
      </c>
      <c r="E304" s="104" t="s">
        <v>38</v>
      </c>
      <c r="F304" s="106" t="s">
        <v>1063</v>
      </c>
      <c r="G304" s="104" t="s">
        <v>64</v>
      </c>
      <c r="H304" s="104" t="s">
        <v>41</v>
      </c>
      <c r="I304" s="104" t="s">
        <v>42</v>
      </c>
      <c r="J304" s="108"/>
      <c r="K304" s="108"/>
      <c r="L304" s="108"/>
      <c r="M304" s="108"/>
      <c r="N304" s="107">
        <v>1.0</v>
      </c>
      <c r="O304" s="108"/>
      <c r="P304" s="108"/>
      <c r="Q304" s="109"/>
      <c r="R304" s="109"/>
      <c r="S304" s="104" t="s">
        <v>189</v>
      </c>
      <c r="T304" s="104" t="s">
        <v>83</v>
      </c>
      <c r="U304" s="104" t="s">
        <v>67</v>
      </c>
      <c r="V304" s="104" t="s">
        <v>84</v>
      </c>
      <c r="W304" s="110"/>
      <c r="X304" s="110"/>
      <c r="Y304" s="110"/>
      <c r="Z304" s="110"/>
      <c r="AA304" s="111">
        <v>5132.0</v>
      </c>
      <c r="AB304" s="111">
        <v>0.0</v>
      </c>
      <c r="AC304" s="24" t="s">
        <v>1064</v>
      </c>
      <c r="AD304" s="81">
        <v>4375.0</v>
      </c>
      <c r="AE304" s="82" t="s">
        <v>1065</v>
      </c>
      <c r="AF304" s="104" t="str">
        <f t="shared" si="1"/>
        <v>Capital Federal, Argentina</v>
      </c>
      <c r="AG304" s="104">
        <f t="shared" si="2"/>
        <v>1</v>
      </c>
      <c r="AH304" s="112">
        <f t="shared" si="3"/>
        <v>0</v>
      </c>
      <c r="AI304" s="112">
        <f t="shared" si="4"/>
        <v>0</v>
      </c>
      <c r="AJ304" s="111">
        <f t="shared" si="5"/>
        <v>5132</v>
      </c>
      <c r="AK304" s="111">
        <f t="shared" si="6"/>
        <v>5132</v>
      </c>
      <c r="AL304" s="113"/>
      <c r="AM304" s="113"/>
    </row>
    <row r="305">
      <c r="A305" s="104">
        <v>304.0</v>
      </c>
      <c r="B305" s="105">
        <v>44040.0</v>
      </c>
      <c r="C305" s="17">
        <v>72020.0</v>
      </c>
      <c r="D305" s="106" t="s">
        <v>1066</v>
      </c>
      <c r="E305" s="104" t="s">
        <v>38</v>
      </c>
      <c r="F305" s="106" t="s">
        <v>1067</v>
      </c>
      <c r="G305" s="104" t="s">
        <v>40</v>
      </c>
      <c r="H305" s="104" t="s">
        <v>547</v>
      </c>
      <c r="I305" s="104" t="s">
        <v>42</v>
      </c>
      <c r="J305" s="107">
        <v>1.0</v>
      </c>
      <c r="K305" s="108"/>
      <c r="L305" s="108"/>
      <c r="M305" s="107">
        <v>1.0</v>
      </c>
      <c r="N305" s="108"/>
      <c r="O305" s="108"/>
      <c r="P305" s="108"/>
      <c r="Q305" s="109"/>
      <c r="R305" s="109"/>
      <c r="S305" s="104" t="s">
        <v>98</v>
      </c>
      <c r="T305" s="104" t="s">
        <v>638</v>
      </c>
      <c r="U305" s="104" t="s">
        <v>163</v>
      </c>
      <c r="V305" s="104" t="s">
        <v>217</v>
      </c>
      <c r="W305" s="110"/>
      <c r="X305" s="110"/>
      <c r="Y305" s="110"/>
      <c r="Z305" s="110"/>
      <c r="AA305" s="111">
        <v>3950.0</v>
      </c>
      <c r="AB305" s="111">
        <v>0.0</v>
      </c>
      <c r="AC305" s="24" t="s">
        <v>1068</v>
      </c>
      <c r="AD305" s="159">
        <v>4379.0</v>
      </c>
      <c r="AE305" s="82" t="s">
        <v>1069</v>
      </c>
      <c r="AF305" s="104" t="str">
        <f t="shared" si="1"/>
        <v>Chaco, Argentina</v>
      </c>
      <c r="AG305" s="104">
        <f t="shared" si="2"/>
        <v>2</v>
      </c>
      <c r="AH305" s="112">
        <f t="shared" si="3"/>
        <v>0</v>
      </c>
      <c r="AI305" s="112">
        <f t="shared" si="4"/>
        <v>0</v>
      </c>
      <c r="AJ305" s="111">
        <f t="shared" si="5"/>
        <v>3950</v>
      </c>
      <c r="AK305" s="111">
        <f t="shared" si="6"/>
        <v>3950</v>
      </c>
      <c r="AL305" s="113"/>
      <c r="AM305" s="113"/>
    </row>
    <row r="306">
      <c r="A306" s="104">
        <v>305.0</v>
      </c>
      <c r="B306" s="105">
        <v>44040.0</v>
      </c>
      <c r="C306" s="17">
        <v>72020.0</v>
      </c>
      <c r="D306" s="106" t="s">
        <v>1070</v>
      </c>
      <c r="E306" s="104" t="s">
        <v>38</v>
      </c>
      <c r="F306" s="106" t="s">
        <v>1071</v>
      </c>
      <c r="G306" s="104" t="s">
        <v>64</v>
      </c>
      <c r="H306" s="104" t="s">
        <v>41</v>
      </c>
      <c r="I306" s="104" t="s">
        <v>42</v>
      </c>
      <c r="J306" s="108"/>
      <c r="K306" s="108"/>
      <c r="L306" s="108"/>
      <c r="M306" s="108"/>
      <c r="N306" s="108"/>
      <c r="O306" s="108"/>
      <c r="P306" s="108"/>
      <c r="Q306" s="109"/>
      <c r="R306" s="109"/>
      <c r="S306" s="104" t="s">
        <v>89</v>
      </c>
      <c r="T306" s="104" t="s">
        <v>66</v>
      </c>
      <c r="U306" s="104" t="s">
        <v>99</v>
      </c>
      <c r="V306" s="104" t="s">
        <v>78</v>
      </c>
      <c r="W306" s="110"/>
      <c r="X306" s="110"/>
      <c r="Y306" s="110"/>
      <c r="Z306" s="111">
        <v>22500.0</v>
      </c>
      <c r="AA306" s="111">
        <v>0.0</v>
      </c>
      <c r="AB306" s="110" t="s">
        <v>926</v>
      </c>
      <c r="AC306" s="24" t="s">
        <v>1072</v>
      </c>
      <c r="AD306" s="81">
        <v>4373.0</v>
      </c>
      <c r="AE306" s="82" t="s">
        <v>1073</v>
      </c>
      <c r="AF306" s="104" t="str">
        <f t="shared" si="1"/>
        <v>Buenos Aires, Argentina</v>
      </c>
      <c r="AG306" s="104">
        <f t="shared" si="2"/>
        <v>0</v>
      </c>
      <c r="AH306" s="112">
        <f t="shared" si="3"/>
        <v>0</v>
      </c>
      <c r="AI306" s="112">
        <f t="shared" si="4"/>
        <v>22500</v>
      </c>
      <c r="AJ306" s="111">
        <f t="shared" si="5"/>
        <v>0</v>
      </c>
      <c r="AK306" s="111">
        <f t="shared" si="6"/>
        <v>22500</v>
      </c>
      <c r="AL306" s="113"/>
      <c r="AM306" s="113"/>
    </row>
    <row r="307">
      <c r="A307" s="104">
        <v>306.0</v>
      </c>
      <c r="B307" s="105">
        <v>44040.0</v>
      </c>
      <c r="C307" s="17">
        <v>72020.0</v>
      </c>
      <c r="D307" s="106" t="s">
        <v>565</v>
      </c>
      <c r="E307" s="104" t="s">
        <v>38</v>
      </c>
      <c r="F307" s="106" t="s">
        <v>913</v>
      </c>
      <c r="G307" s="104" t="s">
        <v>40</v>
      </c>
      <c r="H307" s="104" t="s">
        <v>547</v>
      </c>
      <c r="I307" s="104" t="s">
        <v>42</v>
      </c>
      <c r="J307" s="107">
        <v>1.0</v>
      </c>
      <c r="K307" s="108"/>
      <c r="L307" s="108"/>
      <c r="M307" s="108"/>
      <c r="N307" s="108"/>
      <c r="O307" s="108"/>
      <c r="P307" s="108"/>
      <c r="Q307" s="109"/>
      <c r="R307" s="109"/>
      <c r="S307" s="104" t="s">
        <v>137</v>
      </c>
      <c r="T307" s="104" t="s">
        <v>66</v>
      </c>
      <c r="U307" s="104" t="s">
        <v>67</v>
      </c>
      <c r="V307" s="104" t="s">
        <v>78</v>
      </c>
      <c r="W307" s="110"/>
      <c r="X307" s="110"/>
      <c r="Y307" s="110"/>
      <c r="Z307" s="110"/>
      <c r="AA307" s="111">
        <v>1975.0</v>
      </c>
      <c r="AB307" s="111">
        <v>0.0</v>
      </c>
      <c r="AC307" s="24" t="s">
        <v>1074</v>
      </c>
      <c r="AD307" s="81">
        <v>4371.0</v>
      </c>
      <c r="AE307" s="82" t="s">
        <v>1075</v>
      </c>
      <c r="AF307" s="104" t="str">
        <f t="shared" si="1"/>
        <v>Buenos Aires, Argentina</v>
      </c>
      <c r="AG307" s="104">
        <f t="shared" si="2"/>
        <v>1</v>
      </c>
      <c r="AH307" s="112">
        <f t="shared" si="3"/>
        <v>0</v>
      </c>
      <c r="AI307" s="112">
        <f t="shared" si="4"/>
        <v>0</v>
      </c>
      <c r="AJ307" s="111">
        <f t="shared" si="5"/>
        <v>1975</v>
      </c>
      <c r="AK307" s="111">
        <f t="shared" si="6"/>
        <v>1975</v>
      </c>
      <c r="AL307" s="113"/>
      <c r="AM307" s="113"/>
    </row>
    <row r="308">
      <c r="A308" s="104">
        <v>307.0</v>
      </c>
      <c r="B308" s="105">
        <v>44041.0</v>
      </c>
      <c r="C308" s="17">
        <v>72020.0</v>
      </c>
      <c r="D308" s="106" t="s">
        <v>993</v>
      </c>
      <c r="E308" s="104" t="s">
        <v>38</v>
      </c>
      <c r="F308" s="106" t="s">
        <v>1076</v>
      </c>
      <c r="G308" s="104" t="s">
        <v>64</v>
      </c>
      <c r="H308" s="104" t="s">
        <v>41</v>
      </c>
      <c r="I308" s="104" t="s">
        <v>42</v>
      </c>
      <c r="J308" s="108"/>
      <c r="K308" s="107">
        <v>1.0</v>
      </c>
      <c r="L308" s="108"/>
      <c r="M308" s="108"/>
      <c r="N308" s="108"/>
      <c r="O308" s="108"/>
      <c r="P308" s="107">
        <v>1.0</v>
      </c>
      <c r="Q308" s="109"/>
      <c r="R308" s="109"/>
      <c r="S308" s="104" t="s">
        <v>98</v>
      </c>
      <c r="T308" s="104" t="s">
        <v>83</v>
      </c>
      <c r="U308" s="104" t="s">
        <v>67</v>
      </c>
      <c r="V308" s="104" t="s">
        <v>84</v>
      </c>
      <c r="W308" s="111">
        <v>7900.0</v>
      </c>
      <c r="X308" s="110"/>
      <c r="Y308" s="110"/>
      <c r="Z308" s="110"/>
      <c r="AA308" s="111">
        <v>2610.0</v>
      </c>
      <c r="AB308" s="111">
        <v>7830.0</v>
      </c>
      <c r="AC308" s="24" t="s">
        <v>1077</v>
      </c>
      <c r="AD308" s="81">
        <v>4377.0</v>
      </c>
      <c r="AE308" s="82" t="s">
        <v>1078</v>
      </c>
      <c r="AF308" s="104" t="str">
        <f t="shared" si="1"/>
        <v>Capital Federal, Argentina</v>
      </c>
      <c r="AG308" s="104">
        <f t="shared" si="2"/>
        <v>2</v>
      </c>
      <c r="AH308" s="112">
        <f t="shared" si="3"/>
        <v>7900</v>
      </c>
      <c r="AI308" s="112">
        <f t="shared" si="4"/>
        <v>0</v>
      </c>
      <c r="AJ308" s="111">
        <f t="shared" si="5"/>
        <v>10440</v>
      </c>
      <c r="AK308" s="111">
        <f t="shared" si="6"/>
        <v>18340</v>
      </c>
      <c r="AL308" s="113"/>
      <c r="AM308" s="113"/>
    </row>
    <row r="309">
      <c r="A309" s="104">
        <v>308.0</v>
      </c>
      <c r="B309" s="105">
        <v>44043.0</v>
      </c>
      <c r="C309" s="17">
        <v>72020.0</v>
      </c>
      <c r="D309" s="106" t="s">
        <v>1079</v>
      </c>
      <c r="E309" s="104" t="s">
        <v>38</v>
      </c>
      <c r="F309" s="106" t="s">
        <v>546</v>
      </c>
      <c r="G309" s="104" t="s">
        <v>40</v>
      </c>
      <c r="H309" s="104" t="s">
        <v>547</v>
      </c>
      <c r="I309" s="104" t="s">
        <v>42</v>
      </c>
      <c r="J309" s="107">
        <v>1.0</v>
      </c>
      <c r="K309" s="108"/>
      <c r="L309" s="108"/>
      <c r="M309" s="108"/>
      <c r="N309" s="108"/>
      <c r="O309" s="108"/>
      <c r="P309" s="108"/>
      <c r="Q309" s="109"/>
      <c r="R309" s="109"/>
      <c r="S309" s="104" t="s">
        <v>72</v>
      </c>
      <c r="T309" s="104" t="s">
        <v>263</v>
      </c>
      <c r="U309" s="104" t="s">
        <v>45</v>
      </c>
      <c r="V309" s="104" t="s">
        <v>46</v>
      </c>
      <c r="W309" s="110"/>
      <c r="X309" s="110"/>
      <c r="Y309" s="110"/>
      <c r="Z309" s="110"/>
      <c r="AA309" s="111">
        <v>1975.0</v>
      </c>
      <c r="AB309" s="111">
        <v>0.0</v>
      </c>
      <c r="AC309" s="24" t="s">
        <v>1080</v>
      </c>
      <c r="AD309" s="81">
        <v>4381.0</v>
      </c>
      <c r="AE309" s="82" t="s">
        <v>1081</v>
      </c>
      <c r="AF309" s="104" t="str">
        <f t="shared" si="1"/>
        <v>Santa Fé, Argentina</v>
      </c>
      <c r="AG309" s="104">
        <f t="shared" si="2"/>
        <v>1</v>
      </c>
      <c r="AH309" s="112">
        <f t="shared" si="3"/>
        <v>0</v>
      </c>
      <c r="AI309" s="112">
        <f t="shared" si="4"/>
        <v>0</v>
      </c>
      <c r="AJ309" s="111">
        <f t="shared" si="5"/>
        <v>1975</v>
      </c>
      <c r="AK309" s="111">
        <f t="shared" si="6"/>
        <v>1975</v>
      </c>
      <c r="AL309" s="113"/>
      <c r="AM309" s="113"/>
    </row>
    <row r="310">
      <c r="A310" s="104">
        <v>309.0</v>
      </c>
      <c r="B310" s="105">
        <v>44043.0</v>
      </c>
      <c r="C310" s="17">
        <v>72020.0</v>
      </c>
      <c r="D310" s="106" t="s">
        <v>1082</v>
      </c>
      <c r="E310" s="104" t="s">
        <v>38</v>
      </c>
      <c r="F310" s="106" t="s">
        <v>1083</v>
      </c>
      <c r="G310" s="104" t="s">
        <v>64</v>
      </c>
      <c r="H310" s="104" t="s">
        <v>41</v>
      </c>
      <c r="I310" s="104" t="s">
        <v>42</v>
      </c>
      <c r="J310" s="108"/>
      <c r="K310" s="108"/>
      <c r="L310" s="108"/>
      <c r="M310" s="108"/>
      <c r="N310" s="108"/>
      <c r="O310" s="108"/>
      <c r="P310" s="107">
        <v>1.0</v>
      </c>
      <c r="Q310" s="109"/>
      <c r="R310" s="109"/>
      <c r="S310" s="104" t="s">
        <v>98</v>
      </c>
      <c r="T310" s="104" t="s">
        <v>83</v>
      </c>
      <c r="U310" s="104" t="s">
        <v>53</v>
      </c>
      <c r="V310" s="104" t="s">
        <v>46</v>
      </c>
      <c r="W310" s="111">
        <v>1600.0</v>
      </c>
      <c r="X310" s="110"/>
      <c r="Y310" s="110"/>
      <c r="Z310" s="110"/>
      <c r="AA310" s="111">
        <v>0.0</v>
      </c>
      <c r="AB310" s="111">
        <v>0.0</v>
      </c>
      <c r="AC310" s="24" t="s">
        <v>1084</v>
      </c>
      <c r="AD310" s="81">
        <v>4383.0</v>
      </c>
      <c r="AE310" s="82" t="s">
        <v>1085</v>
      </c>
      <c r="AF310" s="104" t="str">
        <f t="shared" si="1"/>
        <v>Capital Federal, Argentina</v>
      </c>
      <c r="AG310" s="104">
        <f t="shared" si="2"/>
        <v>1</v>
      </c>
      <c r="AH310" s="112">
        <f t="shared" si="3"/>
        <v>1600</v>
      </c>
      <c r="AI310" s="112">
        <f t="shared" si="4"/>
        <v>0</v>
      </c>
      <c r="AJ310" s="111">
        <f t="shared" si="5"/>
        <v>0</v>
      </c>
      <c r="AK310" s="111">
        <f t="shared" si="6"/>
        <v>1600</v>
      </c>
      <c r="AL310" s="113"/>
      <c r="AM310" s="113"/>
    </row>
    <row r="311">
      <c r="A311" s="104">
        <v>310.0</v>
      </c>
      <c r="B311" s="105">
        <v>44043.0</v>
      </c>
      <c r="C311" s="17">
        <v>72020.0</v>
      </c>
      <c r="D311" s="106" t="s">
        <v>1086</v>
      </c>
      <c r="E311" s="104" t="s">
        <v>38</v>
      </c>
      <c r="F311" s="106" t="s">
        <v>704</v>
      </c>
      <c r="G311" s="104" t="s">
        <v>40</v>
      </c>
      <c r="H311" s="104" t="s">
        <v>41</v>
      </c>
      <c r="I311" s="104" t="s">
        <v>42</v>
      </c>
      <c r="J311" s="107">
        <v>2.0</v>
      </c>
      <c r="K311" s="107">
        <v>2.0</v>
      </c>
      <c r="L311" s="108"/>
      <c r="M311" s="108"/>
      <c r="N311" s="108"/>
      <c r="O311" s="108"/>
      <c r="P311" s="108"/>
      <c r="Q311" s="109"/>
      <c r="R311" s="109"/>
      <c r="S311" s="104" t="s">
        <v>114</v>
      </c>
      <c r="T311" s="104" t="s">
        <v>148</v>
      </c>
      <c r="U311" s="104" t="s">
        <v>45</v>
      </c>
      <c r="V311" s="104" t="s">
        <v>217</v>
      </c>
      <c r="W311" s="110"/>
      <c r="X311" s="110"/>
      <c r="Y311" s="110"/>
      <c r="Z311" s="110"/>
      <c r="AA311" s="111">
        <v>13120.0</v>
      </c>
      <c r="AB311" s="111">
        <v>39360.0</v>
      </c>
      <c r="AC311" s="24" t="s">
        <v>1087</v>
      </c>
      <c r="AD311" s="159">
        <v>28437.0</v>
      </c>
      <c r="AE311" s="82" t="s">
        <v>1088</v>
      </c>
      <c r="AF311" s="104" t="str">
        <f t="shared" si="1"/>
        <v>Formosa, Argentina</v>
      </c>
      <c r="AG311" s="104">
        <f t="shared" si="2"/>
        <v>4</v>
      </c>
      <c r="AH311" s="112">
        <f t="shared" si="3"/>
        <v>0</v>
      </c>
      <c r="AI311" s="112">
        <f t="shared" si="4"/>
        <v>0</v>
      </c>
      <c r="AJ311" s="111">
        <f t="shared" si="5"/>
        <v>52480</v>
      </c>
      <c r="AK311" s="111">
        <f t="shared" si="6"/>
        <v>52480</v>
      </c>
      <c r="AL311" s="113"/>
      <c r="AM311" s="113"/>
    </row>
    <row r="312">
      <c r="A312" s="104">
        <v>311.0</v>
      </c>
      <c r="B312" s="105">
        <v>44043.0</v>
      </c>
      <c r="C312" s="17">
        <v>72020.0</v>
      </c>
      <c r="D312" s="106" t="s">
        <v>1089</v>
      </c>
      <c r="E312" s="104" t="s">
        <v>38</v>
      </c>
      <c r="F312" s="106" t="s">
        <v>678</v>
      </c>
      <c r="G312" s="104" t="s">
        <v>40</v>
      </c>
      <c r="H312" s="104" t="s">
        <v>41</v>
      </c>
      <c r="I312" s="104" t="s">
        <v>42</v>
      </c>
      <c r="J312" s="107">
        <v>2.0</v>
      </c>
      <c r="K312" s="107">
        <v>3.0</v>
      </c>
      <c r="L312" s="108"/>
      <c r="M312" s="108"/>
      <c r="N312" s="108"/>
      <c r="O312" s="108"/>
      <c r="P312" s="108"/>
      <c r="Q312" s="109"/>
      <c r="R312" s="109"/>
      <c r="S312" s="104" t="s">
        <v>167</v>
      </c>
      <c r="T312" s="104" t="s">
        <v>66</v>
      </c>
      <c r="U312" s="104" t="s">
        <v>45</v>
      </c>
      <c r="V312" s="104" t="s">
        <v>217</v>
      </c>
      <c r="W312" s="110"/>
      <c r="X312" s="110"/>
      <c r="Y312" s="110"/>
      <c r="Z312" s="110"/>
      <c r="AA312" s="111">
        <v>15730.0</v>
      </c>
      <c r="AB312" s="111">
        <v>47190.0</v>
      </c>
      <c r="AC312" s="24" t="s">
        <v>1090</v>
      </c>
      <c r="AD312" s="159">
        <v>4387.0</v>
      </c>
      <c r="AE312" s="82" t="s">
        <v>1091</v>
      </c>
      <c r="AF312" s="104" t="str">
        <f t="shared" si="1"/>
        <v>Buenos Aires, Argentina</v>
      </c>
      <c r="AG312" s="104">
        <f t="shared" si="2"/>
        <v>5</v>
      </c>
      <c r="AH312" s="112">
        <f t="shared" si="3"/>
        <v>0</v>
      </c>
      <c r="AI312" s="112">
        <f t="shared" si="4"/>
        <v>0</v>
      </c>
      <c r="AJ312" s="111">
        <f t="shared" si="5"/>
        <v>62920</v>
      </c>
      <c r="AK312" s="111">
        <f t="shared" si="6"/>
        <v>62920</v>
      </c>
      <c r="AL312" s="113"/>
      <c r="AM312" s="113"/>
    </row>
    <row r="313">
      <c r="A313" s="104">
        <v>312.0</v>
      </c>
      <c r="B313" s="105">
        <v>44043.0</v>
      </c>
      <c r="C313" s="17">
        <v>72020.0</v>
      </c>
      <c r="D313" s="106" t="s">
        <v>1092</v>
      </c>
      <c r="E313" s="104" t="s">
        <v>38</v>
      </c>
      <c r="F313" s="106" t="s">
        <v>517</v>
      </c>
      <c r="G313" s="104" t="s">
        <v>40</v>
      </c>
      <c r="H313" s="104" t="s">
        <v>41</v>
      </c>
      <c r="I313" s="104" t="s">
        <v>42</v>
      </c>
      <c r="J313" s="107">
        <v>1.0</v>
      </c>
      <c r="K313" s="108"/>
      <c r="L313" s="108"/>
      <c r="M313" s="108"/>
      <c r="N313" s="108"/>
      <c r="O313" s="108"/>
      <c r="P313" s="108"/>
      <c r="Q313" s="109"/>
      <c r="R313" s="109"/>
      <c r="S313" s="104" t="s">
        <v>137</v>
      </c>
      <c r="T313" s="104" t="s">
        <v>66</v>
      </c>
      <c r="U313" s="104" t="s">
        <v>45</v>
      </c>
      <c r="V313" s="104" t="s">
        <v>59</v>
      </c>
      <c r="W313" s="110"/>
      <c r="X313" s="110"/>
      <c r="Y313" s="110"/>
      <c r="Z313" s="110"/>
      <c r="AA313" s="111">
        <v>3950.0</v>
      </c>
      <c r="AB313" s="111">
        <v>11850.0</v>
      </c>
      <c r="AC313" s="24" t="s">
        <v>1093</v>
      </c>
      <c r="AD313" s="81">
        <v>4385.0</v>
      </c>
      <c r="AE313" s="82" t="s">
        <v>1094</v>
      </c>
      <c r="AF313" s="104" t="str">
        <f t="shared" si="1"/>
        <v>Buenos Aires, Argentina</v>
      </c>
      <c r="AG313" s="104">
        <f t="shared" si="2"/>
        <v>1</v>
      </c>
      <c r="AH313" s="112">
        <f t="shared" si="3"/>
        <v>0</v>
      </c>
      <c r="AI313" s="112">
        <f t="shared" si="4"/>
        <v>0</v>
      </c>
      <c r="AJ313" s="111">
        <f t="shared" si="5"/>
        <v>15800</v>
      </c>
      <c r="AK313" s="111">
        <f t="shared" si="6"/>
        <v>15800</v>
      </c>
      <c r="AL313" s="113"/>
      <c r="AM313" s="113"/>
    </row>
    <row r="314">
      <c r="A314" s="104">
        <v>313.0</v>
      </c>
      <c r="B314" s="105">
        <v>44043.0</v>
      </c>
      <c r="C314" s="17">
        <v>72020.0</v>
      </c>
      <c r="D314" s="106" t="s">
        <v>1095</v>
      </c>
      <c r="E314" s="104" t="s">
        <v>38</v>
      </c>
      <c r="F314" s="106" t="s">
        <v>546</v>
      </c>
      <c r="G314" s="104" t="s">
        <v>40</v>
      </c>
      <c r="H314" s="104" t="s">
        <v>547</v>
      </c>
      <c r="I314" s="104" t="s">
        <v>42</v>
      </c>
      <c r="J314" s="107">
        <v>1.0</v>
      </c>
      <c r="K314" s="108"/>
      <c r="L314" s="108"/>
      <c r="M314" s="108"/>
      <c r="N314" s="108"/>
      <c r="O314" s="108"/>
      <c r="P314" s="108"/>
      <c r="Q314" s="109"/>
      <c r="R314" s="109"/>
      <c r="S314" s="104" t="s">
        <v>98</v>
      </c>
      <c r="T314" s="104" t="s">
        <v>734</v>
      </c>
      <c r="U314" s="104" t="s">
        <v>45</v>
      </c>
      <c r="V314" s="104" t="s">
        <v>46</v>
      </c>
      <c r="W314" s="110"/>
      <c r="X314" s="110"/>
      <c r="Y314" s="110"/>
      <c r="Z314" s="110"/>
      <c r="AA314" s="111">
        <v>1975.0</v>
      </c>
      <c r="AB314" s="111">
        <v>0.0</v>
      </c>
      <c r="AC314" s="24" t="s">
        <v>1096</v>
      </c>
      <c r="AD314" s="159">
        <v>4391.0</v>
      </c>
      <c r="AE314" s="82" t="s">
        <v>1097</v>
      </c>
      <c r="AF314" s="104" t="str">
        <f t="shared" si="1"/>
        <v>Corrientes, Argentina</v>
      </c>
      <c r="AG314" s="104">
        <f t="shared" si="2"/>
        <v>1</v>
      </c>
      <c r="AH314" s="112">
        <f t="shared" si="3"/>
        <v>0</v>
      </c>
      <c r="AI314" s="112">
        <f t="shared" si="4"/>
        <v>0</v>
      </c>
      <c r="AJ314" s="111">
        <f t="shared" si="5"/>
        <v>1975</v>
      </c>
      <c r="AK314" s="111">
        <f t="shared" si="6"/>
        <v>1975</v>
      </c>
      <c r="AL314" s="113"/>
      <c r="AM314" s="113"/>
    </row>
    <row r="315">
      <c r="A315" s="104">
        <v>314.0</v>
      </c>
      <c r="B315" s="105">
        <v>44043.0</v>
      </c>
      <c r="C315" s="17">
        <v>72020.0</v>
      </c>
      <c r="D315" s="106" t="s">
        <v>1098</v>
      </c>
      <c r="E315" s="104" t="s">
        <v>38</v>
      </c>
      <c r="F315" s="106" t="s">
        <v>1099</v>
      </c>
      <c r="G315" s="104" t="s">
        <v>64</v>
      </c>
      <c r="H315" s="104" t="s">
        <v>41</v>
      </c>
      <c r="I315" s="104" t="s">
        <v>42</v>
      </c>
      <c r="J315" s="108"/>
      <c r="K315" s="108"/>
      <c r="L315" s="108"/>
      <c r="M315" s="108"/>
      <c r="N315" s="107">
        <v>1.0</v>
      </c>
      <c r="O315" s="108"/>
      <c r="P315" s="108"/>
      <c r="Q315" s="109"/>
      <c r="R315" s="109"/>
      <c r="S315" s="104" t="s">
        <v>65</v>
      </c>
      <c r="T315" s="158" t="s">
        <v>83</v>
      </c>
      <c r="U315" s="104" t="s">
        <v>67</v>
      </c>
      <c r="V315" s="104" t="s">
        <v>84</v>
      </c>
      <c r="W315" s="110"/>
      <c r="X315" s="110"/>
      <c r="Y315" s="110"/>
      <c r="Z315" s="110"/>
      <c r="AA315" s="111">
        <v>5870.0</v>
      </c>
      <c r="AB315" s="111">
        <v>0.0</v>
      </c>
      <c r="AC315" s="24" t="s">
        <v>1100</v>
      </c>
      <c r="AD315" s="81">
        <v>4389.0</v>
      </c>
      <c r="AE315" s="82" t="s">
        <v>1101</v>
      </c>
      <c r="AF315" s="158" t="str">
        <f t="shared" si="1"/>
        <v>Capital Federal, Argentina</v>
      </c>
      <c r="AG315" s="158">
        <f t="shared" si="2"/>
        <v>1</v>
      </c>
      <c r="AH315" s="112">
        <f t="shared" si="3"/>
        <v>0</v>
      </c>
      <c r="AI315" s="112">
        <f t="shared" si="4"/>
        <v>0</v>
      </c>
      <c r="AJ315" s="111">
        <f t="shared" si="5"/>
        <v>5870</v>
      </c>
      <c r="AK315" s="111">
        <f t="shared" si="6"/>
        <v>5870</v>
      </c>
      <c r="AL315" s="113"/>
      <c r="AM315" s="113"/>
    </row>
    <row r="316">
      <c r="A316" s="114">
        <v>315.0</v>
      </c>
      <c r="B316" s="115">
        <v>44044.0</v>
      </c>
      <c r="C316" s="17">
        <v>82020.0</v>
      </c>
      <c r="D316" s="116" t="s">
        <v>874</v>
      </c>
      <c r="E316" s="114" t="s">
        <v>38</v>
      </c>
      <c r="F316" s="116" t="s">
        <v>1102</v>
      </c>
      <c r="G316" s="114" t="s">
        <v>64</v>
      </c>
      <c r="H316" s="114" t="s">
        <v>41</v>
      </c>
      <c r="I316" s="114" t="s">
        <v>643</v>
      </c>
      <c r="J316" s="117"/>
      <c r="K316" s="117"/>
      <c r="L316" s="117"/>
      <c r="M316" s="118">
        <v>1.0</v>
      </c>
      <c r="N316" s="117"/>
      <c r="O316" s="117"/>
      <c r="P316" s="117"/>
      <c r="Q316" s="119"/>
      <c r="R316" s="119"/>
      <c r="S316" s="114" t="s">
        <v>114</v>
      </c>
      <c r="T316" s="114" t="s">
        <v>66</v>
      </c>
      <c r="U316" s="114" t="s">
        <v>67</v>
      </c>
      <c r="V316" s="114" t="s">
        <v>84</v>
      </c>
      <c r="W316" s="121"/>
      <c r="X316" s="121"/>
      <c r="Y316" s="121"/>
      <c r="Z316" s="121"/>
      <c r="AA316" s="120">
        <v>6247.0</v>
      </c>
      <c r="AB316" s="120">
        <v>0.0</v>
      </c>
      <c r="AC316" s="24" t="s">
        <v>875</v>
      </c>
      <c r="AD316" s="17">
        <v>4209.0</v>
      </c>
      <c r="AE316" s="27" t="s">
        <v>876</v>
      </c>
      <c r="AF316" s="114" t="str">
        <f t="shared" si="1"/>
        <v>Buenos Aires, Argentina</v>
      </c>
      <c r="AG316" s="114">
        <f t="shared" si="2"/>
        <v>1</v>
      </c>
      <c r="AH316" s="122">
        <f t="shared" si="3"/>
        <v>0</v>
      </c>
      <c r="AI316" s="122">
        <f t="shared" si="4"/>
        <v>0</v>
      </c>
      <c r="AJ316" s="120">
        <f t="shared" si="5"/>
        <v>6247</v>
      </c>
      <c r="AK316" s="120">
        <f t="shared" si="6"/>
        <v>6247</v>
      </c>
      <c r="AL316" s="123"/>
      <c r="AM316" s="123"/>
    </row>
    <row r="317">
      <c r="A317" s="114">
        <v>316.0</v>
      </c>
      <c r="B317" s="115">
        <v>44046.0</v>
      </c>
      <c r="C317" s="17">
        <v>82020.0</v>
      </c>
      <c r="D317" s="116" t="s">
        <v>1103</v>
      </c>
      <c r="E317" s="114" t="s">
        <v>1104</v>
      </c>
      <c r="F317" s="116" t="s">
        <v>1105</v>
      </c>
      <c r="G317" s="114" t="s">
        <v>64</v>
      </c>
      <c r="H317" s="114" t="s">
        <v>41</v>
      </c>
      <c r="I317" s="114" t="s">
        <v>42</v>
      </c>
      <c r="J317" s="117"/>
      <c r="K317" s="117"/>
      <c r="L317" s="117"/>
      <c r="M317" s="118">
        <v>1.0</v>
      </c>
      <c r="N317" s="117"/>
      <c r="O317" s="117"/>
      <c r="P317" s="117"/>
      <c r="Q317" s="119"/>
      <c r="R317" s="114">
        <v>3.0</v>
      </c>
      <c r="S317" s="114" t="s">
        <v>189</v>
      </c>
      <c r="T317" s="114" t="s">
        <v>58</v>
      </c>
      <c r="U317" s="114" t="s">
        <v>99</v>
      </c>
      <c r="V317" s="114" t="s">
        <v>59</v>
      </c>
      <c r="W317" s="121"/>
      <c r="X317" s="121"/>
      <c r="Y317" s="121"/>
      <c r="Z317" s="120">
        <v>35184.0</v>
      </c>
      <c r="AA317" s="120">
        <v>4528.0</v>
      </c>
      <c r="AB317" s="120">
        <v>0.0</v>
      </c>
      <c r="AC317" s="24" t="s">
        <v>1106</v>
      </c>
      <c r="AD317" s="81">
        <v>4393.0</v>
      </c>
      <c r="AE317" s="82" t="s">
        <v>1107</v>
      </c>
      <c r="AF317" s="114" t="str">
        <f t="shared" si="1"/>
        <v>Córdoba, Argentina</v>
      </c>
      <c r="AG317" s="114">
        <f t="shared" si="2"/>
        <v>1</v>
      </c>
      <c r="AH317" s="122">
        <f t="shared" si="3"/>
        <v>0</v>
      </c>
      <c r="AI317" s="122">
        <f t="shared" si="4"/>
        <v>35184</v>
      </c>
      <c r="AJ317" s="120">
        <f t="shared" si="5"/>
        <v>4528</v>
      </c>
      <c r="AK317" s="120">
        <f t="shared" si="6"/>
        <v>39712</v>
      </c>
      <c r="AL317" s="123"/>
      <c r="AM317" s="123"/>
    </row>
    <row r="318">
      <c r="A318" s="114">
        <v>317.0</v>
      </c>
      <c r="B318" s="115">
        <v>44049.0</v>
      </c>
      <c r="C318" s="17">
        <v>82020.0</v>
      </c>
      <c r="D318" s="116" t="s">
        <v>795</v>
      </c>
      <c r="E318" s="114" t="s">
        <v>796</v>
      </c>
      <c r="F318" s="116" t="s">
        <v>1102</v>
      </c>
      <c r="G318" s="114" t="s">
        <v>64</v>
      </c>
      <c r="H318" s="114" t="s">
        <v>41</v>
      </c>
      <c r="I318" s="114" t="s">
        <v>42</v>
      </c>
      <c r="J318" s="117"/>
      <c r="K318" s="117"/>
      <c r="L318" s="117"/>
      <c r="M318" s="118">
        <v>1.0</v>
      </c>
      <c r="N318" s="117"/>
      <c r="O318" s="117"/>
      <c r="P318" s="117"/>
      <c r="Q318" s="119"/>
      <c r="R318" s="119"/>
      <c r="S318" s="114" t="s">
        <v>98</v>
      </c>
      <c r="T318" s="114" t="s">
        <v>66</v>
      </c>
      <c r="U318" s="114" t="s">
        <v>67</v>
      </c>
      <c r="V318" s="114" t="s">
        <v>78</v>
      </c>
      <c r="W318" s="121"/>
      <c r="X318" s="121"/>
      <c r="Y318" s="121"/>
      <c r="Z318" s="121"/>
      <c r="AA318" s="120">
        <v>4940.0</v>
      </c>
      <c r="AB318" s="120">
        <v>0.0</v>
      </c>
      <c r="AC318" s="24" t="s">
        <v>1108</v>
      </c>
      <c r="AD318" s="81">
        <v>4181.0</v>
      </c>
      <c r="AE318" s="82" t="s">
        <v>798</v>
      </c>
      <c r="AF318" s="114" t="str">
        <f t="shared" si="1"/>
        <v>Buenos Aires, Argentina</v>
      </c>
      <c r="AG318" s="114">
        <f t="shared" si="2"/>
        <v>1</v>
      </c>
      <c r="AH318" s="122">
        <f t="shared" si="3"/>
        <v>0</v>
      </c>
      <c r="AI318" s="122">
        <f t="shared" si="4"/>
        <v>0</v>
      </c>
      <c r="AJ318" s="120">
        <f t="shared" si="5"/>
        <v>4940</v>
      </c>
      <c r="AK318" s="120">
        <f t="shared" si="6"/>
        <v>4940</v>
      </c>
      <c r="AL318" s="123"/>
      <c r="AM318" s="123"/>
    </row>
    <row r="319">
      <c r="A319" s="114">
        <v>318.0</v>
      </c>
      <c r="B319" s="115">
        <v>44049.0</v>
      </c>
      <c r="C319" s="17">
        <v>82020.0</v>
      </c>
      <c r="D319" s="116" t="s">
        <v>677</v>
      </c>
      <c r="E319" s="114" t="s">
        <v>38</v>
      </c>
      <c r="F319" s="116" t="s">
        <v>1102</v>
      </c>
      <c r="G319" s="114" t="s">
        <v>64</v>
      </c>
      <c r="H319" s="114" t="s">
        <v>41</v>
      </c>
      <c r="I319" s="114" t="s">
        <v>42</v>
      </c>
      <c r="J319" s="117"/>
      <c r="K319" s="117"/>
      <c r="L319" s="117"/>
      <c r="M319" s="118">
        <v>1.0</v>
      </c>
      <c r="N319" s="117"/>
      <c r="O319" s="117"/>
      <c r="P319" s="117"/>
      <c r="Q319" s="119"/>
      <c r="R319" s="119"/>
      <c r="S319" s="114" t="s">
        <v>105</v>
      </c>
      <c r="T319" s="114" t="s">
        <v>83</v>
      </c>
      <c r="U319" s="114" t="s">
        <v>67</v>
      </c>
      <c r="V319" s="114" t="s">
        <v>59</v>
      </c>
      <c r="W319" s="121"/>
      <c r="X319" s="121"/>
      <c r="Y319" s="121"/>
      <c r="Z319" s="121"/>
      <c r="AA319" s="120">
        <v>4940.0</v>
      </c>
      <c r="AB319" s="120">
        <v>0.0</v>
      </c>
      <c r="AC319" s="24" t="s">
        <v>679</v>
      </c>
      <c r="AD319" s="17">
        <v>4013.0</v>
      </c>
      <c r="AE319" s="27" t="s">
        <v>1109</v>
      </c>
      <c r="AF319" s="114" t="str">
        <f t="shared" si="1"/>
        <v>Capital Federal, Argentina</v>
      </c>
      <c r="AG319" s="114">
        <f t="shared" si="2"/>
        <v>1</v>
      </c>
      <c r="AH319" s="122">
        <f t="shared" si="3"/>
        <v>0</v>
      </c>
      <c r="AI319" s="122">
        <f t="shared" si="4"/>
        <v>0</v>
      </c>
      <c r="AJ319" s="120">
        <f t="shared" si="5"/>
        <v>4940</v>
      </c>
      <c r="AK319" s="120">
        <f t="shared" si="6"/>
        <v>4940</v>
      </c>
      <c r="AL319" s="123"/>
      <c r="AM319" s="123"/>
    </row>
    <row r="320">
      <c r="A320" s="114">
        <v>319.0</v>
      </c>
      <c r="B320" s="115">
        <v>44049.0</v>
      </c>
      <c r="C320" s="17">
        <v>82020.0</v>
      </c>
      <c r="D320" s="116" t="s">
        <v>848</v>
      </c>
      <c r="E320" s="114" t="s">
        <v>38</v>
      </c>
      <c r="F320" s="116" t="s">
        <v>1102</v>
      </c>
      <c r="G320" s="114" t="s">
        <v>64</v>
      </c>
      <c r="H320" s="114" t="s">
        <v>41</v>
      </c>
      <c r="I320" s="114" t="s">
        <v>643</v>
      </c>
      <c r="J320" s="117"/>
      <c r="K320" s="117"/>
      <c r="L320" s="117"/>
      <c r="M320" s="118">
        <v>1.0</v>
      </c>
      <c r="N320" s="117"/>
      <c r="O320" s="117"/>
      <c r="P320" s="117"/>
      <c r="Q320" s="119"/>
      <c r="R320" s="119"/>
      <c r="S320" s="114" t="s">
        <v>72</v>
      </c>
      <c r="T320" s="114" t="s">
        <v>83</v>
      </c>
      <c r="U320" s="114" t="s">
        <v>67</v>
      </c>
      <c r="V320" s="114" t="s">
        <v>84</v>
      </c>
      <c r="W320" s="121"/>
      <c r="X320" s="121"/>
      <c r="Y320" s="121"/>
      <c r="Z320" s="121"/>
      <c r="AA320" s="120">
        <v>4150.0</v>
      </c>
      <c r="AB320" s="120">
        <v>4150.0</v>
      </c>
      <c r="AC320" s="24" t="s">
        <v>1110</v>
      </c>
      <c r="AD320" s="17">
        <v>4013.0</v>
      </c>
      <c r="AE320" s="27" t="s">
        <v>851</v>
      </c>
      <c r="AF320" s="114" t="str">
        <f t="shared" si="1"/>
        <v>Capital Federal, Argentina</v>
      </c>
      <c r="AG320" s="114">
        <f t="shared" si="2"/>
        <v>1</v>
      </c>
      <c r="AH320" s="122">
        <f t="shared" si="3"/>
        <v>0</v>
      </c>
      <c r="AI320" s="122">
        <f t="shared" si="4"/>
        <v>0</v>
      </c>
      <c r="AJ320" s="120">
        <f t="shared" si="5"/>
        <v>8300</v>
      </c>
      <c r="AK320" s="120">
        <f t="shared" si="6"/>
        <v>8300</v>
      </c>
      <c r="AL320" s="123"/>
      <c r="AM320" s="123"/>
    </row>
    <row r="321">
      <c r="A321" s="114">
        <v>320.0</v>
      </c>
      <c r="B321" s="115">
        <v>44050.0</v>
      </c>
      <c r="C321" s="17">
        <v>82020.0</v>
      </c>
      <c r="D321" s="116" t="s">
        <v>1111</v>
      </c>
      <c r="E321" s="114" t="s">
        <v>38</v>
      </c>
      <c r="F321" s="116" t="s">
        <v>1102</v>
      </c>
      <c r="G321" s="114" t="s">
        <v>64</v>
      </c>
      <c r="H321" s="114" t="s">
        <v>547</v>
      </c>
      <c r="I321" s="114" t="s">
        <v>643</v>
      </c>
      <c r="J321" s="117"/>
      <c r="K321" s="117"/>
      <c r="L321" s="117"/>
      <c r="M321" s="118">
        <v>1.0</v>
      </c>
      <c r="N321" s="117"/>
      <c r="O321" s="117"/>
      <c r="P321" s="117"/>
      <c r="Q321" s="119"/>
      <c r="R321" s="119"/>
      <c r="S321" s="114" t="s">
        <v>204</v>
      </c>
      <c r="T321" s="114" t="s">
        <v>66</v>
      </c>
      <c r="U321" s="114" t="s">
        <v>67</v>
      </c>
      <c r="V321" s="114" t="s">
        <v>84</v>
      </c>
      <c r="W321" s="121"/>
      <c r="X321" s="121"/>
      <c r="Y321" s="121"/>
      <c r="Z321" s="121"/>
      <c r="AA321" s="120">
        <v>2964.0</v>
      </c>
      <c r="AB321" s="120">
        <v>0.0</v>
      </c>
      <c r="AC321" s="24" t="s">
        <v>1112</v>
      </c>
      <c r="AD321" s="17">
        <v>4199.0</v>
      </c>
      <c r="AE321" s="27" t="s">
        <v>870</v>
      </c>
      <c r="AF321" s="114" t="str">
        <f t="shared" si="1"/>
        <v>Buenos Aires, Argentina</v>
      </c>
      <c r="AG321" s="114">
        <f t="shared" si="2"/>
        <v>1</v>
      </c>
      <c r="AH321" s="122">
        <f t="shared" si="3"/>
        <v>0</v>
      </c>
      <c r="AI321" s="122">
        <f t="shared" si="4"/>
        <v>0</v>
      </c>
      <c r="AJ321" s="120">
        <f t="shared" si="5"/>
        <v>2964</v>
      </c>
      <c r="AK321" s="120">
        <f t="shared" si="6"/>
        <v>2964</v>
      </c>
      <c r="AL321" s="123"/>
      <c r="AM321" s="123"/>
    </row>
    <row r="322">
      <c r="A322" s="114">
        <v>321.0</v>
      </c>
      <c r="B322" s="115">
        <v>44050.0</v>
      </c>
      <c r="C322" s="17">
        <v>82020.0</v>
      </c>
      <c r="D322" s="116" t="s">
        <v>859</v>
      </c>
      <c r="E322" s="114" t="s">
        <v>38</v>
      </c>
      <c r="F322" s="116" t="s">
        <v>1102</v>
      </c>
      <c r="G322" s="114" t="s">
        <v>64</v>
      </c>
      <c r="H322" s="114" t="s">
        <v>41</v>
      </c>
      <c r="I322" s="114" t="s">
        <v>42</v>
      </c>
      <c r="J322" s="117"/>
      <c r="K322" s="117"/>
      <c r="L322" s="117"/>
      <c r="M322" s="118">
        <v>1.0</v>
      </c>
      <c r="N322" s="117"/>
      <c r="O322" s="117"/>
      <c r="P322" s="117"/>
      <c r="Q322" s="119"/>
      <c r="R322" s="119"/>
      <c r="S322" s="114" t="s">
        <v>189</v>
      </c>
      <c r="T322" s="161" t="s">
        <v>66</v>
      </c>
      <c r="U322" s="114" t="s">
        <v>67</v>
      </c>
      <c r="V322" s="114" t="s">
        <v>78</v>
      </c>
      <c r="W322" s="121"/>
      <c r="X322" s="121"/>
      <c r="Y322" s="121"/>
      <c r="Z322" s="121"/>
      <c r="AA322" s="120">
        <v>4940.0</v>
      </c>
      <c r="AB322" s="120">
        <v>0.0</v>
      </c>
      <c r="AC322" s="24" t="s">
        <v>1113</v>
      </c>
      <c r="AD322" s="17">
        <v>4185.0</v>
      </c>
      <c r="AE322" s="27" t="s">
        <v>861</v>
      </c>
      <c r="AF322" s="161" t="str">
        <f t="shared" si="1"/>
        <v>Buenos Aires, Argentina</v>
      </c>
      <c r="AG322" s="161">
        <f t="shared" si="2"/>
        <v>1</v>
      </c>
      <c r="AH322" s="122">
        <f t="shared" si="3"/>
        <v>0</v>
      </c>
      <c r="AI322" s="122">
        <f t="shared" si="4"/>
        <v>0</v>
      </c>
      <c r="AJ322" s="120">
        <f t="shared" si="5"/>
        <v>4940</v>
      </c>
      <c r="AK322" s="120">
        <f t="shared" si="6"/>
        <v>4940</v>
      </c>
      <c r="AL322" s="123"/>
      <c r="AM322" s="123"/>
    </row>
    <row r="323">
      <c r="A323" s="114">
        <v>322.0</v>
      </c>
      <c r="B323" s="115">
        <v>44050.0</v>
      </c>
      <c r="C323" s="17">
        <v>82020.0</v>
      </c>
      <c r="D323" s="116" t="s">
        <v>1114</v>
      </c>
      <c r="E323" s="114" t="s">
        <v>38</v>
      </c>
      <c r="F323" s="116" t="s">
        <v>123</v>
      </c>
      <c r="G323" s="114" t="s">
        <v>40</v>
      </c>
      <c r="H323" s="114" t="s">
        <v>41</v>
      </c>
      <c r="I323" s="114" t="s">
        <v>42</v>
      </c>
      <c r="J323" s="118">
        <v>1.0</v>
      </c>
      <c r="K323" s="118">
        <v>1.0</v>
      </c>
      <c r="L323" s="117"/>
      <c r="M323" s="117"/>
      <c r="N323" s="117"/>
      <c r="O323" s="117"/>
      <c r="P323" s="117"/>
      <c r="Q323" s="119"/>
      <c r="R323" s="119"/>
      <c r="S323" s="114" t="s">
        <v>114</v>
      </c>
      <c r="T323" s="114" t="s">
        <v>73</v>
      </c>
      <c r="U323" s="114" t="s">
        <v>53</v>
      </c>
      <c r="V323" s="114" t="s">
        <v>46</v>
      </c>
      <c r="W323" s="121"/>
      <c r="X323" s="121"/>
      <c r="Y323" s="121"/>
      <c r="Z323" s="121"/>
      <c r="AA323" s="120">
        <v>8200.0</v>
      </c>
      <c r="AB323" s="120">
        <v>32800.0</v>
      </c>
      <c r="AC323" s="24" t="s">
        <v>1115</v>
      </c>
      <c r="AD323" s="81">
        <v>4399.0</v>
      </c>
      <c r="AE323" s="82" t="s">
        <v>1116</v>
      </c>
      <c r="AF323" s="114" t="str">
        <f t="shared" si="1"/>
        <v>Tierra de Fuego, Argentina</v>
      </c>
      <c r="AG323" s="114">
        <f t="shared" si="2"/>
        <v>2</v>
      </c>
      <c r="AH323" s="122">
        <f t="shared" si="3"/>
        <v>0</v>
      </c>
      <c r="AI323" s="122">
        <f t="shared" si="4"/>
        <v>0</v>
      </c>
      <c r="AJ323" s="120">
        <f t="shared" si="5"/>
        <v>41000</v>
      </c>
      <c r="AK323" s="120">
        <f t="shared" si="6"/>
        <v>41000</v>
      </c>
      <c r="AL323" s="123"/>
      <c r="AM323" s="123"/>
    </row>
    <row r="324">
      <c r="A324" s="114">
        <v>323.0</v>
      </c>
      <c r="B324" s="115">
        <v>44051.0</v>
      </c>
      <c r="C324" s="17">
        <v>82020.0</v>
      </c>
      <c r="D324" s="116" t="s">
        <v>1117</v>
      </c>
      <c r="E324" s="114" t="s">
        <v>38</v>
      </c>
      <c r="F324" s="116" t="s">
        <v>1118</v>
      </c>
      <c r="G324" s="114" t="s">
        <v>64</v>
      </c>
      <c r="H324" s="114" t="s">
        <v>41</v>
      </c>
      <c r="I324" s="114" t="s">
        <v>643</v>
      </c>
      <c r="J324" s="117"/>
      <c r="K324" s="117"/>
      <c r="L324" s="117"/>
      <c r="M324" s="117"/>
      <c r="N324" s="118">
        <v>1.0</v>
      </c>
      <c r="O324" s="117"/>
      <c r="P324" s="117"/>
      <c r="Q324" s="119"/>
      <c r="R324" s="119"/>
      <c r="S324" s="114" t="s">
        <v>167</v>
      </c>
      <c r="T324" s="114" t="s">
        <v>66</v>
      </c>
      <c r="U324" s="114" t="s">
        <v>67</v>
      </c>
      <c r="V324" s="114" t="s">
        <v>84</v>
      </c>
      <c r="W324" s="121"/>
      <c r="X324" s="121"/>
      <c r="Y324" s="121"/>
      <c r="Z324" s="121"/>
      <c r="AA324" s="120">
        <v>4940.0</v>
      </c>
      <c r="AB324" s="120">
        <v>0.0</v>
      </c>
      <c r="AC324" s="24" t="s">
        <v>1119</v>
      </c>
      <c r="AD324" s="81">
        <v>4401.0</v>
      </c>
      <c r="AE324" s="82" t="s">
        <v>1120</v>
      </c>
      <c r="AF324" s="114" t="str">
        <f t="shared" si="1"/>
        <v>Buenos Aires, Argentina</v>
      </c>
      <c r="AG324" s="114">
        <f t="shared" si="2"/>
        <v>1</v>
      </c>
      <c r="AH324" s="122">
        <f t="shared" si="3"/>
        <v>0</v>
      </c>
      <c r="AI324" s="122">
        <f t="shared" si="4"/>
        <v>0</v>
      </c>
      <c r="AJ324" s="120">
        <f t="shared" si="5"/>
        <v>4940</v>
      </c>
      <c r="AK324" s="120">
        <f t="shared" si="6"/>
        <v>4940</v>
      </c>
      <c r="AL324" s="123"/>
      <c r="AM324" s="123"/>
    </row>
    <row r="325">
      <c r="A325" s="114">
        <v>324.0</v>
      </c>
      <c r="B325" s="115">
        <v>44053.0</v>
      </c>
      <c r="C325" s="17">
        <v>82020.0</v>
      </c>
      <c r="D325" s="116" t="s">
        <v>1121</v>
      </c>
      <c r="E325" s="114" t="s">
        <v>38</v>
      </c>
      <c r="F325" s="116" t="s">
        <v>123</v>
      </c>
      <c r="G325" s="114" t="s">
        <v>40</v>
      </c>
      <c r="H325" s="114" t="s">
        <v>41</v>
      </c>
      <c r="I325" s="114" t="s">
        <v>42</v>
      </c>
      <c r="J325" s="118">
        <v>1.0</v>
      </c>
      <c r="K325" s="118">
        <v>1.0</v>
      </c>
      <c r="L325" s="117"/>
      <c r="M325" s="117"/>
      <c r="N325" s="117"/>
      <c r="O325" s="117"/>
      <c r="P325" s="117"/>
      <c r="Q325" s="119"/>
      <c r="R325" s="119"/>
      <c r="S325" s="114" t="s">
        <v>137</v>
      </c>
      <c r="T325" s="114" t="s">
        <v>66</v>
      </c>
      <c r="U325" s="114" t="s">
        <v>45</v>
      </c>
      <c r="V325" s="114" t="s">
        <v>59</v>
      </c>
      <c r="W325" s="121"/>
      <c r="X325" s="121"/>
      <c r="Y325" s="121"/>
      <c r="Z325" s="121"/>
      <c r="AA325" s="120">
        <v>8200.0</v>
      </c>
      <c r="AB325" s="120">
        <v>32800.0</v>
      </c>
      <c r="AC325" s="24" t="s">
        <v>1122</v>
      </c>
      <c r="AD325" s="81">
        <v>4403.0</v>
      </c>
      <c r="AE325" s="82" t="s">
        <v>1123</v>
      </c>
      <c r="AF325" s="114" t="str">
        <f t="shared" si="1"/>
        <v>Buenos Aires, Argentina</v>
      </c>
      <c r="AG325" s="114">
        <f t="shared" si="2"/>
        <v>2</v>
      </c>
      <c r="AH325" s="122">
        <f t="shared" si="3"/>
        <v>0</v>
      </c>
      <c r="AI325" s="122">
        <f t="shared" si="4"/>
        <v>0</v>
      </c>
      <c r="AJ325" s="120">
        <f t="shared" si="5"/>
        <v>41000</v>
      </c>
      <c r="AK325" s="120">
        <f t="shared" si="6"/>
        <v>41000</v>
      </c>
      <c r="AL325" s="123"/>
      <c r="AM325" s="123"/>
    </row>
    <row r="326">
      <c r="A326" s="114">
        <v>325.0</v>
      </c>
      <c r="B326" s="115">
        <v>44055.0</v>
      </c>
      <c r="C326" s="17">
        <v>82020.0</v>
      </c>
      <c r="D326" s="116" t="s">
        <v>895</v>
      </c>
      <c r="E326" s="114" t="s">
        <v>38</v>
      </c>
      <c r="F326" s="116" t="s">
        <v>1102</v>
      </c>
      <c r="G326" s="114" t="s">
        <v>64</v>
      </c>
      <c r="H326" s="114" t="s">
        <v>547</v>
      </c>
      <c r="I326" s="114" t="s">
        <v>42</v>
      </c>
      <c r="J326" s="118">
        <v>1.0</v>
      </c>
      <c r="K326" s="117"/>
      <c r="L326" s="117"/>
      <c r="M326" s="117"/>
      <c r="N326" s="117"/>
      <c r="O326" s="117"/>
      <c r="P326" s="117"/>
      <c r="Q326" s="119"/>
      <c r="R326" s="119"/>
      <c r="S326" s="114" t="s">
        <v>98</v>
      </c>
      <c r="T326" s="114" t="s">
        <v>83</v>
      </c>
      <c r="U326" s="114" t="s">
        <v>45</v>
      </c>
      <c r="V326" s="114" t="s">
        <v>59</v>
      </c>
      <c r="W326" s="121"/>
      <c r="X326" s="121"/>
      <c r="Y326" s="121"/>
      <c r="Z326" s="121"/>
      <c r="AA326" s="120">
        <v>2964.0</v>
      </c>
      <c r="AB326" s="120">
        <v>0.0</v>
      </c>
      <c r="AC326" s="24" t="s">
        <v>896</v>
      </c>
      <c r="AD326" s="81">
        <v>4233.0</v>
      </c>
      <c r="AE326" s="82" t="s">
        <v>897</v>
      </c>
      <c r="AF326" s="114" t="str">
        <f t="shared" si="1"/>
        <v>Capital Federal, Argentina</v>
      </c>
      <c r="AG326" s="114">
        <f t="shared" si="2"/>
        <v>1</v>
      </c>
      <c r="AH326" s="122">
        <f t="shared" si="3"/>
        <v>0</v>
      </c>
      <c r="AI326" s="122">
        <f t="shared" si="4"/>
        <v>0</v>
      </c>
      <c r="AJ326" s="120">
        <f t="shared" si="5"/>
        <v>2964</v>
      </c>
      <c r="AK326" s="120">
        <f t="shared" si="6"/>
        <v>2964</v>
      </c>
      <c r="AL326" s="123"/>
      <c r="AM326" s="123"/>
    </row>
    <row r="327">
      <c r="A327" s="114">
        <v>326.0</v>
      </c>
      <c r="B327" s="115">
        <v>44055.0</v>
      </c>
      <c r="C327" s="17">
        <v>82020.0</v>
      </c>
      <c r="D327" s="116" t="s">
        <v>1124</v>
      </c>
      <c r="E327" s="114" t="s">
        <v>38</v>
      </c>
      <c r="F327" s="116" t="s">
        <v>226</v>
      </c>
      <c r="G327" s="114" t="s">
        <v>40</v>
      </c>
      <c r="H327" s="114" t="s">
        <v>41</v>
      </c>
      <c r="I327" s="114" t="s">
        <v>42</v>
      </c>
      <c r="J327" s="118">
        <v>3.0</v>
      </c>
      <c r="K327" s="117"/>
      <c r="L327" s="117"/>
      <c r="M327" s="117"/>
      <c r="N327" s="117"/>
      <c r="O327" s="117"/>
      <c r="P327" s="117"/>
      <c r="Q327" s="119"/>
      <c r="R327" s="119"/>
      <c r="S327" s="114" t="s">
        <v>109</v>
      </c>
      <c r="T327" s="114" t="s">
        <v>66</v>
      </c>
      <c r="U327" s="114" t="s">
        <v>1027</v>
      </c>
      <c r="V327" s="114" t="s">
        <v>217</v>
      </c>
      <c r="W327" s="121"/>
      <c r="X327" s="121"/>
      <c r="Y327" s="121"/>
      <c r="Z327" s="121"/>
      <c r="AA327" s="120">
        <v>14820.0</v>
      </c>
      <c r="AB327" s="120">
        <v>59280.0</v>
      </c>
      <c r="AC327" s="24" t="s">
        <v>1125</v>
      </c>
      <c r="AD327" s="81">
        <v>4411.0</v>
      </c>
      <c r="AE327" s="82" t="s">
        <v>1126</v>
      </c>
      <c r="AF327" s="114" t="str">
        <f t="shared" si="1"/>
        <v>Buenos Aires, Argentina</v>
      </c>
      <c r="AG327" s="114">
        <f t="shared" si="2"/>
        <v>3</v>
      </c>
      <c r="AH327" s="122">
        <f t="shared" si="3"/>
        <v>0</v>
      </c>
      <c r="AI327" s="122">
        <f t="shared" si="4"/>
        <v>0</v>
      </c>
      <c r="AJ327" s="120">
        <f t="shared" si="5"/>
        <v>74100</v>
      </c>
      <c r="AK327" s="120">
        <f t="shared" si="6"/>
        <v>74100</v>
      </c>
      <c r="AL327" s="123"/>
      <c r="AM327" s="123"/>
    </row>
    <row r="328">
      <c r="A328" s="114">
        <v>327.0</v>
      </c>
      <c r="B328" s="115">
        <v>44062.0</v>
      </c>
      <c r="C328" s="17">
        <v>82020.0</v>
      </c>
      <c r="D328" s="116" t="s">
        <v>1127</v>
      </c>
      <c r="E328" s="114" t="s">
        <v>38</v>
      </c>
      <c r="F328" s="116" t="s">
        <v>1128</v>
      </c>
      <c r="G328" s="114" t="s">
        <v>40</v>
      </c>
      <c r="H328" s="114" t="s">
        <v>41</v>
      </c>
      <c r="I328" s="114" t="s">
        <v>42</v>
      </c>
      <c r="J328" s="118">
        <v>2.0</v>
      </c>
      <c r="K328" s="118">
        <v>3.0</v>
      </c>
      <c r="L328" s="117"/>
      <c r="M328" s="117"/>
      <c r="N328" s="117"/>
      <c r="O328" s="117"/>
      <c r="P328" s="117"/>
      <c r="Q328" s="119"/>
      <c r="R328" s="119"/>
      <c r="S328" s="114" t="s">
        <v>65</v>
      </c>
      <c r="T328" s="161" t="s">
        <v>58</v>
      </c>
      <c r="U328" s="114" t="s">
        <v>342</v>
      </c>
      <c r="V328" s="114" t="s">
        <v>46</v>
      </c>
      <c r="W328" s="121"/>
      <c r="X328" s="121"/>
      <c r="Y328" s="121"/>
      <c r="Z328" s="121"/>
      <c r="AA328" s="120">
        <v>16400.0</v>
      </c>
      <c r="AB328" s="120">
        <v>145820.0</v>
      </c>
      <c r="AC328" s="24" t="s">
        <v>1129</v>
      </c>
      <c r="AD328" s="81">
        <v>28771.0</v>
      </c>
      <c r="AE328" s="82" t="s">
        <v>1130</v>
      </c>
      <c r="AF328" s="161" t="str">
        <f t="shared" si="1"/>
        <v>Córdoba, Argentina</v>
      </c>
      <c r="AG328" s="161">
        <f t="shared" si="2"/>
        <v>5</v>
      </c>
      <c r="AH328" s="122">
        <f t="shared" si="3"/>
        <v>0</v>
      </c>
      <c r="AI328" s="122">
        <f t="shared" si="4"/>
        <v>0</v>
      </c>
      <c r="AJ328" s="120">
        <f t="shared" si="5"/>
        <v>162220</v>
      </c>
      <c r="AK328" s="120">
        <f t="shared" si="6"/>
        <v>162220</v>
      </c>
      <c r="AL328" s="123"/>
      <c r="AM328" s="123"/>
    </row>
    <row r="329">
      <c r="A329" s="114">
        <v>328.0</v>
      </c>
      <c r="B329" s="115">
        <v>44062.0</v>
      </c>
      <c r="C329" s="17">
        <v>82020.0</v>
      </c>
      <c r="D329" s="116" t="s">
        <v>1131</v>
      </c>
      <c r="E329" s="114" t="s">
        <v>38</v>
      </c>
      <c r="F329" s="116" t="s">
        <v>1102</v>
      </c>
      <c r="G329" s="114" t="s">
        <v>64</v>
      </c>
      <c r="H329" s="114" t="s">
        <v>41</v>
      </c>
      <c r="I329" s="114" t="s">
        <v>643</v>
      </c>
      <c r="J329" s="117"/>
      <c r="K329" s="117"/>
      <c r="L329" s="117"/>
      <c r="M329" s="118">
        <v>1.0</v>
      </c>
      <c r="N329" s="117"/>
      <c r="O329" s="117"/>
      <c r="P329" s="117"/>
      <c r="Q329" s="119"/>
      <c r="R329" s="119"/>
      <c r="S329" s="114" t="s">
        <v>65</v>
      </c>
      <c r="T329" s="114" t="s">
        <v>66</v>
      </c>
      <c r="U329" s="114" t="s">
        <v>67</v>
      </c>
      <c r="V329" s="114" t="s">
        <v>84</v>
      </c>
      <c r="W329" s="121"/>
      <c r="X329" s="121"/>
      <c r="Y329" s="121"/>
      <c r="Z329" s="121"/>
      <c r="AA329" s="120">
        <v>4940.0</v>
      </c>
      <c r="AB329" s="120">
        <v>0.0</v>
      </c>
      <c r="AC329" s="24" t="s">
        <v>825</v>
      </c>
      <c r="AD329" s="81">
        <v>4129.0</v>
      </c>
      <c r="AE329" s="82" t="s">
        <v>826</v>
      </c>
      <c r="AF329" s="114" t="str">
        <f t="shared" si="1"/>
        <v>Buenos Aires, Argentina</v>
      </c>
      <c r="AG329" s="114">
        <f t="shared" si="2"/>
        <v>1</v>
      </c>
      <c r="AH329" s="122">
        <f t="shared" si="3"/>
        <v>0</v>
      </c>
      <c r="AI329" s="122">
        <f t="shared" si="4"/>
        <v>0</v>
      </c>
      <c r="AJ329" s="120">
        <f t="shared" si="5"/>
        <v>4940</v>
      </c>
      <c r="AK329" s="120">
        <f t="shared" si="6"/>
        <v>4940</v>
      </c>
      <c r="AL329" s="123"/>
      <c r="AM329" s="123"/>
    </row>
    <row r="330">
      <c r="A330" s="114">
        <v>329.0</v>
      </c>
      <c r="B330" s="115">
        <v>44062.0</v>
      </c>
      <c r="C330" s="17">
        <v>82020.0</v>
      </c>
      <c r="D330" s="116" t="s">
        <v>1132</v>
      </c>
      <c r="E330" s="114" t="s">
        <v>38</v>
      </c>
      <c r="F330" s="116" t="s">
        <v>71</v>
      </c>
      <c r="G330" s="114" t="s">
        <v>40</v>
      </c>
      <c r="H330" s="114" t="s">
        <v>547</v>
      </c>
      <c r="I330" s="114" t="s">
        <v>42</v>
      </c>
      <c r="J330" s="118">
        <v>1.0</v>
      </c>
      <c r="K330" s="117"/>
      <c r="L330" s="117"/>
      <c r="M330" s="117"/>
      <c r="N330" s="117"/>
      <c r="O330" s="117"/>
      <c r="P330" s="117"/>
      <c r="Q330" s="119"/>
      <c r="R330" s="119"/>
      <c r="S330" s="114" t="s">
        <v>189</v>
      </c>
      <c r="T330" s="114" t="s">
        <v>66</v>
      </c>
      <c r="U330" s="114" t="s">
        <v>163</v>
      </c>
      <c r="V330" s="114" t="s">
        <v>217</v>
      </c>
      <c r="W330" s="121"/>
      <c r="X330" s="121"/>
      <c r="Y330" s="121"/>
      <c r="Z330" s="121"/>
      <c r="AA330" s="120">
        <v>2964.0</v>
      </c>
      <c r="AB330" s="120">
        <v>5928.0</v>
      </c>
      <c r="AC330" s="24" t="s">
        <v>1133</v>
      </c>
      <c r="AD330" s="81">
        <v>4417.0</v>
      </c>
      <c r="AE330" s="82" t="s">
        <v>1134</v>
      </c>
      <c r="AF330" s="114" t="str">
        <f t="shared" si="1"/>
        <v>Buenos Aires, Argentina</v>
      </c>
      <c r="AG330" s="114">
        <f t="shared" si="2"/>
        <v>1</v>
      </c>
      <c r="AH330" s="122">
        <f t="shared" si="3"/>
        <v>0</v>
      </c>
      <c r="AI330" s="122">
        <f t="shared" si="4"/>
        <v>0</v>
      </c>
      <c r="AJ330" s="120">
        <f t="shared" si="5"/>
        <v>8892</v>
      </c>
      <c r="AK330" s="120">
        <f t="shared" si="6"/>
        <v>8892</v>
      </c>
      <c r="AL330" s="123"/>
      <c r="AM330" s="123"/>
    </row>
    <row r="331">
      <c r="A331" s="114">
        <v>330.0</v>
      </c>
      <c r="B331" s="115">
        <v>44062.0</v>
      </c>
      <c r="C331" s="17">
        <v>82020.0</v>
      </c>
      <c r="D331" s="116" t="s">
        <v>838</v>
      </c>
      <c r="E331" s="114" t="s">
        <v>38</v>
      </c>
      <c r="F331" s="116" t="s">
        <v>1102</v>
      </c>
      <c r="G331" s="114" t="s">
        <v>64</v>
      </c>
      <c r="H331" s="114" t="s">
        <v>41</v>
      </c>
      <c r="I331" s="114" t="s">
        <v>42</v>
      </c>
      <c r="J331" s="117"/>
      <c r="K331" s="117"/>
      <c r="L331" s="117"/>
      <c r="M331" s="118">
        <v>1.0</v>
      </c>
      <c r="N331" s="117"/>
      <c r="O331" s="117"/>
      <c r="P331" s="117"/>
      <c r="Q331" s="119"/>
      <c r="R331" s="119"/>
      <c r="S331" s="114" t="s">
        <v>82</v>
      </c>
      <c r="T331" s="114" t="s">
        <v>839</v>
      </c>
      <c r="U331" s="114" t="s">
        <v>67</v>
      </c>
      <c r="V331" s="114" t="s">
        <v>217</v>
      </c>
      <c r="W331" s="121"/>
      <c r="X331" s="121"/>
      <c r="Y331" s="121"/>
      <c r="Z331" s="121"/>
      <c r="AA331" s="120">
        <v>4940.0</v>
      </c>
      <c r="AB331" s="120">
        <v>0.0</v>
      </c>
      <c r="AC331" s="24" t="s">
        <v>840</v>
      </c>
      <c r="AD331" s="81">
        <v>4137.0</v>
      </c>
      <c r="AE331" s="82" t="s">
        <v>841</v>
      </c>
      <c r="AF331" s="114" t="str">
        <f t="shared" si="1"/>
        <v>Neuquén, Argentina</v>
      </c>
      <c r="AG331" s="114">
        <f t="shared" si="2"/>
        <v>1</v>
      </c>
      <c r="AH331" s="122">
        <f t="shared" si="3"/>
        <v>0</v>
      </c>
      <c r="AI331" s="122">
        <f t="shared" si="4"/>
        <v>0</v>
      </c>
      <c r="AJ331" s="120">
        <f t="shared" si="5"/>
        <v>4940</v>
      </c>
      <c r="AK331" s="120">
        <f t="shared" si="6"/>
        <v>4940</v>
      </c>
      <c r="AL331" s="123"/>
      <c r="AM331" s="123"/>
    </row>
    <row r="332">
      <c r="A332" s="114">
        <v>331.0</v>
      </c>
      <c r="B332" s="115">
        <v>44062.0</v>
      </c>
      <c r="C332" s="17">
        <v>82020.0</v>
      </c>
      <c r="D332" s="116" t="s">
        <v>1135</v>
      </c>
      <c r="E332" s="114" t="s">
        <v>38</v>
      </c>
      <c r="F332" s="116" t="s">
        <v>280</v>
      </c>
      <c r="G332" s="114" t="s">
        <v>64</v>
      </c>
      <c r="H332" s="114" t="s">
        <v>41</v>
      </c>
      <c r="I332" s="114" t="s">
        <v>42</v>
      </c>
      <c r="J332" s="118">
        <v>1.0</v>
      </c>
      <c r="K332" s="117"/>
      <c r="L332" s="117"/>
      <c r="M332" s="117"/>
      <c r="N332" s="117"/>
      <c r="O332" s="117"/>
      <c r="P332" s="117"/>
      <c r="Q332" s="119"/>
      <c r="R332" s="119"/>
      <c r="S332" s="114" t="s">
        <v>65</v>
      </c>
      <c r="T332" s="161" t="s">
        <v>66</v>
      </c>
      <c r="U332" s="114" t="s">
        <v>99</v>
      </c>
      <c r="V332" s="114" t="s">
        <v>78</v>
      </c>
      <c r="W332" s="121"/>
      <c r="X332" s="121"/>
      <c r="Y332" s="121"/>
      <c r="Z332" s="121"/>
      <c r="AA332" s="120">
        <v>5297.0</v>
      </c>
      <c r="AB332" s="120">
        <v>15891.0</v>
      </c>
      <c r="AC332" s="24" t="s">
        <v>1136</v>
      </c>
      <c r="AD332" s="81">
        <v>4419.0</v>
      </c>
      <c r="AE332" s="82" t="s">
        <v>1137</v>
      </c>
      <c r="AF332" s="161" t="str">
        <f t="shared" si="1"/>
        <v>Buenos Aires, Argentina</v>
      </c>
      <c r="AG332" s="161">
        <f t="shared" si="2"/>
        <v>1</v>
      </c>
      <c r="AH332" s="122">
        <f t="shared" si="3"/>
        <v>0</v>
      </c>
      <c r="AI332" s="122">
        <f t="shared" si="4"/>
        <v>0</v>
      </c>
      <c r="AJ332" s="120">
        <f t="shared" si="5"/>
        <v>21188</v>
      </c>
      <c r="AK332" s="120">
        <f t="shared" si="6"/>
        <v>21188</v>
      </c>
      <c r="AL332" s="123"/>
      <c r="AM332" s="123"/>
    </row>
    <row r="333">
      <c r="A333" s="114">
        <v>332.0</v>
      </c>
      <c r="B333" s="115">
        <v>44063.0</v>
      </c>
      <c r="C333" s="17">
        <v>82020.0</v>
      </c>
      <c r="D333" s="116" t="s">
        <v>1138</v>
      </c>
      <c r="E333" s="114" t="s">
        <v>38</v>
      </c>
      <c r="F333" s="116" t="s">
        <v>1102</v>
      </c>
      <c r="G333" s="114" t="s">
        <v>64</v>
      </c>
      <c r="H333" s="114" t="s">
        <v>547</v>
      </c>
      <c r="I333" s="114" t="s">
        <v>643</v>
      </c>
      <c r="J333" s="117"/>
      <c r="K333" s="117"/>
      <c r="L333" s="117"/>
      <c r="M333" s="118">
        <v>1.0</v>
      </c>
      <c r="N333" s="117"/>
      <c r="O333" s="117"/>
      <c r="P333" s="117"/>
      <c r="Q333" s="119"/>
      <c r="R333" s="119"/>
      <c r="S333" s="114" t="s">
        <v>114</v>
      </c>
      <c r="T333" s="161" t="s">
        <v>66</v>
      </c>
      <c r="U333" s="114" t="s">
        <v>67</v>
      </c>
      <c r="V333" s="114" t="s">
        <v>84</v>
      </c>
      <c r="W333" s="121"/>
      <c r="X333" s="121"/>
      <c r="Y333" s="121"/>
      <c r="Z333" s="121"/>
      <c r="AA333" s="120">
        <v>2964.0</v>
      </c>
      <c r="AB333" s="120">
        <v>0.0</v>
      </c>
      <c r="AC333" s="24" t="s">
        <v>1139</v>
      </c>
      <c r="AD333" s="81">
        <v>4237.0</v>
      </c>
      <c r="AE333" s="82" t="s">
        <v>904</v>
      </c>
      <c r="AF333" s="161" t="str">
        <f t="shared" si="1"/>
        <v>Buenos Aires, Argentina</v>
      </c>
      <c r="AG333" s="161">
        <f t="shared" si="2"/>
        <v>1</v>
      </c>
      <c r="AH333" s="122">
        <f t="shared" si="3"/>
        <v>0</v>
      </c>
      <c r="AI333" s="122">
        <f t="shared" si="4"/>
        <v>0</v>
      </c>
      <c r="AJ333" s="120">
        <f t="shared" si="5"/>
        <v>2964</v>
      </c>
      <c r="AK333" s="120">
        <f t="shared" si="6"/>
        <v>2964</v>
      </c>
      <c r="AL333" s="123"/>
      <c r="AM333" s="123"/>
    </row>
    <row r="334">
      <c r="A334" s="114">
        <v>333.0</v>
      </c>
      <c r="B334" s="115">
        <v>44063.0</v>
      </c>
      <c r="C334" s="17">
        <v>82020.0</v>
      </c>
      <c r="D334" s="116" t="s">
        <v>1140</v>
      </c>
      <c r="E334" s="114" t="s">
        <v>38</v>
      </c>
      <c r="F334" s="116" t="s">
        <v>1141</v>
      </c>
      <c r="G334" s="114" t="s">
        <v>64</v>
      </c>
      <c r="H334" s="114" t="s">
        <v>227</v>
      </c>
      <c r="I334" s="114" t="s">
        <v>643</v>
      </c>
      <c r="J334" s="117"/>
      <c r="K334" s="118">
        <v>3.0</v>
      </c>
      <c r="L334" s="117"/>
      <c r="M334" s="117"/>
      <c r="N334" s="117"/>
      <c r="O334" s="117"/>
      <c r="P334" s="117"/>
      <c r="Q334" s="119"/>
      <c r="R334" s="119"/>
      <c r="S334" s="114" t="s">
        <v>89</v>
      </c>
      <c r="T334" s="161" t="s">
        <v>83</v>
      </c>
      <c r="U334" s="114" t="s">
        <v>67</v>
      </c>
      <c r="V334" s="114" t="s">
        <v>84</v>
      </c>
      <c r="W334" s="121"/>
      <c r="X334" s="121"/>
      <c r="Y334" s="121"/>
      <c r="Z334" s="121"/>
      <c r="AA334" s="120">
        <v>18492.0</v>
      </c>
      <c r="AB334" s="120">
        <v>73968.0</v>
      </c>
      <c r="AC334" s="24" t="s">
        <v>1142</v>
      </c>
      <c r="AD334" s="81">
        <v>4421.0</v>
      </c>
      <c r="AE334" s="82" t="s">
        <v>1143</v>
      </c>
      <c r="AF334" s="161" t="str">
        <f t="shared" si="1"/>
        <v>Capital Federal, Argentina</v>
      </c>
      <c r="AG334" s="161">
        <f t="shared" si="2"/>
        <v>3</v>
      </c>
      <c r="AH334" s="122">
        <f t="shared" si="3"/>
        <v>0</v>
      </c>
      <c r="AI334" s="122">
        <f t="shared" si="4"/>
        <v>0</v>
      </c>
      <c r="AJ334" s="120">
        <f t="shared" si="5"/>
        <v>92460</v>
      </c>
      <c r="AK334" s="120">
        <f t="shared" si="6"/>
        <v>92460</v>
      </c>
      <c r="AL334" s="123"/>
      <c r="AM334" s="123"/>
    </row>
    <row r="335">
      <c r="A335" s="114">
        <v>334.0</v>
      </c>
      <c r="B335" s="115">
        <v>44063.0</v>
      </c>
      <c r="C335" s="17">
        <v>82020.0</v>
      </c>
      <c r="D335" s="116" t="s">
        <v>1144</v>
      </c>
      <c r="E335" s="114" t="s">
        <v>38</v>
      </c>
      <c r="F335" s="116" t="s">
        <v>1145</v>
      </c>
      <c r="G335" s="114" t="s">
        <v>40</v>
      </c>
      <c r="H335" s="114" t="s">
        <v>41</v>
      </c>
      <c r="I335" s="114" t="s">
        <v>643</v>
      </c>
      <c r="J335" s="118">
        <v>5.0</v>
      </c>
      <c r="K335" s="118">
        <v>1.0</v>
      </c>
      <c r="L335" s="117"/>
      <c r="M335" s="117"/>
      <c r="N335" s="117"/>
      <c r="O335" s="117"/>
      <c r="P335" s="117"/>
      <c r="Q335" s="119"/>
      <c r="R335" s="114">
        <v>10.0</v>
      </c>
      <c r="S335" s="114" t="s">
        <v>65</v>
      </c>
      <c r="T335" s="114" t="s">
        <v>66</v>
      </c>
      <c r="U335" s="114" t="s">
        <v>67</v>
      </c>
      <c r="V335" s="114" t="s">
        <v>84</v>
      </c>
      <c r="W335" s="121"/>
      <c r="X335" s="121"/>
      <c r="Y335" s="121"/>
      <c r="Z335" s="121"/>
      <c r="AA335" s="120">
        <v>27960.0</v>
      </c>
      <c r="AB335" s="120">
        <v>172302.0</v>
      </c>
      <c r="AC335" s="24" t="s">
        <v>1146</v>
      </c>
      <c r="AD335" s="81">
        <v>4413.0</v>
      </c>
      <c r="AE335" s="82" t="s">
        <v>1147</v>
      </c>
      <c r="AF335" s="114" t="str">
        <f t="shared" si="1"/>
        <v>Buenos Aires, Argentina</v>
      </c>
      <c r="AG335" s="114">
        <f t="shared" si="2"/>
        <v>6</v>
      </c>
      <c r="AH335" s="122">
        <f t="shared" si="3"/>
        <v>0</v>
      </c>
      <c r="AI335" s="122">
        <f t="shared" si="4"/>
        <v>0</v>
      </c>
      <c r="AJ335" s="120">
        <f t="shared" si="5"/>
        <v>200262</v>
      </c>
      <c r="AK335" s="120">
        <f t="shared" si="6"/>
        <v>200262</v>
      </c>
      <c r="AL335" s="123"/>
      <c r="AM335" s="123"/>
    </row>
    <row r="336">
      <c r="A336" s="114">
        <v>335.0</v>
      </c>
      <c r="B336" s="115">
        <v>44067.0</v>
      </c>
      <c r="C336" s="17">
        <v>82020.0</v>
      </c>
      <c r="D336" s="116" t="s">
        <v>199</v>
      </c>
      <c r="E336" s="114" t="s">
        <v>38</v>
      </c>
      <c r="F336" s="116" t="s">
        <v>1148</v>
      </c>
      <c r="G336" s="114" t="s">
        <v>64</v>
      </c>
      <c r="H336" s="114" t="s">
        <v>41</v>
      </c>
      <c r="I336" s="114" t="s">
        <v>643</v>
      </c>
      <c r="J336" s="117"/>
      <c r="K336" s="117"/>
      <c r="L336" s="117"/>
      <c r="M336" s="117"/>
      <c r="N336" s="118">
        <v>1.0</v>
      </c>
      <c r="O336" s="117"/>
      <c r="P336" s="117"/>
      <c r="Q336" s="119"/>
      <c r="R336" s="119"/>
      <c r="S336" s="114" t="s">
        <v>65</v>
      </c>
      <c r="T336" s="114" t="s">
        <v>44</v>
      </c>
      <c r="U336" s="114" t="s">
        <v>67</v>
      </c>
      <c r="V336" s="114" t="s">
        <v>84</v>
      </c>
      <c r="W336" s="120">
        <v>13500.0</v>
      </c>
      <c r="X336" s="120">
        <v>422000.0</v>
      </c>
      <c r="Y336" s="121"/>
      <c r="Z336" s="121"/>
      <c r="AA336" s="120">
        <v>5834.0</v>
      </c>
      <c r="AB336" s="120">
        <v>0.0</v>
      </c>
      <c r="AC336" s="24" t="s">
        <v>1149</v>
      </c>
      <c r="AD336" s="81">
        <v>4425.0</v>
      </c>
      <c r="AE336" s="82" t="s">
        <v>1150</v>
      </c>
      <c r="AF336" s="114" t="str">
        <f t="shared" si="1"/>
        <v>Mendoza, Argentina</v>
      </c>
      <c r="AG336" s="114">
        <f t="shared" si="2"/>
        <v>1</v>
      </c>
      <c r="AH336" s="122">
        <f t="shared" si="3"/>
        <v>435500</v>
      </c>
      <c r="AI336" s="122">
        <f t="shared" si="4"/>
        <v>0</v>
      </c>
      <c r="AJ336" s="120">
        <f t="shared" si="5"/>
        <v>5834</v>
      </c>
      <c r="AK336" s="120">
        <f t="shared" si="6"/>
        <v>441334</v>
      </c>
      <c r="AL336" s="123"/>
      <c r="AM336" s="123"/>
    </row>
    <row r="337">
      <c r="A337" s="114">
        <v>336.0</v>
      </c>
      <c r="B337" s="115">
        <v>44069.0</v>
      </c>
      <c r="C337" s="17">
        <v>82020.0</v>
      </c>
      <c r="D337" s="116" t="s">
        <v>1151</v>
      </c>
      <c r="E337" s="114" t="s">
        <v>1152</v>
      </c>
      <c r="F337" s="116" t="s">
        <v>1153</v>
      </c>
      <c r="G337" s="114" t="s">
        <v>40</v>
      </c>
      <c r="H337" s="114" t="s">
        <v>41</v>
      </c>
      <c r="I337" s="114" t="s">
        <v>42</v>
      </c>
      <c r="J337" s="118">
        <v>3.0</v>
      </c>
      <c r="K337" s="118">
        <v>2.0</v>
      </c>
      <c r="L337" s="117"/>
      <c r="M337" s="117"/>
      <c r="N337" s="117"/>
      <c r="O337" s="117"/>
      <c r="P337" s="117"/>
      <c r="Q337" s="119"/>
      <c r="R337" s="119"/>
      <c r="S337" s="114" t="s">
        <v>105</v>
      </c>
      <c r="T337" s="114" t="s">
        <v>73</v>
      </c>
      <c r="U337" s="114" t="s">
        <v>342</v>
      </c>
      <c r="V337" s="114" t="s">
        <v>78</v>
      </c>
      <c r="W337" s="121"/>
      <c r="X337" s="121"/>
      <c r="Y337" s="121"/>
      <c r="Z337" s="121"/>
      <c r="AA337" s="120">
        <v>21340.0</v>
      </c>
      <c r="AB337" s="120">
        <v>106700.0</v>
      </c>
      <c r="AC337" s="24" t="s">
        <v>1154</v>
      </c>
      <c r="AD337" s="17">
        <v>4427.0</v>
      </c>
      <c r="AE337" s="27" t="s">
        <v>1155</v>
      </c>
      <c r="AF337" s="114" t="str">
        <f t="shared" si="1"/>
        <v>Tierra de Fuego, Argentina</v>
      </c>
      <c r="AG337" s="114">
        <f t="shared" si="2"/>
        <v>5</v>
      </c>
      <c r="AH337" s="122">
        <f t="shared" si="3"/>
        <v>0</v>
      </c>
      <c r="AI337" s="122">
        <f t="shared" si="4"/>
        <v>0</v>
      </c>
      <c r="AJ337" s="120">
        <f t="shared" si="5"/>
        <v>128040</v>
      </c>
      <c r="AK337" s="120">
        <f t="shared" si="6"/>
        <v>128040</v>
      </c>
      <c r="AL337" s="123"/>
      <c r="AM337" s="123"/>
    </row>
    <row r="338">
      <c r="A338" s="114">
        <v>337.0</v>
      </c>
      <c r="B338" s="115">
        <v>44070.0</v>
      </c>
      <c r="C338" s="17">
        <v>82020.0</v>
      </c>
      <c r="D338" s="116" t="s">
        <v>1156</v>
      </c>
      <c r="E338" s="114" t="s">
        <v>38</v>
      </c>
      <c r="F338" s="116" t="s">
        <v>1102</v>
      </c>
      <c r="G338" s="114" t="s">
        <v>64</v>
      </c>
      <c r="H338" s="114" t="s">
        <v>41</v>
      </c>
      <c r="I338" s="114" t="s">
        <v>42</v>
      </c>
      <c r="J338" s="117"/>
      <c r="K338" s="117"/>
      <c r="L338" s="117"/>
      <c r="M338" s="118">
        <v>1.0</v>
      </c>
      <c r="N338" s="117"/>
      <c r="O338" s="117"/>
      <c r="P338" s="117"/>
      <c r="Q338" s="119"/>
      <c r="R338" s="119"/>
      <c r="S338" s="114" t="s">
        <v>105</v>
      </c>
      <c r="T338" s="114" t="s">
        <v>66</v>
      </c>
      <c r="U338" s="114" t="s">
        <v>67</v>
      </c>
      <c r="V338" s="114" t="s">
        <v>78</v>
      </c>
      <c r="W338" s="121"/>
      <c r="X338" s="121"/>
      <c r="Y338" s="121"/>
      <c r="Z338" s="121"/>
      <c r="AA338" s="120">
        <v>4940.0</v>
      </c>
      <c r="AB338" s="120">
        <v>0.0</v>
      </c>
      <c r="AC338" s="24" t="s">
        <v>1157</v>
      </c>
      <c r="AD338" s="81">
        <v>4159.0</v>
      </c>
      <c r="AE338" s="82" t="s">
        <v>661</v>
      </c>
      <c r="AF338" s="114" t="str">
        <f t="shared" si="1"/>
        <v>Buenos Aires, Argentina</v>
      </c>
      <c r="AG338" s="114">
        <f t="shared" si="2"/>
        <v>1</v>
      </c>
      <c r="AH338" s="122">
        <f t="shared" si="3"/>
        <v>0</v>
      </c>
      <c r="AI338" s="122">
        <f t="shared" si="4"/>
        <v>0</v>
      </c>
      <c r="AJ338" s="120">
        <f t="shared" si="5"/>
        <v>4940</v>
      </c>
      <c r="AK338" s="120">
        <f t="shared" si="6"/>
        <v>4940</v>
      </c>
      <c r="AL338" s="123"/>
      <c r="AM338" s="123"/>
    </row>
    <row r="339">
      <c r="A339" s="114">
        <v>338.0</v>
      </c>
      <c r="B339" s="115">
        <v>44071.0</v>
      </c>
      <c r="C339" s="17">
        <v>82020.0</v>
      </c>
      <c r="D339" s="116" t="s">
        <v>1158</v>
      </c>
      <c r="E339" s="114" t="s">
        <v>38</v>
      </c>
      <c r="F339" s="116" t="s">
        <v>1159</v>
      </c>
      <c r="G339" s="114" t="s">
        <v>40</v>
      </c>
      <c r="H339" s="114" t="s">
        <v>547</v>
      </c>
      <c r="I339" s="114" t="s">
        <v>42</v>
      </c>
      <c r="J339" s="118">
        <v>2.0</v>
      </c>
      <c r="K339" s="117"/>
      <c r="L339" s="117"/>
      <c r="M339" s="118">
        <v>1.0</v>
      </c>
      <c r="N339" s="117"/>
      <c r="O339" s="117"/>
      <c r="P339" s="117"/>
      <c r="Q339" s="119"/>
      <c r="R339" s="119"/>
      <c r="S339" s="114" t="s">
        <v>105</v>
      </c>
      <c r="T339" s="114" t="s">
        <v>66</v>
      </c>
      <c r="U339" s="114" t="s">
        <v>45</v>
      </c>
      <c r="V339" s="114" t="s">
        <v>217</v>
      </c>
      <c r="W339" s="121"/>
      <c r="X339" s="121"/>
      <c r="Y339" s="121"/>
      <c r="Z339" s="121"/>
      <c r="AA339" s="120">
        <v>8892.0</v>
      </c>
      <c r="AB339" s="120">
        <v>11856.0</v>
      </c>
      <c r="AC339" s="24" t="s">
        <v>1160</v>
      </c>
      <c r="AD339" s="145">
        <v>4441.0</v>
      </c>
      <c r="AE339" s="27" t="s">
        <v>1161</v>
      </c>
      <c r="AF339" s="114" t="str">
        <f t="shared" si="1"/>
        <v>Buenos Aires, Argentina</v>
      </c>
      <c r="AG339" s="114">
        <f t="shared" si="2"/>
        <v>3</v>
      </c>
      <c r="AH339" s="122">
        <f t="shared" si="3"/>
        <v>0</v>
      </c>
      <c r="AI339" s="122">
        <f t="shared" si="4"/>
        <v>0</v>
      </c>
      <c r="AJ339" s="120">
        <f t="shared" si="5"/>
        <v>20748</v>
      </c>
      <c r="AK339" s="120">
        <f t="shared" si="6"/>
        <v>20748</v>
      </c>
      <c r="AL339" s="123"/>
      <c r="AM339" s="123"/>
    </row>
    <row r="340">
      <c r="A340" s="114">
        <v>339.0</v>
      </c>
      <c r="B340" s="115">
        <v>44071.0</v>
      </c>
      <c r="C340" s="17">
        <v>82020.0</v>
      </c>
      <c r="D340" s="116" t="s">
        <v>795</v>
      </c>
      <c r="E340" s="114" t="s">
        <v>796</v>
      </c>
      <c r="F340" s="116" t="s">
        <v>1162</v>
      </c>
      <c r="G340" s="114" t="s">
        <v>64</v>
      </c>
      <c r="H340" s="114" t="s">
        <v>41</v>
      </c>
      <c r="I340" s="114" t="s">
        <v>42</v>
      </c>
      <c r="J340" s="117"/>
      <c r="K340" s="118">
        <v>3.0</v>
      </c>
      <c r="L340" s="117"/>
      <c r="M340" s="117"/>
      <c r="N340" s="117"/>
      <c r="O340" s="117"/>
      <c r="P340" s="117"/>
      <c r="Q340" s="119"/>
      <c r="R340" s="119"/>
      <c r="S340" s="114" t="s">
        <v>98</v>
      </c>
      <c r="T340" s="161" t="s">
        <v>66</v>
      </c>
      <c r="U340" s="114" t="s">
        <v>67</v>
      </c>
      <c r="V340" s="114" t="s">
        <v>78</v>
      </c>
      <c r="W340" s="121"/>
      <c r="X340" s="121"/>
      <c r="Y340" s="121"/>
      <c r="Z340" s="121"/>
      <c r="AA340" s="120">
        <v>9780.0</v>
      </c>
      <c r="AB340" s="120">
        <v>31120.0</v>
      </c>
      <c r="AC340" s="24" t="s">
        <v>1163</v>
      </c>
      <c r="AD340" s="17">
        <v>4439.0</v>
      </c>
      <c r="AE340" s="27" t="s">
        <v>1164</v>
      </c>
      <c r="AF340" s="161" t="str">
        <f t="shared" si="1"/>
        <v>Buenos Aires, Argentina</v>
      </c>
      <c r="AG340" s="161">
        <f t="shared" si="2"/>
        <v>3</v>
      </c>
      <c r="AH340" s="122">
        <f t="shared" si="3"/>
        <v>0</v>
      </c>
      <c r="AI340" s="122">
        <f t="shared" si="4"/>
        <v>0</v>
      </c>
      <c r="AJ340" s="120">
        <f t="shared" si="5"/>
        <v>40900</v>
      </c>
      <c r="AK340" s="120">
        <f t="shared" si="6"/>
        <v>40900</v>
      </c>
      <c r="AL340" s="123"/>
      <c r="AM340" s="123"/>
    </row>
    <row r="341">
      <c r="A341" s="114">
        <v>340.0</v>
      </c>
      <c r="B341" s="115">
        <v>44071.0</v>
      </c>
      <c r="C341" s="17">
        <v>82020.0</v>
      </c>
      <c r="D341" s="116" t="s">
        <v>1165</v>
      </c>
      <c r="E341" s="114" t="s">
        <v>38</v>
      </c>
      <c r="F341" s="116" t="s">
        <v>1166</v>
      </c>
      <c r="G341" s="114" t="s">
        <v>64</v>
      </c>
      <c r="H341" s="114" t="s">
        <v>41</v>
      </c>
      <c r="I341" s="114" t="s">
        <v>42</v>
      </c>
      <c r="J341" s="117"/>
      <c r="K341" s="117"/>
      <c r="L341" s="117"/>
      <c r="M341" s="118">
        <v>1.0</v>
      </c>
      <c r="N341" s="117"/>
      <c r="O341" s="117"/>
      <c r="P341" s="117"/>
      <c r="Q341" s="119"/>
      <c r="R341" s="119"/>
      <c r="S341" s="114" t="s">
        <v>105</v>
      </c>
      <c r="T341" s="114" t="s">
        <v>148</v>
      </c>
      <c r="U341" s="114" t="s">
        <v>67</v>
      </c>
      <c r="V341" s="114" t="s">
        <v>46</v>
      </c>
      <c r="W341" s="121"/>
      <c r="X341" s="121"/>
      <c r="Y341" s="121"/>
      <c r="Z341" s="121"/>
      <c r="AA341" s="120">
        <v>3950.0</v>
      </c>
      <c r="AB341" s="120">
        <v>0.0</v>
      </c>
      <c r="AC341" s="24" t="s">
        <v>1167</v>
      </c>
      <c r="AD341" s="81">
        <v>30227.0</v>
      </c>
      <c r="AE341" s="82" t="s">
        <v>706</v>
      </c>
      <c r="AF341" s="114" t="str">
        <f t="shared" si="1"/>
        <v>Formosa, Argentina</v>
      </c>
      <c r="AG341" s="114">
        <f t="shared" si="2"/>
        <v>1</v>
      </c>
      <c r="AH341" s="122">
        <f t="shared" si="3"/>
        <v>0</v>
      </c>
      <c r="AI341" s="122">
        <f t="shared" si="4"/>
        <v>0</v>
      </c>
      <c r="AJ341" s="120">
        <f t="shared" si="5"/>
        <v>3950</v>
      </c>
      <c r="AK341" s="120">
        <f t="shared" si="6"/>
        <v>3950</v>
      </c>
      <c r="AL341" s="123"/>
      <c r="AM341" s="123"/>
    </row>
    <row r="342">
      <c r="A342" s="114">
        <v>341.0</v>
      </c>
      <c r="B342" s="115">
        <v>44074.0</v>
      </c>
      <c r="C342" s="17">
        <v>82020.0</v>
      </c>
      <c r="D342" s="116" t="s">
        <v>1168</v>
      </c>
      <c r="E342" s="114" t="s">
        <v>38</v>
      </c>
      <c r="F342" s="116" t="s">
        <v>71</v>
      </c>
      <c r="G342" s="114" t="s">
        <v>40</v>
      </c>
      <c r="H342" s="114" t="s">
        <v>547</v>
      </c>
      <c r="I342" s="114" t="s">
        <v>42</v>
      </c>
      <c r="J342" s="118">
        <v>1.0</v>
      </c>
      <c r="K342" s="117"/>
      <c r="L342" s="117"/>
      <c r="M342" s="117"/>
      <c r="N342" s="117"/>
      <c r="O342" s="117"/>
      <c r="P342" s="117"/>
      <c r="Q342" s="119"/>
      <c r="R342" s="119"/>
      <c r="S342" s="114" t="s">
        <v>167</v>
      </c>
      <c r="T342" s="114" t="s">
        <v>83</v>
      </c>
      <c r="U342" s="114" t="s">
        <v>163</v>
      </c>
      <c r="V342" s="114" t="s">
        <v>59</v>
      </c>
      <c r="W342" s="121"/>
      <c r="X342" s="121"/>
      <c r="Y342" s="121"/>
      <c r="Z342" s="121"/>
      <c r="AA342" s="120">
        <v>2964.0</v>
      </c>
      <c r="AB342" s="120">
        <v>5928.0</v>
      </c>
      <c r="AC342" s="24" t="s">
        <v>1169</v>
      </c>
      <c r="AD342" s="81">
        <v>4447.0</v>
      </c>
      <c r="AE342" s="82" t="s">
        <v>1170</v>
      </c>
      <c r="AF342" s="114" t="str">
        <f t="shared" si="1"/>
        <v>Capital Federal, Argentina</v>
      </c>
      <c r="AG342" s="114">
        <f t="shared" si="2"/>
        <v>1</v>
      </c>
      <c r="AH342" s="122">
        <f t="shared" si="3"/>
        <v>0</v>
      </c>
      <c r="AI342" s="122">
        <f t="shared" si="4"/>
        <v>0</v>
      </c>
      <c r="AJ342" s="120">
        <f t="shared" si="5"/>
        <v>8892</v>
      </c>
      <c r="AK342" s="120">
        <f t="shared" si="6"/>
        <v>8892</v>
      </c>
      <c r="AL342" s="123"/>
      <c r="AM342" s="123"/>
    </row>
    <row r="343">
      <c r="A343" s="114">
        <v>342.0</v>
      </c>
      <c r="B343" s="115">
        <v>44074.0</v>
      </c>
      <c r="C343" s="17">
        <v>82020.0</v>
      </c>
      <c r="D343" s="116" t="s">
        <v>1171</v>
      </c>
      <c r="E343" s="114" t="s">
        <v>38</v>
      </c>
      <c r="F343" s="116" t="s">
        <v>1172</v>
      </c>
      <c r="G343" s="114" t="s">
        <v>40</v>
      </c>
      <c r="H343" s="114" t="s">
        <v>41</v>
      </c>
      <c r="I343" s="114" t="s">
        <v>42</v>
      </c>
      <c r="J343" s="118">
        <v>1.0</v>
      </c>
      <c r="K343" s="117"/>
      <c r="L343" s="117"/>
      <c r="M343" s="118">
        <v>1.0</v>
      </c>
      <c r="N343" s="117"/>
      <c r="O343" s="117"/>
      <c r="P343" s="117"/>
      <c r="Q343" s="119"/>
      <c r="R343" s="119"/>
      <c r="S343" s="114" t="s">
        <v>109</v>
      </c>
      <c r="T343" s="114" t="s">
        <v>66</v>
      </c>
      <c r="U343" s="114" t="s">
        <v>53</v>
      </c>
      <c r="V343" s="114" t="s">
        <v>78</v>
      </c>
      <c r="W343" s="121"/>
      <c r="X343" s="121"/>
      <c r="Y343" s="121"/>
      <c r="Z343" s="121"/>
      <c r="AA343" s="120">
        <v>10594.0</v>
      </c>
      <c r="AB343" s="120">
        <v>42376.0</v>
      </c>
      <c r="AC343" s="24" t="s">
        <v>1173</v>
      </c>
      <c r="AD343" s="81">
        <v>4445.0</v>
      </c>
      <c r="AE343" s="82" t="s">
        <v>1174</v>
      </c>
      <c r="AF343" s="114" t="str">
        <f t="shared" si="1"/>
        <v>Buenos Aires, Argentina</v>
      </c>
      <c r="AG343" s="114">
        <f t="shared" si="2"/>
        <v>2</v>
      </c>
      <c r="AH343" s="122">
        <f t="shared" si="3"/>
        <v>0</v>
      </c>
      <c r="AI343" s="122">
        <f t="shared" si="4"/>
        <v>0</v>
      </c>
      <c r="AJ343" s="120">
        <f t="shared" si="5"/>
        <v>52970</v>
      </c>
      <c r="AK343" s="120">
        <f t="shared" si="6"/>
        <v>52970</v>
      </c>
      <c r="AL343" s="123"/>
      <c r="AM343" s="123"/>
    </row>
    <row r="344">
      <c r="A344" s="114">
        <v>343.0</v>
      </c>
      <c r="B344" s="115">
        <v>44074.0</v>
      </c>
      <c r="C344" s="17">
        <v>82020.0</v>
      </c>
      <c r="D344" s="116" t="s">
        <v>1175</v>
      </c>
      <c r="E344" s="114" t="s">
        <v>38</v>
      </c>
      <c r="F344" s="116" t="s">
        <v>280</v>
      </c>
      <c r="G344" s="114" t="s">
        <v>64</v>
      </c>
      <c r="H344" s="114" t="s">
        <v>41</v>
      </c>
      <c r="I344" s="114" t="s">
        <v>42</v>
      </c>
      <c r="J344" s="118">
        <v>1.0</v>
      </c>
      <c r="K344" s="117"/>
      <c r="L344" s="117"/>
      <c r="M344" s="117"/>
      <c r="N344" s="117"/>
      <c r="O344" s="117"/>
      <c r="P344" s="117"/>
      <c r="Q344" s="119"/>
      <c r="R344" s="119"/>
      <c r="S344" s="114" t="s">
        <v>189</v>
      </c>
      <c r="T344" s="114" t="s">
        <v>539</v>
      </c>
      <c r="U344" s="114" t="s">
        <v>67</v>
      </c>
      <c r="V344" s="114" t="s">
        <v>78</v>
      </c>
      <c r="W344" s="121"/>
      <c r="X344" s="121"/>
      <c r="Y344" s="121"/>
      <c r="Z344" s="121"/>
      <c r="AA344" s="120">
        <v>4685.0</v>
      </c>
      <c r="AB344" s="120">
        <v>24988.0</v>
      </c>
      <c r="AC344" s="24" t="s">
        <v>1176</v>
      </c>
      <c r="AD344" s="81">
        <v>4449.0</v>
      </c>
      <c r="AE344" s="82" t="s">
        <v>1177</v>
      </c>
      <c r="AF344" s="114" t="str">
        <f t="shared" si="1"/>
        <v>Misiones, Argentina</v>
      </c>
      <c r="AG344" s="114">
        <f t="shared" si="2"/>
        <v>1</v>
      </c>
      <c r="AH344" s="122">
        <f t="shared" si="3"/>
        <v>0</v>
      </c>
      <c r="AI344" s="122">
        <f t="shared" si="4"/>
        <v>0</v>
      </c>
      <c r="AJ344" s="120">
        <f t="shared" si="5"/>
        <v>29673</v>
      </c>
      <c r="AK344" s="120">
        <f t="shared" si="6"/>
        <v>29673</v>
      </c>
      <c r="AL344" s="123"/>
      <c r="AM344" s="123"/>
    </row>
    <row r="345">
      <c r="A345" s="114">
        <v>344.0</v>
      </c>
      <c r="B345" s="115">
        <v>44074.0</v>
      </c>
      <c r="C345" s="17">
        <v>82020.0</v>
      </c>
      <c r="D345" s="116" t="s">
        <v>458</v>
      </c>
      <c r="E345" s="114" t="s">
        <v>38</v>
      </c>
      <c r="F345" s="116" t="s">
        <v>212</v>
      </c>
      <c r="G345" s="114" t="s">
        <v>64</v>
      </c>
      <c r="H345" s="114" t="s">
        <v>41</v>
      </c>
      <c r="I345" s="114" t="s">
        <v>42</v>
      </c>
      <c r="J345" s="117"/>
      <c r="K345" s="118">
        <v>1.0</v>
      </c>
      <c r="L345" s="117"/>
      <c r="M345" s="117"/>
      <c r="N345" s="117"/>
      <c r="O345" s="117"/>
      <c r="P345" s="117"/>
      <c r="Q345" s="119"/>
      <c r="R345" s="119"/>
      <c r="S345" s="114" t="s">
        <v>114</v>
      </c>
      <c r="T345" s="114" t="s">
        <v>83</v>
      </c>
      <c r="U345" s="114" t="s">
        <v>67</v>
      </c>
      <c r="V345" s="114" t="s">
        <v>59</v>
      </c>
      <c r="W345" s="121"/>
      <c r="X345" s="121"/>
      <c r="Y345" s="121"/>
      <c r="Z345" s="121"/>
      <c r="AA345" s="120">
        <v>3968.0</v>
      </c>
      <c r="AB345" s="120">
        <v>15872.0</v>
      </c>
      <c r="AC345" s="24" t="s">
        <v>1178</v>
      </c>
      <c r="AD345" s="81">
        <v>4451.0</v>
      </c>
      <c r="AE345" s="82" t="s">
        <v>1179</v>
      </c>
      <c r="AF345" s="114" t="str">
        <f t="shared" si="1"/>
        <v>Capital Federal, Argentina</v>
      </c>
      <c r="AG345" s="114">
        <f t="shared" si="2"/>
        <v>1</v>
      </c>
      <c r="AH345" s="122">
        <f t="shared" si="3"/>
        <v>0</v>
      </c>
      <c r="AI345" s="122">
        <f t="shared" si="4"/>
        <v>0</v>
      </c>
      <c r="AJ345" s="120">
        <f t="shared" si="5"/>
        <v>19840</v>
      </c>
      <c r="AK345" s="120">
        <f t="shared" si="6"/>
        <v>19840</v>
      </c>
      <c r="AL345" s="123"/>
      <c r="AM345" s="123"/>
    </row>
    <row r="346">
      <c r="A346" s="114">
        <v>345.0</v>
      </c>
      <c r="B346" s="115">
        <v>44074.0</v>
      </c>
      <c r="C346" s="17">
        <v>82020.0</v>
      </c>
      <c r="D346" s="116" t="s">
        <v>919</v>
      </c>
      <c r="E346" s="114" t="s">
        <v>38</v>
      </c>
      <c r="F346" s="116" t="s">
        <v>1166</v>
      </c>
      <c r="G346" s="114" t="s">
        <v>64</v>
      </c>
      <c r="H346" s="114" t="s">
        <v>547</v>
      </c>
      <c r="I346" s="114" t="s">
        <v>42</v>
      </c>
      <c r="J346" s="117"/>
      <c r="K346" s="117"/>
      <c r="L346" s="117"/>
      <c r="M346" s="118">
        <v>1.0</v>
      </c>
      <c r="N346" s="117"/>
      <c r="O346" s="117"/>
      <c r="P346" s="117"/>
      <c r="Q346" s="119"/>
      <c r="R346" s="119"/>
      <c r="S346" s="114" t="s">
        <v>167</v>
      </c>
      <c r="T346" s="114" t="s">
        <v>58</v>
      </c>
      <c r="U346" s="114" t="s">
        <v>67</v>
      </c>
      <c r="V346" s="114" t="s">
        <v>46</v>
      </c>
      <c r="W346" s="121"/>
      <c r="X346" s="121"/>
      <c r="Y346" s="121"/>
      <c r="Z346" s="121"/>
      <c r="AA346" s="120">
        <v>3042.0</v>
      </c>
      <c r="AB346" s="120">
        <v>0.0</v>
      </c>
      <c r="AC346" s="24" t="s">
        <v>1180</v>
      </c>
      <c r="AD346" s="81">
        <v>29583.0</v>
      </c>
      <c r="AE346" s="82" t="s">
        <v>922</v>
      </c>
      <c r="AF346" s="114" t="str">
        <f t="shared" si="1"/>
        <v>Córdoba, Argentina</v>
      </c>
      <c r="AG346" s="114">
        <f t="shared" si="2"/>
        <v>1</v>
      </c>
      <c r="AH346" s="122">
        <f t="shared" si="3"/>
        <v>0</v>
      </c>
      <c r="AI346" s="122">
        <f t="shared" si="4"/>
        <v>0</v>
      </c>
      <c r="AJ346" s="120">
        <f t="shared" si="5"/>
        <v>3042</v>
      </c>
      <c r="AK346" s="120">
        <f t="shared" si="6"/>
        <v>3042</v>
      </c>
      <c r="AL346" s="123"/>
      <c r="AM346" s="123"/>
    </row>
    <row r="347">
      <c r="A347" s="114">
        <v>346.0</v>
      </c>
      <c r="B347" s="115">
        <v>44074.0</v>
      </c>
      <c r="C347" s="17">
        <v>82020.0</v>
      </c>
      <c r="D347" s="116" t="s">
        <v>603</v>
      </c>
      <c r="E347" s="114" t="s">
        <v>38</v>
      </c>
      <c r="F347" s="116" t="s">
        <v>1166</v>
      </c>
      <c r="G347" s="114" t="s">
        <v>64</v>
      </c>
      <c r="H347" s="114" t="s">
        <v>41</v>
      </c>
      <c r="I347" s="114" t="s">
        <v>42</v>
      </c>
      <c r="J347" s="117"/>
      <c r="K347" s="117"/>
      <c r="L347" s="117"/>
      <c r="M347" s="118">
        <v>1.0</v>
      </c>
      <c r="N347" s="117"/>
      <c r="O347" s="117"/>
      <c r="P347" s="117"/>
      <c r="Q347" s="119"/>
      <c r="R347" s="119"/>
      <c r="S347" s="114" t="s">
        <v>98</v>
      </c>
      <c r="T347" s="114" t="s">
        <v>58</v>
      </c>
      <c r="U347" s="114" t="s">
        <v>67</v>
      </c>
      <c r="V347" s="114" t="s">
        <v>217</v>
      </c>
      <c r="W347" s="121"/>
      <c r="X347" s="121"/>
      <c r="Y347" s="121"/>
      <c r="Z347" s="121"/>
      <c r="AA347" s="120">
        <v>4940.0</v>
      </c>
      <c r="AB347" s="120">
        <v>0.0</v>
      </c>
      <c r="AC347" s="24" t="s">
        <v>1181</v>
      </c>
      <c r="AD347" s="81">
        <v>4217.0</v>
      </c>
      <c r="AE347" s="82" t="s">
        <v>606</v>
      </c>
      <c r="AF347" s="114" t="str">
        <f t="shared" si="1"/>
        <v>Córdoba, Argentina</v>
      </c>
      <c r="AG347" s="114">
        <f t="shared" si="2"/>
        <v>1</v>
      </c>
      <c r="AH347" s="122">
        <f t="shared" si="3"/>
        <v>0</v>
      </c>
      <c r="AI347" s="122">
        <f t="shared" si="4"/>
        <v>0</v>
      </c>
      <c r="AJ347" s="120">
        <f t="shared" si="5"/>
        <v>4940</v>
      </c>
      <c r="AK347" s="120">
        <f t="shared" si="6"/>
        <v>4940</v>
      </c>
      <c r="AL347" s="123"/>
      <c r="AM347" s="123"/>
    </row>
    <row r="348">
      <c r="A348" s="114">
        <v>347.0</v>
      </c>
      <c r="B348" s="115">
        <v>44074.0</v>
      </c>
      <c r="C348" s="17">
        <v>82020.0</v>
      </c>
      <c r="D348" s="116" t="s">
        <v>1127</v>
      </c>
      <c r="E348" s="114" t="s">
        <v>38</v>
      </c>
      <c r="F348" s="116" t="s">
        <v>280</v>
      </c>
      <c r="G348" s="114" t="s">
        <v>64</v>
      </c>
      <c r="H348" s="114" t="s">
        <v>41</v>
      </c>
      <c r="I348" s="114" t="s">
        <v>42</v>
      </c>
      <c r="J348" s="118">
        <v>1.0</v>
      </c>
      <c r="K348" s="117"/>
      <c r="L348" s="117"/>
      <c r="M348" s="117"/>
      <c r="N348" s="117"/>
      <c r="O348" s="117"/>
      <c r="P348" s="117"/>
      <c r="Q348" s="119"/>
      <c r="R348" s="119"/>
      <c r="S348" s="114" t="s">
        <v>65</v>
      </c>
      <c r="T348" s="114" t="s">
        <v>58</v>
      </c>
      <c r="U348" s="114" t="s">
        <v>99</v>
      </c>
      <c r="V348" s="114" t="s">
        <v>46</v>
      </c>
      <c r="W348" s="121"/>
      <c r="X348" s="121"/>
      <c r="Y348" s="121"/>
      <c r="Z348" s="121"/>
      <c r="AA348" s="120">
        <v>4940.0</v>
      </c>
      <c r="AB348" s="120">
        <v>6720.0</v>
      </c>
      <c r="AC348" s="24" t="s">
        <v>1182</v>
      </c>
      <c r="AD348" s="81">
        <v>30137.0</v>
      </c>
      <c r="AE348" s="82" t="s">
        <v>1183</v>
      </c>
      <c r="AF348" s="114" t="str">
        <f t="shared" si="1"/>
        <v>Córdoba, Argentina</v>
      </c>
      <c r="AG348" s="114">
        <f t="shared" si="2"/>
        <v>1</v>
      </c>
      <c r="AH348" s="122">
        <f t="shared" si="3"/>
        <v>0</v>
      </c>
      <c r="AI348" s="122">
        <f t="shared" si="4"/>
        <v>0</v>
      </c>
      <c r="AJ348" s="120">
        <f t="shared" si="5"/>
        <v>11660</v>
      </c>
      <c r="AK348" s="120">
        <f t="shared" si="6"/>
        <v>11660</v>
      </c>
      <c r="AL348" s="123"/>
      <c r="AM348" s="123"/>
    </row>
    <row r="349">
      <c r="A349" s="114">
        <v>348.0</v>
      </c>
      <c r="B349" s="115">
        <v>44074.0</v>
      </c>
      <c r="C349" s="17">
        <v>82020.0</v>
      </c>
      <c r="D349" s="116" t="s">
        <v>1184</v>
      </c>
      <c r="E349" s="114" t="s">
        <v>38</v>
      </c>
      <c r="F349" s="116" t="s">
        <v>1185</v>
      </c>
      <c r="G349" s="114" t="s">
        <v>40</v>
      </c>
      <c r="H349" s="114" t="s">
        <v>41</v>
      </c>
      <c r="I349" s="114" t="s">
        <v>42</v>
      </c>
      <c r="J349" s="118">
        <v>2.0</v>
      </c>
      <c r="K349" s="117"/>
      <c r="L349" s="117"/>
      <c r="M349" s="117"/>
      <c r="N349" s="118">
        <v>1.0</v>
      </c>
      <c r="O349" s="117"/>
      <c r="P349" s="117"/>
      <c r="Q349" s="119"/>
      <c r="R349" s="119"/>
      <c r="S349" s="114" t="s">
        <v>167</v>
      </c>
      <c r="T349" s="114" t="s">
        <v>83</v>
      </c>
      <c r="U349" s="114" t="s">
        <v>45</v>
      </c>
      <c r="V349" s="114" t="s">
        <v>59</v>
      </c>
      <c r="W349" s="121"/>
      <c r="X349" s="121"/>
      <c r="Y349" s="121"/>
      <c r="Z349" s="121"/>
      <c r="AA349" s="120">
        <v>9880.0</v>
      </c>
      <c r="AB349" s="120">
        <v>19760.0</v>
      </c>
      <c r="AC349" s="24" t="s">
        <v>1186</v>
      </c>
      <c r="AD349" s="81">
        <v>4455.0</v>
      </c>
      <c r="AE349" s="82" t="s">
        <v>1187</v>
      </c>
      <c r="AF349" s="114" t="str">
        <f t="shared" si="1"/>
        <v>Capital Federal, Argentina</v>
      </c>
      <c r="AG349" s="114">
        <f t="shared" si="2"/>
        <v>3</v>
      </c>
      <c r="AH349" s="122">
        <f t="shared" si="3"/>
        <v>0</v>
      </c>
      <c r="AI349" s="122">
        <f t="shared" si="4"/>
        <v>0</v>
      </c>
      <c r="AJ349" s="120">
        <f t="shared" si="5"/>
        <v>29640</v>
      </c>
      <c r="AK349" s="120">
        <f t="shared" si="6"/>
        <v>29640</v>
      </c>
      <c r="AL349" s="123"/>
      <c r="AM349" s="123"/>
    </row>
    <row r="350">
      <c r="A350" s="114">
        <v>349.0</v>
      </c>
      <c r="B350" s="115">
        <v>44074.0</v>
      </c>
      <c r="C350" s="17">
        <v>82020.0</v>
      </c>
      <c r="D350" s="116" t="s">
        <v>1188</v>
      </c>
      <c r="E350" s="114" t="s">
        <v>38</v>
      </c>
      <c r="F350" s="116" t="s">
        <v>1189</v>
      </c>
      <c r="G350" s="114" t="s">
        <v>64</v>
      </c>
      <c r="H350" s="114" t="s">
        <v>41</v>
      </c>
      <c r="I350" s="114" t="s">
        <v>643</v>
      </c>
      <c r="J350" s="118">
        <v>21.0</v>
      </c>
      <c r="K350" s="118">
        <v>5.0</v>
      </c>
      <c r="L350" s="117"/>
      <c r="M350" s="117"/>
      <c r="N350" s="117"/>
      <c r="O350" s="117"/>
      <c r="P350" s="117"/>
      <c r="Q350" s="119"/>
      <c r="R350" s="119"/>
      <c r="S350" s="114" t="s">
        <v>276</v>
      </c>
      <c r="T350" s="114" t="s">
        <v>66</v>
      </c>
      <c r="U350" s="114" t="s">
        <v>53</v>
      </c>
      <c r="V350" s="114" t="s">
        <v>84</v>
      </c>
      <c r="W350" s="121"/>
      <c r="X350" s="121"/>
      <c r="Y350" s="121"/>
      <c r="Z350" s="121"/>
      <c r="AA350" s="120">
        <v>120040.0</v>
      </c>
      <c r="AB350" s="120">
        <v>440640.0</v>
      </c>
      <c r="AC350" s="24" t="s">
        <v>1190</v>
      </c>
      <c r="AD350" s="81">
        <v>4443.0</v>
      </c>
      <c r="AE350" s="82" t="s">
        <v>1191</v>
      </c>
      <c r="AF350" s="114" t="str">
        <f t="shared" si="1"/>
        <v>Buenos Aires, Argentina</v>
      </c>
      <c r="AG350" s="114">
        <f t="shared" si="2"/>
        <v>26</v>
      </c>
      <c r="AH350" s="122">
        <f t="shared" si="3"/>
        <v>0</v>
      </c>
      <c r="AI350" s="122">
        <f t="shared" si="4"/>
        <v>0</v>
      </c>
      <c r="AJ350" s="120">
        <f t="shared" si="5"/>
        <v>560680</v>
      </c>
      <c r="AK350" s="120">
        <f t="shared" si="6"/>
        <v>560680</v>
      </c>
      <c r="AL350" s="123"/>
      <c r="AM350" s="123"/>
    </row>
    <row r="351">
      <c r="A351" s="162">
        <v>350.0</v>
      </c>
      <c r="B351" s="163">
        <v>44076.0</v>
      </c>
      <c r="C351" s="17">
        <v>92020.0</v>
      </c>
      <c r="D351" s="164" t="s">
        <v>1192</v>
      </c>
      <c r="E351" s="162" t="s">
        <v>38</v>
      </c>
      <c r="F351" s="164" t="s">
        <v>71</v>
      </c>
      <c r="G351" s="162" t="s">
        <v>64</v>
      </c>
      <c r="H351" s="162" t="s">
        <v>41</v>
      </c>
      <c r="I351" s="162" t="s">
        <v>42</v>
      </c>
      <c r="J351" s="165">
        <v>1.0</v>
      </c>
      <c r="K351" s="166"/>
      <c r="L351" s="166"/>
      <c r="M351" s="166"/>
      <c r="N351" s="166"/>
      <c r="O351" s="166"/>
      <c r="P351" s="166"/>
      <c r="Q351" s="167"/>
      <c r="R351" s="167"/>
      <c r="S351" s="162" t="s">
        <v>65</v>
      </c>
      <c r="T351" s="162" t="s">
        <v>83</v>
      </c>
      <c r="U351" s="162" t="s">
        <v>67</v>
      </c>
      <c r="V351" s="162" t="s">
        <v>78</v>
      </c>
      <c r="W351" s="168"/>
      <c r="X351" s="168"/>
      <c r="Y351" s="168"/>
      <c r="Z351" s="168"/>
      <c r="AA351" s="169">
        <v>5480.0</v>
      </c>
      <c r="AB351" s="169">
        <v>16440.0</v>
      </c>
      <c r="AC351" s="24" t="s">
        <v>1193</v>
      </c>
      <c r="AD351" s="81">
        <v>4457.0</v>
      </c>
      <c r="AE351" s="82" t="s">
        <v>1194</v>
      </c>
      <c r="AF351" s="162" t="str">
        <f t="shared" si="1"/>
        <v>Capital Federal, Argentina</v>
      </c>
      <c r="AG351" s="162">
        <f t="shared" si="2"/>
        <v>1</v>
      </c>
      <c r="AH351" s="170">
        <f t="shared" si="3"/>
        <v>0</v>
      </c>
      <c r="AI351" s="170">
        <f t="shared" si="4"/>
        <v>0</v>
      </c>
      <c r="AJ351" s="169">
        <f t="shared" si="5"/>
        <v>21920</v>
      </c>
      <c r="AK351" s="169">
        <f t="shared" si="6"/>
        <v>21920</v>
      </c>
      <c r="AL351" s="171"/>
      <c r="AM351" s="171"/>
    </row>
    <row r="352">
      <c r="A352" s="162">
        <v>351.0</v>
      </c>
      <c r="B352" s="163">
        <v>44076.0</v>
      </c>
      <c r="C352" s="17">
        <v>92020.0</v>
      </c>
      <c r="D352" s="164" t="s">
        <v>1195</v>
      </c>
      <c r="E352" s="162" t="s">
        <v>38</v>
      </c>
      <c r="F352" s="164" t="s">
        <v>1102</v>
      </c>
      <c r="G352" s="162" t="s">
        <v>64</v>
      </c>
      <c r="H352" s="162" t="s">
        <v>547</v>
      </c>
      <c r="I352" s="162" t="s">
        <v>643</v>
      </c>
      <c r="J352" s="165">
        <v>1.0</v>
      </c>
      <c r="K352" s="166"/>
      <c r="L352" s="166"/>
      <c r="M352" s="166"/>
      <c r="N352" s="166"/>
      <c r="O352" s="166"/>
      <c r="P352" s="166"/>
      <c r="Q352" s="167"/>
      <c r="R352" s="167"/>
      <c r="S352" s="162" t="s">
        <v>963</v>
      </c>
      <c r="T352" s="162" t="s">
        <v>879</v>
      </c>
      <c r="U352" s="162" t="s">
        <v>67</v>
      </c>
      <c r="V352" s="162" t="s">
        <v>84</v>
      </c>
      <c r="W352" s="168"/>
      <c r="X352" s="168"/>
      <c r="Y352" s="168"/>
      <c r="Z352" s="168"/>
      <c r="AA352" s="169">
        <v>3042.0</v>
      </c>
      <c r="AB352" s="169">
        <v>0.0</v>
      </c>
      <c r="AC352" s="24" t="s">
        <v>1196</v>
      </c>
      <c r="AD352" s="81">
        <v>4281.0</v>
      </c>
      <c r="AE352" s="82" t="s">
        <v>965</v>
      </c>
      <c r="AF352" s="162" t="str">
        <f t="shared" si="1"/>
        <v>Salta, Argentina</v>
      </c>
      <c r="AG352" s="162">
        <f t="shared" si="2"/>
        <v>1</v>
      </c>
      <c r="AH352" s="170">
        <f t="shared" si="3"/>
        <v>0</v>
      </c>
      <c r="AI352" s="170">
        <f t="shared" si="4"/>
        <v>0</v>
      </c>
      <c r="AJ352" s="169">
        <f t="shared" si="5"/>
        <v>3042</v>
      </c>
      <c r="AK352" s="169">
        <f t="shared" si="6"/>
        <v>3042</v>
      </c>
      <c r="AL352" s="171"/>
      <c r="AM352" s="171"/>
    </row>
    <row r="353">
      <c r="A353" s="162">
        <v>352.0</v>
      </c>
      <c r="B353" s="163">
        <v>44078.0</v>
      </c>
      <c r="C353" s="17">
        <v>92020.0</v>
      </c>
      <c r="D353" s="164" t="s">
        <v>1197</v>
      </c>
      <c r="E353" s="162" t="s">
        <v>38</v>
      </c>
      <c r="F353" s="164" t="s">
        <v>71</v>
      </c>
      <c r="G353" s="162" t="s">
        <v>40</v>
      </c>
      <c r="H353" s="162" t="s">
        <v>547</v>
      </c>
      <c r="I353" s="162" t="s">
        <v>42</v>
      </c>
      <c r="J353" s="165">
        <v>1.0</v>
      </c>
      <c r="K353" s="166"/>
      <c r="L353" s="166"/>
      <c r="M353" s="166"/>
      <c r="N353" s="166"/>
      <c r="O353" s="166"/>
      <c r="P353" s="166"/>
      <c r="Q353" s="167"/>
      <c r="R353" s="167"/>
      <c r="S353" s="162" t="s">
        <v>167</v>
      </c>
      <c r="T353" s="172" t="s">
        <v>66</v>
      </c>
      <c r="U353" s="162" t="s">
        <v>45</v>
      </c>
      <c r="V353" s="162" t="s">
        <v>78</v>
      </c>
      <c r="W353" s="168"/>
      <c r="X353" s="168"/>
      <c r="Y353" s="168"/>
      <c r="Z353" s="168"/>
      <c r="AA353" s="169">
        <v>3042.0</v>
      </c>
      <c r="AB353" s="169">
        <v>6084.0</v>
      </c>
      <c r="AC353" s="24" t="s">
        <v>1198</v>
      </c>
      <c r="AD353" s="159">
        <v>4461.0</v>
      </c>
      <c r="AE353" s="82" t="s">
        <v>1199</v>
      </c>
      <c r="AF353" s="172" t="str">
        <f t="shared" si="1"/>
        <v>Buenos Aires, Argentina</v>
      </c>
      <c r="AG353" s="172">
        <f t="shared" si="2"/>
        <v>1</v>
      </c>
      <c r="AH353" s="170">
        <f t="shared" si="3"/>
        <v>0</v>
      </c>
      <c r="AI353" s="170">
        <f t="shared" si="4"/>
        <v>0</v>
      </c>
      <c r="AJ353" s="169">
        <f t="shared" si="5"/>
        <v>9126</v>
      </c>
      <c r="AK353" s="169">
        <f t="shared" si="6"/>
        <v>9126</v>
      </c>
      <c r="AL353" s="171"/>
      <c r="AM353" s="171"/>
    </row>
    <row r="354">
      <c r="A354" s="162">
        <v>353.0</v>
      </c>
      <c r="B354" s="163">
        <v>44078.0</v>
      </c>
      <c r="C354" s="17">
        <v>92020.0</v>
      </c>
      <c r="D354" s="164" t="s">
        <v>1200</v>
      </c>
      <c r="E354" s="162" t="s">
        <v>38</v>
      </c>
      <c r="F354" s="164" t="s">
        <v>284</v>
      </c>
      <c r="G354" s="162" t="s">
        <v>40</v>
      </c>
      <c r="H354" s="162" t="s">
        <v>41</v>
      </c>
      <c r="I354" s="162" t="s">
        <v>42</v>
      </c>
      <c r="J354" s="165">
        <v>2.0</v>
      </c>
      <c r="K354" s="166"/>
      <c r="L354" s="166"/>
      <c r="M354" s="166"/>
      <c r="N354" s="166"/>
      <c r="O354" s="166"/>
      <c r="P354" s="166"/>
      <c r="Q354" s="167"/>
      <c r="R354" s="167"/>
      <c r="S354" s="162" t="s">
        <v>105</v>
      </c>
      <c r="T354" s="162" t="s">
        <v>66</v>
      </c>
      <c r="U354" s="162" t="s">
        <v>53</v>
      </c>
      <c r="V354" s="162" t="s">
        <v>59</v>
      </c>
      <c r="W354" s="168"/>
      <c r="X354" s="168"/>
      <c r="Y354" s="168"/>
      <c r="Z354" s="168"/>
      <c r="AA354" s="169">
        <v>10140.0</v>
      </c>
      <c r="AB354" s="169">
        <v>40560.0</v>
      </c>
      <c r="AC354" s="24" t="s">
        <v>1201</v>
      </c>
      <c r="AD354" s="81">
        <v>4463.0</v>
      </c>
      <c r="AE354" s="82" t="s">
        <v>1202</v>
      </c>
      <c r="AF354" s="162" t="str">
        <f t="shared" si="1"/>
        <v>Buenos Aires, Argentina</v>
      </c>
      <c r="AG354" s="162">
        <f t="shared" si="2"/>
        <v>2</v>
      </c>
      <c r="AH354" s="170">
        <f t="shared" si="3"/>
        <v>0</v>
      </c>
      <c r="AI354" s="170">
        <f t="shared" si="4"/>
        <v>0</v>
      </c>
      <c r="AJ354" s="169">
        <f t="shared" si="5"/>
        <v>50700</v>
      </c>
      <c r="AK354" s="169">
        <f t="shared" si="6"/>
        <v>50700</v>
      </c>
      <c r="AL354" s="171"/>
      <c r="AM354" s="171"/>
    </row>
    <row r="355">
      <c r="A355" s="162">
        <v>354.0</v>
      </c>
      <c r="B355" s="163">
        <v>44078.0</v>
      </c>
      <c r="C355" s="17">
        <v>92020.0</v>
      </c>
      <c r="D355" s="164" t="s">
        <v>848</v>
      </c>
      <c r="E355" s="162" t="s">
        <v>38</v>
      </c>
      <c r="F355" s="164" t="s">
        <v>77</v>
      </c>
      <c r="G355" s="162" t="s">
        <v>64</v>
      </c>
      <c r="H355" s="162" t="s">
        <v>547</v>
      </c>
      <c r="I355" s="162" t="s">
        <v>643</v>
      </c>
      <c r="J355" s="166"/>
      <c r="K355" s="165">
        <v>1.0</v>
      </c>
      <c r="L355" s="166"/>
      <c r="M355" s="166"/>
      <c r="N355" s="166"/>
      <c r="O355" s="166"/>
      <c r="P355" s="166"/>
      <c r="Q355" s="167"/>
      <c r="R355" s="167"/>
      <c r="S355" s="162" t="s">
        <v>204</v>
      </c>
      <c r="T355" s="162" t="s">
        <v>83</v>
      </c>
      <c r="U355" s="162" t="s">
        <v>67</v>
      </c>
      <c r="V355" s="162" t="s">
        <v>84</v>
      </c>
      <c r="W355" s="168"/>
      <c r="X355" s="168"/>
      <c r="Y355" s="168"/>
      <c r="Z355" s="168"/>
      <c r="AA355" s="169">
        <v>2028.0</v>
      </c>
      <c r="AB355" s="169">
        <v>4056.0</v>
      </c>
      <c r="AC355" s="24" t="s">
        <v>1203</v>
      </c>
      <c r="AD355" s="159">
        <v>4459.0</v>
      </c>
      <c r="AE355" s="82" t="s">
        <v>1204</v>
      </c>
      <c r="AF355" s="162" t="str">
        <f t="shared" si="1"/>
        <v>Capital Federal, Argentina</v>
      </c>
      <c r="AG355" s="162">
        <f t="shared" si="2"/>
        <v>1</v>
      </c>
      <c r="AH355" s="170">
        <f t="shared" si="3"/>
        <v>0</v>
      </c>
      <c r="AI355" s="170">
        <f t="shared" si="4"/>
        <v>0</v>
      </c>
      <c r="AJ355" s="169">
        <f t="shared" si="5"/>
        <v>6084</v>
      </c>
      <c r="AK355" s="169">
        <f t="shared" si="6"/>
        <v>6084</v>
      </c>
      <c r="AL355" s="171"/>
      <c r="AM355" s="171"/>
    </row>
    <row r="356">
      <c r="A356" s="162">
        <v>355.0</v>
      </c>
      <c r="B356" s="163">
        <v>44081.0</v>
      </c>
      <c r="C356" s="17">
        <v>92020.0</v>
      </c>
      <c r="D356" s="164" t="s">
        <v>1205</v>
      </c>
      <c r="E356" s="162" t="s">
        <v>38</v>
      </c>
      <c r="F356" s="164" t="s">
        <v>1102</v>
      </c>
      <c r="G356" s="162" t="s">
        <v>64</v>
      </c>
      <c r="H356" s="162" t="s">
        <v>41</v>
      </c>
      <c r="I356" s="162" t="s">
        <v>643</v>
      </c>
      <c r="J356" s="166"/>
      <c r="K356" s="166"/>
      <c r="L356" s="166"/>
      <c r="M356" s="165">
        <v>1.0</v>
      </c>
      <c r="N356" s="166"/>
      <c r="O356" s="166"/>
      <c r="P356" s="166"/>
      <c r="Q356" s="167"/>
      <c r="R356" s="167"/>
      <c r="S356" s="162" t="s">
        <v>114</v>
      </c>
      <c r="T356" s="162" t="s">
        <v>66</v>
      </c>
      <c r="U356" s="162" t="s">
        <v>67</v>
      </c>
      <c r="V356" s="162" t="s">
        <v>84</v>
      </c>
      <c r="W356" s="168"/>
      <c r="X356" s="168"/>
      <c r="Y356" s="168"/>
      <c r="Z356" s="168"/>
      <c r="AA356" s="169">
        <v>5070.0</v>
      </c>
      <c r="AB356" s="169">
        <v>0.0</v>
      </c>
      <c r="AC356" s="24" t="s">
        <v>1206</v>
      </c>
      <c r="AD356" s="159">
        <v>4209.0</v>
      </c>
      <c r="AE356" s="82" t="s">
        <v>876</v>
      </c>
      <c r="AF356" s="162" t="str">
        <f t="shared" si="1"/>
        <v>Buenos Aires, Argentina</v>
      </c>
      <c r="AG356" s="162">
        <f t="shared" si="2"/>
        <v>1</v>
      </c>
      <c r="AH356" s="170">
        <f t="shared" si="3"/>
        <v>0</v>
      </c>
      <c r="AI356" s="170">
        <f t="shared" si="4"/>
        <v>0</v>
      </c>
      <c r="AJ356" s="169">
        <f t="shared" si="5"/>
        <v>5070</v>
      </c>
      <c r="AK356" s="169">
        <f t="shared" si="6"/>
        <v>5070</v>
      </c>
      <c r="AL356" s="171"/>
      <c r="AM356" s="171"/>
    </row>
    <row r="357">
      <c r="A357" s="162">
        <v>356.0</v>
      </c>
      <c r="B357" s="163">
        <v>44082.0</v>
      </c>
      <c r="C357" s="17">
        <v>92020.0</v>
      </c>
      <c r="D357" s="164" t="s">
        <v>1207</v>
      </c>
      <c r="E357" s="162" t="s">
        <v>38</v>
      </c>
      <c r="F357" s="164" t="s">
        <v>123</v>
      </c>
      <c r="G357" s="162" t="s">
        <v>40</v>
      </c>
      <c r="H357" s="162" t="s">
        <v>41</v>
      </c>
      <c r="I357" s="162" t="s">
        <v>42</v>
      </c>
      <c r="J357" s="165">
        <v>1.0</v>
      </c>
      <c r="K357" s="165">
        <v>1.0</v>
      </c>
      <c r="L357" s="166"/>
      <c r="M357" s="166"/>
      <c r="N357" s="166"/>
      <c r="O357" s="166"/>
      <c r="P357" s="166"/>
      <c r="Q357" s="167"/>
      <c r="R357" s="167"/>
      <c r="S357" s="162" t="s">
        <v>98</v>
      </c>
      <c r="T357" s="162" t="s">
        <v>58</v>
      </c>
      <c r="U357" s="162" t="s">
        <v>163</v>
      </c>
      <c r="V357" s="162" t="s">
        <v>217</v>
      </c>
      <c r="W357" s="168"/>
      <c r="X357" s="168"/>
      <c r="Y357" s="168"/>
      <c r="Z357" s="168"/>
      <c r="AA357" s="169">
        <v>8416.0</v>
      </c>
      <c r="AB357" s="169">
        <v>33664.0</v>
      </c>
      <c r="AC357" s="24" t="s">
        <v>1208</v>
      </c>
      <c r="AD357" s="81">
        <v>4469.0</v>
      </c>
      <c r="AE357" s="82" t="s">
        <v>1209</v>
      </c>
      <c r="AF357" s="162" t="str">
        <f t="shared" si="1"/>
        <v>Córdoba, Argentina</v>
      </c>
      <c r="AG357" s="162">
        <f t="shared" si="2"/>
        <v>2</v>
      </c>
      <c r="AH357" s="170">
        <f t="shared" si="3"/>
        <v>0</v>
      </c>
      <c r="AI357" s="170">
        <f t="shared" si="4"/>
        <v>0</v>
      </c>
      <c r="AJ357" s="169">
        <f t="shared" si="5"/>
        <v>42080</v>
      </c>
      <c r="AK357" s="169">
        <f t="shared" si="6"/>
        <v>42080</v>
      </c>
      <c r="AL357" s="171"/>
      <c r="AM357" s="171"/>
    </row>
    <row r="358">
      <c r="A358" s="162">
        <v>357.0</v>
      </c>
      <c r="B358" s="163">
        <v>44082.0</v>
      </c>
      <c r="C358" s="17">
        <v>92020.0</v>
      </c>
      <c r="D358" s="164" t="s">
        <v>1210</v>
      </c>
      <c r="E358" s="162" t="s">
        <v>38</v>
      </c>
      <c r="F358" s="164" t="s">
        <v>284</v>
      </c>
      <c r="G358" s="162" t="s">
        <v>40</v>
      </c>
      <c r="H358" s="162" t="s">
        <v>41</v>
      </c>
      <c r="I358" s="162" t="s">
        <v>42</v>
      </c>
      <c r="J358" s="165">
        <v>2.0</v>
      </c>
      <c r="K358" s="166"/>
      <c r="L358" s="166"/>
      <c r="M358" s="166"/>
      <c r="N358" s="166"/>
      <c r="O358" s="166"/>
      <c r="P358" s="166"/>
      <c r="Q358" s="167"/>
      <c r="R358" s="167"/>
      <c r="S358" s="162" t="s">
        <v>105</v>
      </c>
      <c r="T358" s="172" t="s">
        <v>66</v>
      </c>
      <c r="U358" s="162" t="s">
        <v>53</v>
      </c>
      <c r="V358" s="162" t="s">
        <v>78</v>
      </c>
      <c r="W358" s="168"/>
      <c r="X358" s="168"/>
      <c r="Y358" s="168"/>
      <c r="Z358" s="168"/>
      <c r="AA358" s="169">
        <v>10140.0</v>
      </c>
      <c r="AB358" s="169">
        <v>50700.0</v>
      </c>
      <c r="AC358" s="24" t="s">
        <v>1211</v>
      </c>
      <c r="AD358" s="159">
        <v>4473.0</v>
      </c>
      <c r="AE358" s="82" t="s">
        <v>1212</v>
      </c>
      <c r="AF358" s="172" t="str">
        <f t="shared" si="1"/>
        <v>Buenos Aires, Argentina</v>
      </c>
      <c r="AG358" s="172">
        <f t="shared" si="2"/>
        <v>2</v>
      </c>
      <c r="AH358" s="170">
        <f t="shared" si="3"/>
        <v>0</v>
      </c>
      <c r="AI358" s="170">
        <f t="shared" si="4"/>
        <v>0</v>
      </c>
      <c r="AJ358" s="169">
        <f t="shared" si="5"/>
        <v>60840</v>
      </c>
      <c r="AK358" s="169">
        <f t="shared" si="6"/>
        <v>60840</v>
      </c>
      <c r="AL358" s="171"/>
      <c r="AM358" s="171"/>
    </row>
    <row r="359">
      <c r="A359" s="162">
        <v>358.0</v>
      </c>
      <c r="B359" s="163">
        <v>44082.0</v>
      </c>
      <c r="C359" s="17">
        <v>92020.0</v>
      </c>
      <c r="D359" s="164" t="s">
        <v>1213</v>
      </c>
      <c r="E359" s="162" t="s">
        <v>38</v>
      </c>
      <c r="F359" s="164" t="s">
        <v>71</v>
      </c>
      <c r="G359" s="162" t="s">
        <v>40</v>
      </c>
      <c r="H359" s="162" t="s">
        <v>547</v>
      </c>
      <c r="I359" s="162" t="s">
        <v>42</v>
      </c>
      <c r="J359" s="165">
        <v>1.0</v>
      </c>
      <c r="K359" s="166"/>
      <c r="L359" s="166"/>
      <c r="M359" s="166"/>
      <c r="N359" s="166"/>
      <c r="O359" s="166"/>
      <c r="P359" s="166"/>
      <c r="Q359" s="167"/>
      <c r="R359" s="167"/>
      <c r="S359" s="162" t="s">
        <v>114</v>
      </c>
      <c r="T359" s="172" t="s">
        <v>66</v>
      </c>
      <c r="U359" s="162" t="s">
        <v>45</v>
      </c>
      <c r="V359" s="162" t="s">
        <v>78</v>
      </c>
      <c r="W359" s="168"/>
      <c r="X359" s="168"/>
      <c r="Y359" s="168"/>
      <c r="Z359" s="168"/>
      <c r="AA359" s="169">
        <v>3042.0</v>
      </c>
      <c r="AB359" s="169">
        <v>7605.0</v>
      </c>
      <c r="AC359" s="24" t="s">
        <v>1214</v>
      </c>
      <c r="AD359" s="81">
        <v>4465.0</v>
      </c>
      <c r="AE359" s="82" t="s">
        <v>1215</v>
      </c>
      <c r="AF359" s="172" t="str">
        <f t="shared" si="1"/>
        <v>Buenos Aires, Argentina</v>
      </c>
      <c r="AG359" s="172">
        <f t="shared" si="2"/>
        <v>1</v>
      </c>
      <c r="AH359" s="170">
        <f t="shared" si="3"/>
        <v>0</v>
      </c>
      <c r="AI359" s="170">
        <f t="shared" si="4"/>
        <v>0</v>
      </c>
      <c r="AJ359" s="169">
        <f t="shared" si="5"/>
        <v>10647</v>
      </c>
      <c r="AK359" s="169">
        <f t="shared" si="6"/>
        <v>10647</v>
      </c>
      <c r="AL359" s="171"/>
      <c r="AM359" s="171"/>
    </row>
    <row r="360">
      <c r="A360" s="162">
        <v>359.0</v>
      </c>
      <c r="B360" s="163">
        <v>44083.0</v>
      </c>
      <c r="C360" s="17">
        <v>92020.0</v>
      </c>
      <c r="D360" s="164" t="s">
        <v>1216</v>
      </c>
      <c r="E360" s="162" t="s">
        <v>1217</v>
      </c>
      <c r="F360" s="164" t="s">
        <v>50</v>
      </c>
      <c r="G360" s="162" t="s">
        <v>64</v>
      </c>
      <c r="H360" s="162" t="s">
        <v>41</v>
      </c>
      <c r="I360" s="162" t="s">
        <v>42</v>
      </c>
      <c r="J360" s="165">
        <v>1.0</v>
      </c>
      <c r="K360" s="165">
        <v>3.0</v>
      </c>
      <c r="L360" s="166"/>
      <c r="M360" s="166"/>
      <c r="N360" s="166"/>
      <c r="O360" s="166"/>
      <c r="P360" s="166"/>
      <c r="Q360" s="167"/>
      <c r="R360" s="167"/>
      <c r="S360" s="162" t="s">
        <v>65</v>
      </c>
      <c r="T360" s="172" t="s">
        <v>66</v>
      </c>
      <c r="U360" s="162" t="s">
        <v>99</v>
      </c>
      <c r="V360" s="162" t="s">
        <v>78</v>
      </c>
      <c r="W360" s="168"/>
      <c r="X360" s="168"/>
      <c r="Y360" s="168"/>
      <c r="Z360" s="168"/>
      <c r="AA360" s="169">
        <v>16024.0</v>
      </c>
      <c r="AB360" s="169">
        <v>64098.0</v>
      </c>
      <c r="AC360" s="24" t="s">
        <v>1218</v>
      </c>
      <c r="AD360" s="81">
        <v>4475.0</v>
      </c>
      <c r="AE360" s="82" t="s">
        <v>1219</v>
      </c>
      <c r="AF360" s="172" t="str">
        <f t="shared" si="1"/>
        <v>Buenos Aires, Argentina</v>
      </c>
      <c r="AG360" s="172">
        <f t="shared" si="2"/>
        <v>4</v>
      </c>
      <c r="AH360" s="170">
        <f t="shared" si="3"/>
        <v>0</v>
      </c>
      <c r="AI360" s="170">
        <f t="shared" si="4"/>
        <v>0</v>
      </c>
      <c r="AJ360" s="169">
        <f t="shared" si="5"/>
        <v>80122</v>
      </c>
      <c r="AK360" s="169">
        <f t="shared" si="6"/>
        <v>80122</v>
      </c>
      <c r="AL360" s="171"/>
      <c r="AM360" s="171"/>
    </row>
    <row r="361">
      <c r="A361" s="162">
        <v>360.0</v>
      </c>
      <c r="B361" s="163">
        <v>44083.0</v>
      </c>
      <c r="C361" s="17">
        <v>92020.0</v>
      </c>
      <c r="D361" s="164" t="s">
        <v>1220</v>
      </c>
      <c r="E361" s="162" t="s">
        <v>1221</v>
      </c>
      <c r="F361" s="164" t="s">
        <v>1222</v>
      </c>
      <c r="G361" s="162" t="s">
        <v>64</v>
      </c>
      <c r="H361" s="162" t="s">
        <v>41</v>
      </c>
      <c r="I361" s="162" t="s">
        <v>42</v>
      </c>
      <c r="J361" s="166"/>
      <c r="K361" s="166"/>
      <c r="L361" s="166"/>
      <c r="M361" s="166"/>
      <c r="N361" s="166"/>
      <c r="O361" s="166"/>
      <c r="P361" s="166"/>
      <c r="Q361" s="167"/>
      <c r="R361" s="162">
        <v>3.0</v>
      </c>
      <c r="S361" s="162" t="s">
        <v>189</v>
      </c>
      <c r="T361" s="162" t="s">
        <v>263</v>
      </c>
      <c r="U361" s="162" t="s">
        <v>99</v>
      </c>
      <c r="V361" s="162" t="s">
        <v>217</v>
      </c>
      <c r="W361" s="168"/>
      <c r="X361" s="168"/>
      <c r="Y361" s="168"/>
      <c r="Z361" s="169">
        <v>20154.0</v>
      </c>
      <c r="AA361" s="169">
        <v>0.0</v>
      </c>
      <c r="AB361" s="169">
        <v>0.0</v>
      </c>
      <c r="AC361" s="24" t="s">
        <v>1223</v>
      </c>
      <c r="AD361" s="159">
        <v>4479.0</v>
      </c>
      <c r="AE361" s="82" t="s">
        <v>1224</v>
      </c>
      <c r="AF361" s="162" t="str">
        <f t="shared" si="1"/>
        <v>Santa Fé, Argentina</v>
      </c>
      <c r="AG361" s="162">
        <f t="shared" si="2"/>
        <v>0</v>
      </c>
      <c r="AH361" s="170">
        <f t="shared" si="3"/>
        <v>0</v>
      </c>
      <c r="AI361" s="170">
        <f t="shared" si="4"/>
        <v>20154</v>
      </c>
      <c r="AJ361" s="169">
        <f t="shared" si="5"/>
        <v>0</v>
      </c>
      <c r="AK361" s="169">
        <f t="shared" si="6"/>
        <v>20154</v>
      </c>
      <c r="AL361" s="171"/>
      <c r="AM361" s="171"/>
    </row>
    <row r="362">
      <c r="A362" s="162">
        <v>361.0</v>
      </c>
      <c r="B362" s="163">
        <v>44084.0</v>
      </c>
      <c r="C362" s="17">
        <v>92020.0</v>
      </c>
      <c r="D362" s="164" t="s">
        <v>1216</v>
      </c>
      <c r="E362" s="162" t="s">
        <v>1217</v>
      </c>
      <c r="F362" s="164" t="s">
        <v>1222</v>
      </c>
      <c r="G362" s="162" t="s">
        <v>64</v>
      </c>
      <c r="H362" s="162" t="s">
        <v>41</v>
      </c>
      <c r="I362" s="162" t="s">
        <v>42</v>
      </c>
      <c r="J362" s="166"/>
      <c r="K362" s="166"/>
      <c r="L362" s="166"/>
      <c r="M362" s="166"/>
      <c r="N362" s="166"/>
      <c r="O362" s="166"/>
      <c r="P362" s="166"/>
      <c r="Q362" s="167"/>
      <c r="R362" s="167"/>
      <c r="S362" s="162" t="s">
        <v>65</v>
      </c>
      <c r="T362" s="162" t="s">
        <v>66</v>
      </c>
      <c r="U362" s="162" t="s">
        <v>99</v>
      </c>
      <c r="V362" s="162" t="s">
        <v>78</v>
      </c>
      <c r="W362" s="168"/>
      <c r="X362" s="168"/>
      <c r="Y362" s="168"/>
      <c r="Z362" s="169">
        <v>18139.0</v>
      </c>
      <c r="AA362" s="168"/>
      <c r="AB362" s="169">
        <v>0.0</v>
      </c>
      <c r="AC362" s="24" t="s">
        <v>1225</v>
      </c>
      <c r="AD362" s="159">
        <v>4481.0</v>
      </c>
      <c r="AE362" s="82" t="s">
        <v>1226</v>
      </c>
      <c r="AF362" s="162" t="str">
        <f t="shared" si="1"/>
        <v>Buenos Aires, Argentina</v>
      </c>
      <c r="AG362" s="162">
        <f t="shared" si="2"/>
        <v>0</v>
      </c>
      <c r="AH362" s="170">
        <f t="shared" si="3"/>
        <v>0</v>
      </c>
      <c r="AI362" s="170">
        <f t="shared" si="4"/>
        <v>18139</v>
      </c>
      <c r="AJ362" s="169">
        <f t="shared" si="5"/>
        <v>0</v>
      </c>
      <c r="AK362" s="169">
        <f t="shared" si="6"/>
        <v>18139</v>
      </c>
      <c r="AL362" s="171"/>
      <c r="AM362" s="171"/>
    </row>
    <row r="363">
      <c r="A363" s="162">
        <v>362.0</v>
      </c>
      <c r="B363" s="163">
        <v>44084.0</v>
      </c>
      <c r="C363" s="17">
        <v>92020.0</v>
      </c>
      <c r="D363" s="164" t="s">
        <v>1227</v>
      </c>
      <c r="E363" s="162" t="s">
        <v>38</v>
      </c>
      <c r="F363" s="164" t="s">
        <v>77</v>
      </c>
      <c r="G363" s="162" t="s">
        <v>64</v>
      </c>
      <c r="H363" s="162" t="s">
        <v>41</v>
      </c>
      <c r="I363" s="162" t="s">
        <v>42</v>
      </c>
      <c r="J363" s="166"/>
      <c r="K363" s="165">
        <v>1.0</v>
      </c>
      <c r="L363" s="166"/>
      <c r="M363" s="166"/>
      <c r="N363" s="166"/>
      <c r="O363" s="166"/>
      <c r="P363" s="166"/>
      <c r="Q363" s="167"/>
      <c r="R363" s="167"/>
      <c r="S363" s="162" t="s">
        <v>189</v>
      </c>
      <c r="T363" s="162" t="s">
        <v>66</v>
      </c>
      <c r="U363" s="162" t="s">
        <v>67</v>
      </c>
      <c r="V363" s="162" t="s">
        <v>59</v>
      </c>
      <c r="W363" s="168"/>
      <c r="X363" s="168"/>
      <c r="Y363" s="168"/>
      <c r="Z363" s="168"/>
      <c r="AA363" s="169">
        <v>3346.0</v>
      </c>
      <c r="AB363" s="169">
        <v>13384.0</v>
      </c>
      <c r="AC363" s="24" t="s">
        <v>1228</v>
      </c>
      <c r="AD363" s="81">
        <v>4483.0</v>
      </c>
      <c r="AE363" s="82" t="s">
        <v>1229</v>
      </c>
      <c r="AF363" s="162" t="str">
        <f t="shared" si="1"/>
        <v>Buenos Aires, Argentina</v>
      </c>
      <c r="AG363" s="162">
        <f t="shared" si="2"/>
        <v>1</v>
      </c>
      <c r="AH363" s="170">
        <f t="shared" si="3"/>
        <v>0</v>
      </c>
      <c r="AI363" s="170">
        <f t="shared" si="4"/>
        <v>0</v>
      </c>
      <c r="AJ363" s="169">
        <f t="shared" si="5"/>
        <v>16730</v>
      </c>
      <c r="AK363" s="169">
        <f t="shared" si="6"/>
        <v>16730</v>
      </c>
      <c r="AL363" s="171"/>
      <c r="AM363" s="171"/>
    </row>
    <row r="364">
      <c r="A364" s="162">
        <v>363.0</v>
      </c>
      <c r="B364" s="163">
        <v>44085.0</v>
      </c>
      <c r="C364" s="17">
        <v>92020.0</v>
      </c>
      <c r="D364" s="164" t="s">
        <v>936</v>
      </c>
      <c r="E364" s="162" t="s">
        <v>38</v>
      </c>
      <c r="F364" s="164" t="s">
        <v>1102</v>
      </c>
      <c r="G364" s="162" t="s">
        <v>64</v>
      </c>
      <c r="H364" s="162" t="s">
        <v>41</v>
      </c>
      <c r="I364" s="162" t="s">
        <v>42</v>
      </c>
      <c r="J364" s="166"/>
      <c r="K364" s="166"/>
      <c r="L364" s="166"/>
      <c r="M364" s="165">
        <v>1.0</v>
      </c>
      <c r="N364" s="166"/>
      <c r="O364" s="166"/>
      <c r="P364" s="166"/>
      <c r="Q364" s="167"/>
      <c r="R364" s="167"/>
      <c r="S364" s="162" t="s">
        <v>189</v>
      </c>
      <c r="T364" s="162" t="s">
        <v>839</v>
      </c>
      <c r="U364" s="162" t="s">
        <v>67</v>
      </c>
      <c r="V364" s="162" t="s">
        <v>78</v>
      </c>
      <c r="W364" s="168"/>
      <c r="X364" s="168"/>
      <c r="Y364" s="168"/>
      <c r="Z364" s="168"/>
      <c r="AA364" s="169">
        <v>5070.0</v>
      </c>
      <c r="AB364" s="169">
        <v>0.0</v>
      </c>
      <c r="AC364" s="24" t="s">
        <v>1230</v>
      </c>
      <c r="AD364" s="81">
        <v>4267.0</v>
      </c>
      <c r="AE364" s="82" t="s">
        <v>938</v>
      </c>
      <c r="AF364" s="162" t="str">
        <f t="shared" si="1"/>
        <v>Neuquén, Argentina</v>
      </c>
      <c r="AG364" s="162">
        <f t="shared" si="2"/>
        <v>1</v>
      </c>
      <c r="AH364" s="170">
        <f t="shared" si="3"/>
        <v>0</v>
      </c>
      <c r="AI364" s="170">
        <f t="shared" si="4"/>
        <v>0</v>
      </c>
      <c r="AJ364" s="169">
        <f t="shared" si="5"/>
        <v>5070</v>
      </c>
      <c r="AK364" s="169">
        <f t="shared" si="6"/>
        <v>5070</v>
      </c>
      <c r="AL364" s="171"/>
      <c r="AM364" s="171"/>
    </row>
    <row r="365">
      <c r="A365" s="162">
        <v>364.0</v>
      </c>
      <c r="B365" s="163">
        <v>44085.0</v>
      </c>
      <c r="C365" s="17">
        <v>92020.0</v>
      </c>
      <c r="D365" s="164" t="s">
        <v>1231</v>
      </c>
      <c r="E365" s="162" t="s">
        <v>38</v>
      </c>
      <c r="F365" s="164" t="s">
        <v>1232</v>
      </c>
      <c r="G365" s="162" t="s">
        <v>64</v>
      </c>
      <c r="H365" s="162" t="s">
        <v>41</v>
      </c>
      <c r="I365" s="162" t="s">
        <v>643</v>
      </c>
      <c r="J365" s="166"/>
      <c r="K365" s="165">
        <v>4.0</v>
      </c>
      <c r="L365" s="166"/>
      <c r="M365" s="166"/>
      <c r="N365" s="166"/>
      <c r="O365" s="166"/>
      <c r="P365" s="166"/>
      <c r="Q365" s="167"/>
      <c r="R365" s="167"/>
      <c r="S365" s="162" t="s">
        <v>65</v>
      </c>
      <c r="T365" s="162" t="s">
        <v>263</v>
      </c>
      <c r="U365" s="162" t="s">
        <v>67</v>
      </c>
      <c r="V365" s="162" t="s">
        <v>84</v>
      </c>
      <c r="W365" s="168"/>
      <c r="X365" s="168"/>
      <c r="Y365" s="168"/>
      <c r="Z365" s="168"/>
      <c r="AA365" s="169">
        <v>13384.0</v>
      </c>
      <c r="AB365" s="169">
        <v>66920.0</v>
      </c>
      <c r="AC365" s="24" t="s">
        <v>1233</v>
      </c>
      <c r="AD365" s="81">
        <v>4485.0</v>
      </c>
      <c r="AE365" s="82" t="s">
        <v>1234</v>
      </c>
      <c r="AF365" s="162" t="str">
        <f t="shared" si="1"/>
        <v>Santa Fé, Argentina</v>
      </c>
      <c r="AG365" s="162">
        <f t="shared" si="2"/>
        <v>4</v>
      </c>
      <c r="AH365" s="170">
        <f t="shared" si="3"/>
        <v>0</v>
      </c>
      <c r="AI365" s="170">
        <f t="shared" si="4"/>
        <v>0</v>
      </c>
      <c r="AJ365" s="169">
        <f t="shared" si="5"/>
        <v>80304</v>
      </c>
      <c r="AK365" s="169">
        <f t="shared" si="6"/>
        <v>80304</v>
      </c>
      <c r="AL365" s="171"/>
      <c r="AM365" s="171"/>
    </row>
    <row r="366">
      <c r="A366" s="162">
        <v>365.0</v>
      </c>
      <c r="B366" s="163">
        <v>44085.0</v>
      </c>
      <c r="C366" s="17">
        <v>92020.0</v>
      </c>
      <c r="D366" s="164" t="s">
        <v>729</v>
      </c>
      <c r="E366" s="162" t="s">
        <v>38</v>
      </c>
      <c r="F366" s="164" t="s">
        <v>1235</v>
      </c>
      <c r="G366" s="162" t="s">
        <v>64</v>
      </c>
      <c r="H366" s="162" t="s">
        <v>41</v>
      </c>
      <c r="I366" s="162" t="s">
        <v>643</v>
      </c>
      <c r="J366" s="166"/>
      <c r="K366" s="166"/>
      <c r="L366" s="166"/>
      <c r="M366" s="166"/>
      <c r="N366" s="166"/>
      <c r="O366" s="165">
        <v>1.0</v>
      </c>
      <c r="P366" s="166"/>
      <c r="Q366" s="167"/>
      <c r="R366" s="167"/>
      <c r="S366" s="162" t="s">
        <v>137</v>
      </c>
      <c r="T366" s="162" t="s">
        <v>66</v>
      </c>
      <c r="U366" s="162" t="s">
        <v>67</v>
      </c>
      <c r="V366" s="162" t="s">
        <v>84</v>
      </c>
      <c r="W366" s="168"/>
      <c r="X366" s="168"/>
      <c r="Y366" s="168"/>
      <c r="Z366" s="168"/>
      <c r="AA366" s="169">
        <v>2028.0</v>
      </c>
      <c r="AB366" s="169">
        <v>0.0</v>
      </c>
      <c r="AC366" s="24" t="s">
        <v>730</v>
      </c>
      <c r="AD366" s="81">
        <v>4049.0</v>
      </c>
      <c r="AE366" s="82" t="s">
        <v>731</v>
      </c>
      <c r="AF366" s="162" t="str">
        <f t="shared" si="1"/>
        <v>Buenos Aires, Argentina</v>
      </c>
      <c r="AG366" s="162">
        <f t="shared" si="2"/>
        <v>1</v>
      </c>
      <c r="AH366" s="170">
        <f t="shared" si="3"/>
        <v>0</v>
      </c>
      <c r="AI366" s="170">
        <f t="shared" si="4"/>
        <v>0</v>
      </c>
      <c r="AJ366" s="169">
        <f t="shared" si="5"/>
        <v>2028</v>
      </c>
      <c r="AK366" s="169">
        <f t="shared" si="6"/>
        <v>2028</v>
      </c>
      <c r="AL366" s="171"/>
      <c r="AM366" s="171"/>
    </row>
    <row r="367">
      <c r="A367" s="162">
        <v>366.0</v>
      </c>
      <c r="B367" s="163">
        <v>44088.0</v>
      </c>
      <c r="C367" s="17">
        <v>92020.0</v>
      </c>
      <c r="D367" s="164" t="s">
        <v>932</v>
      </c>
      <c r="E367" s="162" t="s">
        <v>38</v>
      </c>
      <c r="F367" s="164" t="s">
        <v>1236</v>
      </c>
      <c r="G367" s="162" t="s">
        <v>64</v>
      </c>
      <c r="H367" s="162" t="s">
        <v>41</v>
      </c>
      <c r="I367" s="162" t="s">
        <v>42</v>
      </c>
      <c r="J367" s="166"/>
      <c r="K367" s="166"/>
      <c r="L367" s="166"/>
      <c r="M367" s="165">
        <v>1.0</v>
      </c>
      <c r="N367" s="166"/>
      <c r="O367" s="166"/>
      <c r="P367" s="165">
        <v>1.0</v>
      </c>
      <c r="Q367" s="167"/>
      <c r="R367" s="167"/>
      <c r="S367" s="162" t="s">
        <v>105</v>
      </c>
      <c r="T367" s="162" t="s">
        <v>66</v>
      </c>
      <c r="U367" s="162" t="s">
        <v>67</v>
      </c>
      <c r="V367" s="162" t="s">
        <v>78</v>
      </c>
      <c r="W367" s="168"/>
      <c r="X367" s="168"/>
      <c r="Y367" s="168"/>
      <c r="Z367" s="168"/>
      <c r="AA367" s="169">
        <v>7098.0</v>
      </c>
      <c r="AB367" s="169">
        <v>0.0</v>
      </c>
      <c r="AC367" s="24" t="s">
        <v>1237</v>
      </c>
      <c r="AD367" s="17">
        <v>4265.0</v>
      </c>
      <c r="AE367" s="27" t="s">
        <v>935</v>
      </c>
      <c r="AF367" s="162" t="str">
        <f t="shared" si="1"/>
        <v>Buenos Aires, Argentina</v>
      </c>
      <c r="AG367" s="162">
        <f t="shared" si="2"/>
        <v>2</v>
      </c>
      <c r="AH367" s="170">
        <f t="shared" si="3"/>
        <v>0</v>
      </c>
      <c r="AI367" s="170">
        <f t="shared" si="4"/>
        <v>0</v>
      </c>
      <c r="AJ367" s="169">
        <f t="shared" si="5"/>
        <v>7098</v>
      </c>
      <c r="AK367" s="169">
        <f t="shared" si="6"/>
        <v>7098</v>
      </c>
      <c r="AL367" s="171"/>
      <c r="AM367" s="171"/>
    </row>
    <row r="368">
      <c r="A368" s="162">
        <v>367.0</v>
      </c>
      <c r="B368" s="163">
        <v>44088.0</v>
      </c>
      <c r="C368" s="17">
        <v>92020.0</v>
      </c>
      <c r="D368" s="164" t="s">
        <v>737</v>
      </c>
      <c r="E368" s="162" t="s">
        <v>38</v>
      </c>
      <c r="F368" s="164" t="s">
        <v>1102</v>
      </c>
      <c r="G368" s="162" t="s">
        <v>64</v>
      </c>
      <c r="H368" s="162" t="s">
        <v>41</v>
      </c>
      <c r="I368" s="162" t="s">
        <v>42</v>
      </c>
      <c r="J368" s="166"/>
      <c r="K368" s="166"/>
      <c r="L368" s="166"/>
      <c r="M368" s="165">
        <v>1.0</v>
      </c>
      <c r="N368" s="166"/>
      <c r="O368" s="166"/>
      <c r="P368" s="166"/>
      <c r="Q368" s="167"/>
      <c r="R368" s="167"/>
      <c r="S368" s="162" t="s">
        <v>105</v>
      </c>
      <c r="T368" s="162" t="s">
        <v>66</v>
      </c>
      <c r="U368" s="162" t="s">
        <v>67</v>
      </c>
      <c r="V368" s="162" t="s">
        <v>78</v>
      </c>
      <c r="W368" s="168"/>
      <c r="X368" s="168"/>
      <c r="Y368" s="168"/>
      <c r="Z368" s="168"/>
      <c r="AA368" s="169">
        <v>5070.0</v>
      </c>
      <c r="AB368" s="169">
        <v>0.0</v>
      </c>
      <c r="AC368" s="24" t="s">
        <v>1238</v>
      </c>
      <c r="AD368" s="81">
        <v>4165.0</v>
      </c>
      <c r="AE368" s="82" t="s">
        <v>739</v>
      </c>
      <c r="AF368" s="162" t="str">
        <f t="shared" si="1"/>
        <v>Buenos Aires, Argentina</v>
      </c>
      <c r="AG368" s="162">
        <f t="shared" si="2"/>
        <v>1</v>
      </c>
      <c r="AH368" s="170">
        <f t="shared" si="3"/>
        <v>0</v>
      </c>
      <c r="AI368" s="170">
        <f t="shared" si="4"/>
        <v>0</v>
      </c>
      <c r="AJ368" s="169">
        <f t="shared" si="5"/>
        <v>5070</v>
      </c>
      <c r="AK368" s="169">
        <f t="shared" si="6"/>
        <v>5070</v>
      </c>
      <c r="AL368" s="171"/>
      <c r="AM368" s="171"/>
    </row>
    <row r="369">
      <c r="A369" s="162">
        <v>368.0</v>
      </c>
      <c r="B369" s="163">
        <v>44088.0</v>
      </c>
      <c r="C369" s="17">
        <v>92020.0</v>
      </c>
      <c r="D369" s="164" t="s">
        <v>674</v>
      </c>
      <c r="E369" s="162" t="s">
        <v>38</v>
      </c>
      <c r="F369" s="164" t="s">
        <v>1102</v>
      </c>
      <c r="G369" s="162" t="s">
        <v>64</v>
      </c>
      <c r="H369" s="162" t="s">
        <v>41</v>
      </c>
      <c r="I369" s="162" t="s">
        <v>643</v>
      </c>
      <c r="J369" s="166"/>
      <c r="K369" s="166"/>
      <c r="L369" s="166"/>
      <c r="M369" s="165">
        <v>1.0</v>
      </c>
      <c r="N369" s="166"/>
      <c r="O369" s="166"/>
      <c r="P369" s="166"/>
      <c r="Q369" s="167"/>
      <c r="R369" s="167"/>
      <c r="S369" s="162" t="s">
        <v>72</v>
      </c>
      <c r="T369" s="162" t="s">
        <v>83</v>
      </c>
      <c r="U369" s="162" t="s">
        <v>67</v>
      </c>
      <c r="V369" s="162" t="s">
        <v>84</v>
      </c>
      <c r="W369" s="168"/>
      <c r="X369" s="168"/>
      <c r="Y369" s="168"/>
      <c r="Z369" s="168"/>
      <c r="AA369" s="169">
        <v>5070.0</v>
      </c>
      <c r="AB369" s="169">
        <v>0.0</v>
      </c>
      <c r="AC369" s="24" t="s">
        <v>1239</v>
      </c>
      <c r="AD369" s="81">
        <v>92.0</v>
      </c>
      <c r="AE369" s="82" t="s">
        <v>1240</v>
      </c>
      <c r="AF369" s="162" t="str">
        <f t="shared" si="1"/>
        <v>Capital Federal, Argentina</v>
      </c>
      <c r="AG369" s="162">
        <f t="shared" si="2"/>
        <v>1</v>
      </c>
      <c r="AH369" s="170">
        <f t="shared" si="3"/>
        <v>0</v>
      </c>
      <c r="AI369" s="170">
        <f t="shared" si="4"/>
        <v>0</v>
      </c>
      <c r="AJ369" s="169">
        <f t="shared" si="5"/>
        <v>5070</v>
      </c>
      <c r="AK369" s="169">
        <f t="shared" si="6"/>
        <v>5070</v>
      </c>
      <c r="AL369" s="171"/>
      <c r="AM369" s="171"/>
    </row>
    <row r="370">
      <c r="A370" s="162">
        <v>369.0</v>
      </c>
      <c r="B370" s="163">
        <v>44090.0</v>
      </c>
      <c r="C370" s="17">
        <v>92020.0</v>
      </c>
      <c r="D370" s="164" t="s">
        <v>1241</v>
      </c>
      <c r="E370" s="162" t="s">
        <v>38</v>
      </c>
      <c r="F370" s="164" t="s">
        <v>1242</v>
      </c>
      <c r="G370" s="162" t="s">
        <v>40</v>
      </c>
      <c r="H370" s="162" t="s">
        <v>41</v>
      </c>
      <c r="I370" s="162" t="s">
        <v>42</v>
      </c>
      <c r="J370" s="165">
        <v>1.0</v>
      </c>
      <c r="K370" s="165">
        <v>1.0</v>
      </c>
      <c r="L370" s="166"/>
      <c r="M370" s="165">
        <v>1.0</v>
      </c>
      <c r="N370" s="166"/>
      <c r="O370" s="166"/>
      <c r="P370" s="166"/>
      <c r="Q370" s="167"/>
      <c r="R370" s="167"/>
      <c r="S370" s="162" t="s">
        <v>204</v>
      </c>
      <c r="T370" s="162" t="s">
        <v>66</v>
      </c>
      <c r="U370" s="162" t="s">
        <v>99</v>
      </c>
      <c r="V370" s="162" t="s">
        <v>217</v>
      </c>
      <c r="W370" s="168"/>
      <c r="X370" s="168"/>
      <c r="Y370" s="168"/>
      <c r="Z370" s="168"/>
      <c r="AA370" s="169">
        <v>13486.0</v>
      </c>
      <c r="AB370" s="169">
        <v>43155.0</v>
      </c>
      <c r="AC370" s="24" t="s">
        <v>1243</v>
      </c>
      <c r="AD370" s="81">
        <v>4487.0</v>
      </c>
      <c r="AE370" s="82" t="s">
        <v>1244</v>
      </c>
      <c r="AF370" s="162" t="str">
        <f t="shared" si="1"/>
        <v>Buenos Aires, Argentina</v>
      </c>
      <c r="AG370" s="162">
        <f t="shared" si="2"/>
        <v>3</v>
      </c>
      <c r="AH370" s="170">
        <f t="shared" si="3"/>
        <v>0</v>
      </c>
      <c r="AI370" s="170">
        <f t="shared" si="4"/>
        <v>0</v>
      </c>
      <c r="AJ370" s="169">
        <f t="shared" si="5"/>
        <v>56641</v>
      </c>
      <c r="AK370" s="169">
        <f t="shared" si="6"/>
        <v>56641</v>
      </c>
      <c r="AL370" s="171"/>
      <c r="AM370" s="171"/>
    </row>
    <row r="371">
      <c r="A371" s="162">
        <v>370.0</v>
      </c>
      <c r="B371" s="163">
        <v>44091.0</v>
      </c>
      <c r="C371" s="17">
        <v>92020.0</v>
      </c>
      <c r="D371" s="164" t="s">
        <v>1195</v>
      </c>
      <c r="E371" s="162" t="s">
        <v>38</v>
      </c>
      <c r="F371" s="164" t="s">
        <v>77</v>
      </c>
      <c r="G371" s="162" t="s">
        <v>64</v>
      </c>
      <c r="H371" s="162" t="s">
        <v>547</v>
      </c>
      <c r="I371" s="162" t="s">
        <v>643</v>
      </c>
      <c r="J371" s="166"/>
      <c r="K371" s="165">
        <v>1.0</v>
      </c>
      <c r="L371" s="166"/>
      <c r="M371" s="166"/>
      <c r="N371" s="166"/>
      <c r="O371" s="166"/>
      <c r="P371" s="166"/>
      <c r="Q371" s="167"/>
      <c r="R371" s="167"/>
      <c r="S371" s="162" t="s">
        <v>963</v>
      </c>
      <c r="T371" s="162" t="s">
        <v>879</v>
      </c>
      <c r="U371" s="162" t="s">
        <v>67</v>
      </c>
      <c r="V371" s="162" t="s">
        <v>84</v>
      </c>
      <c r="W371" s="168"/>
      <c r="X371" s="168"/>
      <c r="Y371" s="168"/>
      <c r="Z371" s="168"/>
      <c r="AA371" s="169">
        <v>2028.0</v>
      </c>
      <c r="AB371" s="169">
        <v>4056.0</v>
      </c>
      <c r="AC371" s="24" t="s">
        <v>1245</v>
      </c>
      <c r="AD371" s="81">
        <v>4489.0</v>
      </c>
      <c r="AE371" s="82" t="s">
        <v>1246</v>
      </c>
      <c r="AF371" s="162" t="str">
        <f t="shared" si="1"/>
        <v>Salta, Argentina</v>
      </c>
      <c r="AG371" s="162">
        <f t="shared" si="2"/>
        <v>1</v>
      </c>
      <c r="AH371" s="170">
        <f t="shared" si="3"/>
        <v>0</v>
      </c>
      <c r="AI371" s="170">
        <f t="shared" si="4"/>
        <v>0</v>
      </c>
      <c r="AJ371" s="169">
        <f t="shared" si="5"/>
        <v>6084</v>
      </c>
      <c r="AK371" s="169">
        <f t="shared" si="6"/>
        <v>6084</v>
      </c>
      <c r="AL371" s="171"/>
      <c r="AM371" s="171"/>
    </row>
    <row r="372">
      <c r="A372" s="162">
        <v>371.0</v>
      </c>
      <c r="B372" s="163">
        <v>44092.0</v>
      </c>
      <c r="C372" s="17">
        <v>92020.0</v>
      </c>
      <c r="D372" s="164" t="s">
        <v>1247</v>
      </c>
      <c r="E372" s="162" t="s">
        <v>38</v>
      </c>
      <c r="F372" s="164" t="s">
        <v>284</v>
      </c>
      <c r="G372" s="162" t="s">
        <v>40</v>
      </c>
      <c r="H372" s="162" t="s">
        <v>547</v>
      </c>
      <c r="I372" s="162" t="s">
        <v>42</v>
      </c>
      <c r="J372" s="165">
        <v>2.0</v>
      </c>
      <c r="K372" s="166"/>
      <c r="L372" s="166"/>
      <c r="M372" s="166"/>
      <c r="N372" s="166"/>
      <c r="O372" s="166"/>
      <c r="P372" s="166"/>
      <c r="Q372" s="167"/>
      <c r="R372" s="167"/>
      <c r="S372" s="162" t="s">
        <v>963</v>
      </c>
      <c r="T372" s="162" t="s">
        <v>66</v>
      </c>
      <c r="U372" s="162" t="s">
        <v>163</v>
      </c>
      <c r="V372" s="162" t="s">
        <v>78</v>
      </c>
      <c r="W372" s="168"/>
      <c r="X372" s="168"/>
      <c r="Y372" s="168"/>
      <c r="Z372" s="168"/>
      <c r="AA372" s="169">
        <v>6084.0</v>
      </c>
      <c r="AB372" s="169">
        <v>15210.0</v>
      </c>
      <c r="AC372" s="24" t="s">
        <v>1248</v>
      </c>
      <c r="AD372" s="81">
        <v>4491.0</v>
      </c>
      <c r="AE372" s="82" t="s">
        <v>1249</v>
      </c>
      <c r="AF372" s="162" t="str">
        <f t="shared" si="1"/>
        <v>Buenos Aires, Argentina</v>
      </c>
      <c r="AG372" s="162">
        <f t="shared" si="2"/>
        <v>2</v>
      </c>
      <c r="AH372" s="170">
        <f t="shared" si="3"/>
        <v>0</v>
      </c>
      <c r="AI372" s="170">
        <f t="shared" si="4"/>
        <v>0</v>
      </c>
      <c r="AJ372" s="169">
        <f t="shared" si="5"/>
        <v>21294</v>
      </c>
      <c r="AK372" s="169">
        <f t="shared" si="6"/>
        <v>21294</v>
      </c>
      <c r="AL372" s="171"/>
      <c r="AM372" s="171"/>
    </row>
    <row r="373">
      <c r="A373" s="162">
        <v>372.0</v>
      </c>
      <c r="B373" s="163">
        <v>44095.0</v>
      </c>
      <c r="C373" s="17">
        <v>92020.0</v>
      </c>
      <c r="D373" s="164" t="s">
        <v>1250</v>
      </c>
      <c r="E373" s="162" t="s">
        <v>38</v>
      </c>
      <c r="F373" s="164" t="s">
        <v>77</v>
      </c>
      <c r="G373" s="162" t="s">
        <v>64</v>
      </c>
      <c r="H373" s="162" t="s">
        <v>41</v>
      </c>
      <c r="I373" s="162" t="s">
        <v>42</v>
      </c>
      <c r="J373" s="166"/>
      <c r="K373" s="165">
        <v>1.0</v>
      </c>
      <c r="L373" s="166"/>
      <c r="M373" s="166"/>
      <c r="N373" s="166"/>
      <c r="O373" s="166"/>
      <c r="P373" s="166"/>
      <c r="Q373" s="167"/>
      <c r="R373" s="167"/>
      <c r="S373" s="162" t="s">
        <v>137</v>
      </c>
      <c r="T373" s="162" t="s">
        <v>263</v>
      </c>
      <c r="U373" s="162" t="s">
        <v>99</v>
      </c>
      <c r="V373" s="162" t="s">
        <v>217</v>
      </c>
      <c r="W373" s="168"/>
      <c r="X373" s="168"/>
      <c r="Y373" s="168"/>
      <c r="Z373" s="168"/>
      <c r="AA373" s="169">
        <v>3346.0</v>
      </c>
      <c r="AB373" s="169">
        <v>13384.0</v>
      </c>
      <c r="AC373" s="24" t="s">
        <v>1251</v>
      </c>
      <c r="AD373" s="17">
        <v>4497.0</v>
      </c>
      <c r="AE373" s="27" t="s">
        <v>1252</v>
      </c>
      <c r="AF373" s="162" t="str">
        <f t="shared" si="1"/>
        <v>Santa Fé, Argentina</v>
      </c>
      <c r="AG373" s="162">
        <f t="shared" si="2"/>
        <v>1</v>
      </c>
      <c r="AH373" s="170">
        <f t="shared" si="3"/>
        <v>0</v>
      </c>
      <c r="AI373" s="170">
        <f t="shared" si="4"/>
        <v>0</v>
      </c>
      <c r="AJ373" s="169">
        <f t="shared" si="5"/>
        <v>16730</v>
      </c>
      <c r="AK373" s="169">
        <f t="shared" si="6"/>
        <v>16730</v>
      </c>
      <c r="AL373" s="171"/>
      <c r="AM373" s="171"/>
    </row>
    <row r="374">
      <c r="A374" s="162">
        <v>373.0</v>
      </c>
      <c r="B374" s="163">
        <v>44096.0</v>
      </c>
      <c r="C374" s="17">
        <v>92020.0</v>
      </c>
      <c r="D374" s="164" t="s">
        <v>1253</v>
      </c>
      <c r="E374" s="162" t="s">
        <v>38</v>
      </c>
      <c r="F374" s="164" t="s">
        <v>1254</v>
      </c>
      <c r="G374" s="162" t="s">
        <v>40</v>
      </c>
      <c r="H374" s="162" t="s">
        <v>41</v>
      </c>
      <c r="I374" s="162" t="s">
        <v>643</v>
      </c>
      <c r="J374" s="165">
        <v>2.0</v>
      </c>
      <c r="K374" s="166"/>
      <c r="L374" s="166"/>
      <c r="M374" s="165">
        <v>1.0</v>
      </c>
      <c r="N374" s="166"/>
      <c r="O374" s="166"/>
      <c r="P374" s="166"/>
      <c r="Q374" s="167"/>
      <c r="R374" s="167"/>
      <c r="S374" s="162" t="s">
        <v>65</v>
      </c>
      <c r="T374" s="162" t="s">
        <v>66</v>
      </c>
      <c r="U374" s="162" t="s">
        <v>45</v>
      </c>
      <c r="V374" s="162" t="s">
        <v>84</v>
      </c>
      <c r="W374" s="168"/>
      <c r="X374" s="168"/>
      <c r="Y374" s="168"/>
      <c r="Z374" s="168"/>
      <c r="AA374" s="169">
        <v>15210.0</v>
      </c>
      <c r="AB374" s="169">
        <v>40560.0</v>
      </c>
      <c r="AC374" s="24" t="s">
        <v>1255</v>
      </c>
      <c r="AD374" s="81">
        <v>4493.0</v>
      </c>
      <c r="AE374" s="82" t="s">
        <v>1256</v>
      </c>
      <c r="AF374" s="162" t="str">
        <f t="shared" si="1"/>
        <v>Buenos Aires, Argentina</v>
      </c>
      <c r="AG374" s="162">
        <f t="shared" si="2"/>
        <v>3</v>
      </c>
      <c r="AH374" s="170">
        <f t="shared" si="3"/>
        <v>0</v>
      </c>
      <c r="AI374" s="170">
        <f t="shared" si="4"/>
        <v>0</v>
      </c>
      <c r="AJ374" s="169">
        <f t="shared" si="5"/>
        <v>55770</v>
      </c>
      <c r="AK374" s="169">
        <f t="shared" si="6"/>
        <v>55770</v>
      </c>
      <c r="AL374" s="171"/>
      <c r="AM374" s="171"/>
    </row>
    <row r="375">
      <c r="A375" s="162">
        <v>374.0</v>
      </c>
      <c r="B375" s="163">
        <v>44097.0</v>
      </c>
      <c r="C375" s="17">
        <v>92020.0</v>
      </c>
      <c r="D375" s="164" t="s">
        <v>1257</v>
      </c>
      <c r="E375" s="162" t="s">
        <v>38</v>
      </c>
      <c r="F375" s="164" t="s">
        <v>1258</v>
      </c>
      <c r="G375" s="162" t="s">
        <v>64</v>
      </c>
      <c r="H375" s="162" t="s">
        <v>41</v>
      </c>
      <c r="I375" s="162" t="s">
        <v>643</v>
      </c>
      <c r="J375" s="166"/>
      <c r="K375" s="165">
        <v>6.0</v>
      </c>
      <c r="L375" s="166"/>
      <c r="M375" s="166"/>
      <c r="N375" s="166"/>
      <c r="O375" s="166"/>
      <c r="P375" s="166"/>
      <c r="Q375" s="167"/>
      <c r="R375" s="167"/>
      <c r="S375" s="162" t="s">
        <v>65</v>
      </c>
      <c r="T375" s="162" t="s">
        <v>66</v>
      </c>
      <c r="U375" s="162" t="s">
        <v>1259</v>
      </c>
      <c r="V375" s="162" t="s">
        <v>84</v>
      </c>
      <c r="W375" s="168"/>
      <c r="X375" s="168"/>
      <c r="Y375" s="168"/>
      <c r="Z375" s="168"/>
      <c r="AA375" s="169">
        <v>18067.0</v>
      </c>
      <c r="AB375" s="169">
        <v>80304.0</v>
      </c>
      <c r="AC375" s="24" t="s">
        <v>1260</v>
      </c>
      <c r="AD375" s="81">
        <v>4501.0</v>
      </c>
      <c r="AE375" s="82" t="s">
        <v>1261</v>
      </c>
      <c r="AF375" s="162" t="str">
        <f t="shared" si="1"/>
        <v>Buenos Aires, Argentina</v>
      </c>
      <c r="AG375" s="162">
        <f t="shared" si="2"/>
        <v>6</v>
      </c>
      <c r="AH375" s="170">
        <f t="shared" si="3"/>
        <v>0</v>
      </c>
      <c r="AI375" s="170">
        <f t="shared" si="4"/>
        <v>0</v>
      </c>
      <c r="AJ375" s="169">
        <f t="shared" si="5"/>
        <v>98371</v>
      </c>
      <c r="AK375" s="169">
        <f t="shared" si="6"/>
        <v>98371</v>
      </c>
      <c r="AL375" s="171"/>
      <c r="AM375" s="171"/>
    </row>
    <row r="376">
      <c r="A376" s="162">
        <v>375.0</v>
      </c>
      <c r="B376" s="163">
        <v>44097.0</v>
      </c>
      <c r="C376" s="17">
        <v>92020.0</v>
      </c>
      <c r="D376" s="164" t="s">
        <v>1262</v>
      </c>
      <c r="E376" s="162" t="s">
        <v>38</v>
      </c>
      <c r="F376" s="164" t="s">
        <v>71</v>
      </c>
      <c r="G376" s="162" t="s">
        <v>64</v>
      </c>
      <c r="H376" s="162" t="s">
        <v>41</v>
      </c>
      <c r="I376" s="162" t="s">
        <v>643</v>
      </c>
      <c r="J376" s="165">
        <v>1.0</v>
      </c>
      <c r="K376" s="166"/>
      <c r="L376" s="166"/>
      <c r="M376" s="166"/>
      <c r="N376" s="166"/>
      <c r="O376" s="166"/>
      <c r="P376" s="166"/>
      <c r="Q376" s="167"/>
      <c r="R376" s="167"/>
      <c r="S376" s="162" t="s">
        <v>65</v>
      </c>
      <c r="T376" s="162" t="s">
        <v>66</v>
      </c>
      <c r="U376" s="162" t="s">
        <v>1259</v>
      </c>
      <c r="V376" s="162" t="s">
        <v>84</v>
      </c>
      <c r="W376" s="168"/>
      <c r="X376" s="168"/>
      <c r="Y376" s="168"/>
      <c r="Z376" s="168"/>
      <c r="AA376" s="169">
        <v>5070.0</v>
      </c>
      <c r="AB376" s="169">
        <v>20280.0</v>
      </c>
      <c r="AC376" s="24" t="s">
        <v>1263</v>
      </c>
      <c r="AD376" s="159">
        <v>4503.0</v>
      </c>
      <c r="AE376" s="82" t="s">
        <v>1264</v>
      </c>
      <c r="AF376" s="162" t="str">
        <f t="shared" si="1"/>
        <v>Buenos Aires, Argentina</v>
      </c>
      <c r="AG376" s="162">
        <f t="shared" si="2"/>
        <v>1</v>
      </c>
      <c r="AH376" s="170">
        <f t="shared" si="3"/>
        <v>0</v>
      </c>
      <c r="AI376" s="170">
        <f t="shared" si="4"/>
        <v>0</v>
      </c>
      <c r="AJ376" s="169">
        <f t="shared" si="5"/>
        <v>25350</v>
      </c>
      <c r="AK376" s="169">
        <f t="shared" si="6"/>
        <v>25350</v>
      </c>
      <c r="AL376" s="171"/>
      <c r="AM376" s="171"/>
    </row>
    <row r="377">
      <c r="A377" s="162">
        <v>376.0</v>
      </c>
      <c r="B377" s="163">
        <v>44098.0</v>
      </c>
      <c r="C377" s="17">
        <v>92020.0</v>
      </c>
      <c r="D377" s="164" t="s">
        <v>877</v>
      </c>
      <c r="E377" s="162" t="s">
        <v>38</v>
      </c>
      <c r="F377" s="164" t="s">
        <v>1102</v>
      </c>
      <c r="G377" s="162" t="s">
        <v>64</v>
      </c>
      <c r="H377" s="162" t="s">
        <v>41</v>
      </c>
      <c r="I377" s="162" t="s">
        <v>42</v>
      </c>
      <c r="J377" s="166"/>
      <c r="K377" s="166"/>
      <c r="L377" s="166"/>
      <c r="M377" s="165">
        <v>1.0</v>
      </c>
      <c r="N377" s="166"/>
      <c r="O377" s="166"/>
      <c r="P377" s="166"/>
      <c r="Q377" s="167"/>
      <c r="R377" s="167"/>
      <c r="S377" s="162" t="s">
        <v>72</v>
      </c>
      <c r="T377" s="162" t="s">
        <v>879</v>
      </c>
      <c r="U377" s="162" t="s">
        <v>45</v>
      </c>
      <c r="V377" s="162" t="s">
        <v>217</v>
      </c>
      <c r="W377" s="168"/>
      <c r="X377" s="168"/>
      <c r="Y377" s="168"/>
      <c r="Z377" s="168"/>
      <c r="AA377" s="169">
        <v>5070.0</v>
      </c>
      <c r="AB377" s="169">
        <v>0.0</v>
      </c>
      <c r="AC377" s="24" t="s">
        <v>1265</v>
      </c>
      <c r="AD377" s="159">
        <v>4223.0</v>
      </c>
      <c r="AE377" s="82" t="s">
        <v>1266</v>
      </c>
      <c r="AF377" s="162" t="str">
        <f t="shared" si="1"/>
        <v>Salta, Argentina</v>
      </c>
      <c r="AG377" s="162">
        <f t="shared" si="2"/>
        <v>1</v>
      </c>
      <c r="AH377" s="170">
        <f t="shared" si="3"/>
        <v>0</v>
      </c>
      <c r="AI377" s="170">
        <f t="shared" si="4"/>
        <v>0</v>
      </c>
      <c r="AJ377" s="169">
        <f t="shared" si="5"/>
        <v>5070</v>
      </c>
      <c r="AK377" s="169">
        <f t="shared" si="6"/>
        <v>5070</v>
      </c>
      <c r="AL377" s="171"/>
      <c r="AM377" s="171"/>
    </row>
    <row r="378">
      <c r="A378" s="162">
        <v>377.0</v>
      </c>
      <c r="B378" s="163">
        <v>44098.0</v>
      </c>
      <c r="C378" s="17">
        <v>92020.0</v>
      </c>
      <c r="D378" s="164" t="s">
        <v>1267</v>
      </c>
      <c r="E378" s="162" t="s">
        <v>38</v>
      </c>
      <c r="F378" s="164" t="s">
        <v>1102</v>
      </c>
      <c r="G378" s="162" t="s">
        <v>64</v>
      </c>
      <c r="H378" s="162" t="s">
        <v>41</v>
      </c>
      <c r="I378" s="162" t="s">
        <v>42</v>
      </c>
      <c r="J378" s="166"/>
      <c r="K378" s="166"/>
      <c r="L378" s="166"/>
      <c r="M378" s="165">
        <v>1.0</v>
      </c>
      <c r="N378" s="166"/>
      <c r="O378" s="166"/>
      <c r="P378" s="166"/>
      <c r="Q378" s="167"/>
      <c r="R378" s="167"/>
      <c r="S378" s="162" t="s">
        <v>189</v>
      </c>
      <c r="T378" s="162" t="s">
        <v>972</v>
      </c>
      <c r="U378" s="162" t="s">
        <v>67</v>
      </c>
      <c r="V378" s="162" t="s">
        <v>78</v>
      </c>
      <c r="W378" s="168"/>
      <c r="X378" s="168"/>
      <c r="Y378" s="168"/>
      <c r="Z378" s="168"/>
      <c r="AA378" s="169">
        <v>5070.0</v>
      </c>
      <c r="AB378" s="168" t="s">
        <v>926</v>
      </c>
      <c r="AC378" s="24" t="s">
        <v>1268</v>
      </c>
      <c r="AD378" s="81">
        <v>4297.0</v>
      </c>
      <c r="AE378" s="82" t="s">
        <v>1269</v>
      </c>
      <c r="AF378" s="162" t="str">
        <f t="shared" si="1"/>
        <v>Río Negro, Argentina</v>
      </c>
      <c r="AG378" s="162">
        <f t="shared" si="2"/>
        <v>1</v>
      </c>
      <c r="AH378" s="170">
        <f t="shared" si="3"/>
        <v>0</v>
      </c>
      <c r="AI378" s="170">
        <f t="shared" si="4"/>
        <v>0</v>
      </c>
      <c r="AJ378" s="169">
        <f t="shared" si="5"/>
        <v>5070</v>
      </c>
      <c r="AK378" s="169">
        <f t="shared" si="6"/>
        <v>5070</v>
      </c>
      <c r="AL378" s="171"/>
      <c r="AM378" s="171"/>
    </row>
    <row r="379">
      <c r="A379" s="162">
        <v>378.0</v>
      </c>
      <c r="B379" s="163">
        <v>44098.0</v>
      </c>
      <c r="C379" s="17">
        <v>92020.0</v>
      </c>
      <c r="D379" s="164" t="s">
        <v>1270</v>
      </c>
      <c r="E379" s="162" t="s">
        <v>38</v>
      </c>
      <c r="F379" s="164" t="s">
        <v>123</v>
      </c>
      <c r="G379" s="162" t="s">
        <v>40</v>
      </c>
      <c r="H379" s="162" t="s">
        <v>547</v>
      </c>
      <c r="I379" s="162" t="s">
        <v>42</v>
      </c>
      <c r="J379" s="165">
        <v>1.0</v>
      </c>
      <c r="K379" s="165">
        <v>1.0</v>
      </c>
      <c r="L379" s="166"/>
      <c r="M379" s="166"/>
      <c r="N379" s="166"/>
      <c r="O379" s="166"/>
      <c r="P379" s="166"/>
      <c r="Q379" s="167"/>
      <c r="R379" s="167"/>
      <c r="S379" s="162" t="s">
        <v>114</v>
      </c>
      <c r="T379" s="162" t="s">
        <v>66</v>
      </c>
      <c r="U379" s="162" t="s">
        <v>45</v>
      </c>
      <c r="V379" s="162" t="s">
        <v>78</v>
      </c>
      <c r="W379" s="168"/>
      <c r="X379" s="168"/>
      <c r="Y379" s="168"/>
      <c r="Z379" s="168"/>
      <c r="AA379" s="169">
        <v>5070.0</v>
      </c>
      <c r="AB379" s="169">
        <v>12675.0</v>
      </c>
      <c r="AC379" s="24" t="s">
        <v>1271</v>
      </c>
      <c r="AD379" s="81">
        <v>4507.0</v>
      </c>
      <c r="AE379" s="82" t="s">
        <v>1272</v>
      </c>
      <c r="AF379" s="162" t="str">
        <f t="shared" si="1"/>
        <v>Buenos Aires, Argentina</v>
      </c>
      <c r="AG379" s="162">
        <f t="shared" si="2"/>
        <v>2</v>
      </c>
      <c r="AH379" s="170">
        <f t="shared" si="3"/>
        <v>0</v>
      </c>
      <c r="AI379" s="170">
        <f t="shared" si="4"/>
        <v>0</v>
      </c>
      <c r="AJ379" s="169">
        <f t="shared" si="5"/>
        <v>17745</v>
      </c>
      <c r="AK379" s="169">
        <f t="shared" si="6"/>
        <v>17745</v>
      </c>
      <c r="AL379" s="171"/>
      <c r="AM379" s="171"/>
    </row>
    <row r="380">
      <c r="A380" s="162">
        <v>379.0</v>
      </c>
      <c r="B380" s="163">
        <v>44099.0</v>
      </c>
      <c r="C380" s="17">
        <v>92020.0</v>
      </c>
      <c r="D380" s="164" t="s">
        <v>1273</v>
      </c>
      <c r="E380" s="162" t="s">
        <v>38</v>
      </c>
      <c r="F380" s="164" t="s">
        <v>1274</v>
      </c>
      <c r="G380" s="162" t="s">
        <v>64</v>
      </c>
      <c r="H380" s="162" t="s">
        <v>41</v>
      </c>
      <c r="I380" s="162" t="s">
        <v>643</v>
      </c>
      <c r="J380" s="166"/>
      <c r="K380" s="166"/>
      <c r="L380" s="166"/>
      <c r="M380" s="166"/>
      <c r="N380" s="166"/>
      <c r="O380" s="166"/>
      <c r="P380" s="166"/>
      <c r="Q380" s="167"/>
      <c r="R380" s="162">
        <v>3.0</v>
      </c>
      <c r="S380" s="162" t="s">
        <v>65</v>
      </c>
      <c r="T380" s="162" t="s">
        <v>66</v>
      </c>
      <c r="U380" s="162" t="s">
        <v>99</v>
      </c>
      <c r="V380" s="162" t="s">
        <v>84</v>
      </c>
      <c r="W380" s="168"/>
      <c r="X380" s="168"/>
      <c r="Y380" s="168"/>
      <c r="Z380" s="168"/>
      <c r="AA380" s="169">
        <v>0.0</v>
      </c>
      <c r="AB380" s="169">
        <v>12128.0</v>
      </c>
      <c r="AC380" s="24" t="s">
        <v>1275</v>
      </c>
      <c r="AD380" s="17">
        <v>4005.0</v>
      </c>
      <c r="AE380" s="27" t="s">
        <v>1276</v>
      </c>
      <c r="AF380" s="162" t="str">
        <f t="shared" si="1"/>
        <v>Buenos Aires, Argentina</v>
      </c>
      <c r="AG380" s="162">
        <f t="shared" si="2"/>
        <v>0</v>
      </c>
      <c r="AH380" s="170">
        <f t="shared" si="3"/>
        <v>0</v>
      </c>
      <c r="AI380" s="170">
        <f t="shared" si="4"/>
        <v>0</v>
      </c>
      <c r="AJ380" s="169">
        <f t="shared" si="5"/>
        <v>12128</v>
      </c>
      <c r="AK380" s="169">
        <f t="shared" si="6"/>
        <v>12128</v>
      </c>
      <c r="AL380" s="171"/>
      <c r="AM380" s="171"/>
    </row>
    <row r="381">
      <c r="A381" s="162">
        <v>380.0</v>
      </c>
      <c r="B381" s="163">
        <v>44102.0</v>
      </c>
      <c r="C381" s="17">
        <v>92020.0</v>
      </c>
      <c r="D381" s="164" t="s">
        <v>1277</v>
      </c>
      <c r="E381" s="162" t="s">
        <v>38</v>
      </c>
      <c r="F381" s="164" t="s">
        <v>71</v>
      </c>
      <c r="G381" s="162" t="s">
        <v>40</v>
      </c>
      <c r="H381" s="162" t="s">
        <v>547</v>
      </c>
      <c r="I381" s="162" t="s">
        <v>42</v>
      </c>
      <c r="J381" s="165">
        <v>1.0</v>
      </c>
      <c r="K381" s="166"/>
      <c r="L381" s="166"/>
      <c r="M381" s="166"/>
      <c r="N381" s="166"/>
      <c r="O381" s="166"/>
      <c r="P381" s="166"/>
      <c r="Q381" s="167"/>
      <c r="R381" s="167"/>
      <c r="S381" s="162" t="s">
        <v>189</v>
      </c>
      <c r="T381" s="162" t="s">
        <v>73</v>
      </c>
      <c r="U381" s="162" t="s">
        <v>53</v>
      </c>
      <c r="V381" s="162" t="s">
        <v>78</v>
      </c>
      <c r="W381" s="168"/>
      <c r="X381" s="168"/>
      <c r="Y381" s="168"/>
      <c r="Z381" s="168"/>
      <c r="AA381" s="169">
        <v>3042.0</v>
      </c>
      <c r="AB381" s="169">
        <v>7605.0</v>
      </c>
      <c r="AC381" s="24" t="s">
        <v>1278</v>
      </c>
      <c r="AD381" s="81">
        <v>4511.0</v>
      </c>
      <c r="AE381" s="82" t="s">
        <v>1279</v>
      </c>
      <c r="AF381" s="162" t="str">
        <f t="shared" si="1"/>
        <v>Tierra de Fuego, Argentina</v>
      </c>
      <c r="AG381" s="162">
        <f t="shared" si="2"/>
        <v>1</v>
      </c>
      <c r="AH381" s="170">
        <f t="shared" si="3"/>
        <v>0</v>
      </c>
      <c r="AI381" s="170">
        <f t="shared" si="4"/>
        <v>0</v>
      </c>
      <c r="AJ381" s="169">
        <f t="shared" si="5"/>
        <v>10647</v>
      </c>
      <c r="AK381" s="169">
        <f t="shared" si="6"/>
        <v>10647</v>
      </c>
      <c r="AL381" s="171"/>
      <c r="AM381" s="171"/>
    </row>
    <row r="382">
      <c r="A382" s="162">
        <v>381.0</v>
      </c>
      <c r="B382" s="163">
        <v>44103.0</v>
      </c>
      <c r="C382" s="17">
        <v>92020.0</v>
      </c>
      <c r="D382" s="164" t="s">
        <v>1280</v>
      </c>
      <c r="E382" s="162" t="s">
        <v>38</v>
      </c>
      <c r="F382" s="164" t="s">
        <v>1281</v>
      </c>
      <c r="G382" s="162" t="s">
        <v>64</v>
      </c>
      <c r="H382" s="162" t="s">
        <v>41</v>
      </c>
      <c r="I382" s="162" t="s">
        <v>643</v>
      </c>
      <c r="J382" s="166"/>
      <c r="K382" s="166"/>
      <c r="L382" s="166"/>
      <c r="M382" s="165">
        <v>1.0</v>
      </c>
      <c r="N382" s="166"/>
      <c r="O382" s="166"/>
      <c r="P382" s="166"/>
      <c r="Q382" s="167"/>
      <c r="R382" s="167"/>
      <c r="S382" s="162" t="s">
        <v>65</v>
      </c>
      <c r="T382" s="162" t="s">
        <v>83</v>
      </c>
      <c r="U382" s="162" t="s">
        <v>99</v>
      </c>
      <c r="V382" s="162" t="s">
        <v>84</v>
      </c>
      <c r="W382" s="168"/>
      <c r="X382" s="168"/>
      <c r="Y382" s="168"/>
      <c r="Z382" s="168"/>
      <c r="AA382" s="169">
        <v>5107.0</v>
      </c>
      <c r="AB382" s="169">
        <v>27236.0</v>
      </c>
      <c r="AC382" s="24" t="s">
        <v>1282</v>
      </c>
      <c r="AD382" s="17">
        <v>4513.0</v>
      </c>
      <c r="AE382" s="27" t="s">
        <v>1283</v>
      </c>
      <c r="AF382" s="162" t="str">
        <f t="shared" si="1"/>
        <v>Capital Federal, Argentina</v>
      </c>
      <c r="AG382" s="162">
        <f t="shared" si="2"/>
        <v>1</v>
      </c>
      <c r="AH382" s="170">
        <f t="shared" si="3"/>
        <v>0</v>
      </c>
      <c r="AI382" s="170">
        <f t="shared" si="4"/>
        <v>0</v>
      </c>
      <c r="AJ382" s="169">
        <f t="shared" si="5"/>
        <v>32343</v>
      </c>
      <c r="AK382" s="169">
        <f t="shared" si="6"/>
        <v>32343</v>
      </c>
      <c r="AL382" s="171"/>
      <c r="AM382" s="171"/>
    </row>
    <row r="383">
      <c r="A383" s="162">
        <v>382.0</v>
      </c>
      <c r="B383" s="163">
        <v>44103.0</v>
      </c>
      <c r="C383" s="17">
        <v>92020.0</v>
      </c>
      <c r="D383" s="164" t="s">
        <v>1284</v>
      </c>
      <c r="E383" s="162" t="s">
        <v>38</v>
      </c>
      <c r="F383" s="164" t="s">
        <v>1236</v>
      </c>
      <c r="G383" s="162" t="s">
        <v>64</v>
      </c>
      <c r="H383" s="162" t="s">
        <v>41</v>
      </c>
      <c r="I383" s="162" t="s">
        <v>42</v>
      </c>
      <c r="J383" s="166"/>
      <c r="K383" s="166"/>
      <c r="L383" s="166"/>
      <c r="M383" s="165">
        <v>1.0</v>
      </c>
      <c r="N383" s="166"/>
      <c r="O383" s="166"/>
      <c r="P383" s="165">
        <v>1.0</v>
      </c>
      <c r="Q383" s="167"/>
      <c r="R383" s="167"/>
      <c r="S383" s="162" t="s">
        <v>114</v>
      </c>
      <c r="T383" s="162" t="s">
        <v>58</v>
      </c>
      <c r="U383" s="162" t="s">
        <v>1027</v>
      </c>
      <c r="V383" s="162" t="s">
        <v>217</v>
      </c>
      <c r="W383" s="169">
        <v>1600.0</v>
      </c>
      <c r="X383" s="168"/>
      <c r="Y383" s="168"/>
      <c r="Z383" s="168"/>
      <c r="AA383" s="169">
        <v>7098.0</v>
      </c>
      <c r="AB383" s="169">
        <v>0.0</v>
      </c>
      <c r="AC383" s="24" t="s">
        <v>1285</v>
      </c>
      <c r="AD383" s="159">
        <v>4515.0</v>
      </c>
      <c r="AE383" s="82" t="s">
        <v>1286</v>
      </c>
      <c r="AF383" s="162" t="str">
        <f t="shared" si="1"/>
        <v>Córdoba, Argentina</v>
      </c>
      <c r="AG383" s="162">
        <f t="shared" si="2"/>
        <v>2</v>
      </c>
      <c r="AH383" s="170">
        <f t="shared" si="3"/>
        <v>1600</v>
      </c>
      <c r="AI383" s="170">
        <f t="shared" si="4"/>
        <v>0</v>
      </c>
      <c r="AJ383" s="169">
        <f t="shared" si="5"/>
        <v>7098</v>
      </c>
      <c r="AK383" s="169">
        <f t="shared" si="6"/>
        <v>8698</v>
      </c>
      <c r="AL383" s="171"/>
      <c r="AM383" s="171"/>
    </row>
    <row r="384">
      <c r="A384" s="162">
        <v>383.0</v>
      </c>
      <c r="B384" s="163">
        <v>44103.0</v>
      </c>
      <c r="C384" s="17">
        <v>92020.0</v>
      </c>
      <c r="D384" s="164" t="s">
        <v>1287</v>
      </c>
      <c r="E384" s="162" t="s">
        <v>38</v>
      </c>
      <c r="F384" s="164" t="s">
        <v>1281</v>
      </c>
      <c r="G384" s="162" t="s">
        <v>64</v>
      </c>
      <c r="H384" s="162" t="s">
        <v>41</v>
      </c>
      <c r="I384" s="162" t="s">
        <v>42</v>
      </c>
      <c r="J384" s="166"/>
      <c r="K384" s="166"/>
      <c r="L384" s="166"/>
      <c r="M384" s="165">
        <v>1.0</v>
      </c>
      <c r="N384" s="166"/>
      <c r="O384" s="166"/>
      <c r="P384" s="166"/>
      <c r="Q384" s="167"/>
      <c r="R384" s="167"/>
      <c r="S384" s="162" t="s">
        <v>963</v>
      </c>
      <c r="T384" s="162" t="s">
        <v>263</v>
      </c>
      <c r="U384" s="162" t="s">
        <v>572</v>
      </c>
      <c r="V384" s="162" t="s">
        <v>217</v>
      </c>
      <c r="W384" s="168"/>
      <c r="X384" s="168"/>
      <c r="Y384" s="168"/>
      <c r="Z384" s="168"/>
      <c r="AA384" s="169">
        <v>5070.0</v>
      </c>
      <c r="AB384" s="169">
        <v>0.0</v>
      </c>
      <c r="AC384" s="24" t="s">
        <v>1288</v>
      </c>
      <c r="AD384" s="159">
        <v>4407.0</v>
      </c>
      <c r="AE384" s="82" t="s">
        <v>1289</v>
      </c>
      <c r="AF384" s="162" t="str">
        <f t="shared" si="1"/>
        <v>Santa Fé, Argentina</v>
      </c>
      <c r="AG384" s="162">
        <f t="shared" si="2"/>
        <v>1</v>
      </c>
      <c r="AH384" s="170">
        <f t="shared" si="3"/>
        <v>0</v>
      </c>
      <c r="AI384" s="170">
        <f t="shared" si="4"/>
        <v>0</v>
      </c>
      <c r="AJ384" s="169">
        <f t="shared" si="5"/>
        <v>5070</v>
      </c>
      <c r="AK384" s="169">
        <f t="shared" si="6"/>
        <v>5070</v>
      </c>
      <c r="AL384" s="171"/>
      <c r="AM384" s="171"/>
    </row>
    <row r="385">
      <c r="A385" s="162">
        <v>384.0</v>
      </c>
      <c r="B385" s="163">
        <v>44103.0</v>
      </c>
      <c r="C385" s="17">
        <v>92020.0</v>
      </c>
      <c r="D385" s="164" t="s">
        <v>1290</v>
      </c>
      <c r="E385" s="162" t="s">
        <v>38</v>
      </c>
      <c r="F385" s="164" t="s">
        <v>123</v>
      </c>
      <c r="G385" s="162" t="s">
        <v>64</v>
      </c>
      <c r="H385" s="162" t="s">
        <v>41</v>
      </c>
      <c r="I385" s="162" t="s">
        <v>42</v>
      </c>
      <c r="J385" s="165">
        <v>1.0</v>
      </c>
      <c r="K385" s="165">
        <v>1.0</v>
      </c>
      <c r="L385" s="166"/>
      <c r="M385" s="166"/>
      <c r="N385" s="166"/>
      <c r="O385" s="166"/>
      <c r="P385" s="166"/>
      <c r="Q385" s="167"/>
      <c r="R385" s="167"/>
      <c r="S385" s="162" t="s">
        <v>137</v>
      </c>
      <c r="T385" s="162" t="s">
        <v>44</v>
      </c>
      <c r="U385" s="162" t="s">
        <v>342</v>
      </c>
      <c r="V385" s="162" t="s">
        <v>217</v>
      </c>
      <c r="W385" s="168"/>
      <c r="X385" s="168"/>
      <c r="Y385" s="168"/>
      <c r="Z385" s="168"/>
      <c r="AA385" s="169">
        <v>8416.0</v>
      </c>
      <c r="AB385" s="169">
        <v>33664.0</v>
      </c>
      <c r="AC385" s="24" t="s">
        <v>1291</v>
      </c>
      <c r="AD385" s="159">
        <v>4517.0</v>
      </c>
      <c r="AE385" s="82" t="s">
        <v>1292</v>
      </c>
      <c r="AF385" s="162" t="str">
        <f t="shared" si="1"/>
        <v>Mendoza, Argentina</v>
      </c>
      <c r="AG385" s="162">
        <f t="shared" si="2"/>
        <v>2</v>
      </c>
      <c r="AH385" s="170">
        <f t="shared" si="3"/>
        <v>0</v>
      </c>
      <c r="AI385" s="170">
        <f t="shared" si="4"/>
        <v>0</v>
      </c>
      <c r="AJ385" s="169">
        <f t="shared" si="5"/>
        <v>42080</v>
      </c>
      <c r="AK385" s="169">
        <f t="shared" si="6"/>
        <v>42080</v>
      </c>
      <c r="AL385" s="171"/>
      <c r="AM385" s="171"/>
    </row>
    <row r="386">
      <c r="A386" s="162">
        <v>385.0</v>
      </c>
      <c r="B386" s="163">
        <v>44103.0</v>
      </c>
      <c r="C386" s="17">
        <v>92020.0</v>
      </c>
      <c r="D386" s="164" t="s">
        <v>1293</v>
      </c>
      <c r="E386" s="162" t="s">
        <v>38</v>
      </c>
      <c r="F386" s="164" t="s">
        <v>1294</v>
      </c>
      <c r="G386" s="162" t="s">
        <v>40</v>
      </c>
      <c r="H386" s="162" t="s">
        <v>41</v>
      </c>
      <c r="I386" s="162" t="s">
        <v>643</v>
      </c>
      <c r="J386" s="165">
        <v>3.0</v>
      </c>
      <c r="K386" s="165">
        <v>1.0</v>
      </c>
      <c r="L386" s="166"/>
      <c r="M386" s="165">
        <v>1.0</v>
      </c>
      <c r="N386" s="166"/>
      <c r="O386" s="166"/>
      <c r="P386" s="166"/>
      <c r="Q386" s="167"/>
      <c r="R386" s="167"/>
      <c r="S386" s="162" t="s">
        <v>114</v>
      </c>
      <c r="T386" s="162" t="s">
        <v>66</v>
      </c>
      <c r="U386" s="162" t="s">
        <v>1027</v>
      </c>
      <c r="V386" s="162" t="s">
        <v>84</v>
      </c>
      <c r="W386" s="168"/>
      <c r="X386" s="168"/>
      <c r="Y386" s="168"/>
      <c r="Z386" s="168"/>
      <c r="AA386" s="169">
        <v>23626.0</v>
      </c>
      <c r="AB386" s="169">
        <v>74224.0</v>
      </c>
      <c r="AC386" s="24" t="s">
        <v>1295</v>
      </c>
      <c r="AD386" s="81">
        <v>4519.0</v>
      </c>
      <c r="AE386" s="82" t="s">
        <v>1296</v>
      </c>
      <c r="AF386" s="162" t="str">
        <f t="shared" si="1"/>
        <v>Buenos Aires, Argentina</v>
      </c>
      <c r="AG386" s="162">
        <f t="shared" si="2"/>
        <v>5</v>
      </c>
      <c r="AH386" s="170">
        <f t="shared" si="3"/>
        <v>0</v>
      </c>
      <c r="AI386" s="170">
        <f t="shared" si="4"/>
        <v>0</v>
      </c>
      <c r="AJ386" s="169">
        <f t="shared" si="5"/>
        <v>97850</v>
      </c>
      <c r="AK386" s="169">
        <f t="shared" si="6"/>
        <v>97850</v>
      </c>
      <c r="AL386" s="171"/>
      <c r="AM386" s="171"/>
    </row>
    <row r="387">
      <c r="A387" s="162">
        <v>386.0</v>
      </c>
      <c r="B387" s="163">
        <v>44103.0</v>
      </c>
      <c r="C387" s="17">
        <v>92020.0</v>
      </c>
      <c r="D387" s="164" t="s">
        <v>1297</v>
      </c>
      <c r="E387" s="162" t="s">
        <v>38</v>
      </c>
      <c r="F387" s="164" t="s">
        <v>71</v>
      </c>
      <c r="G387" s="162" t="s">
        <v>40</v>
      </c>
      <c r="H387" s="162" t="s">
        <v>547</v>
      </c>
      <c r="I387" s="162" t="s">
        <v>42</v>
      </c>
      <c r="J387" s="165">
        <v>1.0</v>
      </c>
      <c r="K387" s="166"/>
      <c r="L387" s="166"/>
      <c r="M387" s="166"/>
      <c r="N387" s="166"/>
      <c r="O387" s="166"/>
      <c r="P387" s="166"/>
      <c r="Q387" s="167"/>
      <c r="R387" s="167"/>
      <c r="S387" s="162" t="s">
        <v>51</v>
      </c>
      <c r="T387" s="162" t="s">
        <v>83</v>
      </c>
      <c r="U387" s="162" t="s">
        <v>45</v>
      </c>
      <c r="V387" s="162" t="s">
        <v>59</v>
      </c>
      <c r="W387" s="168"/>
      <c r="X387" s="168"/>
      <c r="Y387" s="168"/>
      <c r="Z387" s="168"/>
      <c r="AA387" s="169">
        <v>3042.0</v>
      </c>
      <c r="AB387" s="169">
        <v>6084.0</v>
      </c>
      <c r="AC387" s="24" t="s">
        <v>1298</v>
      </c>
      <c r="AD387" s="81">
        <v>4521.0</v>
      </c>
      <c r="AE387" s="82" t="s">
        <v>1299</v>
      </c>
      <c r="AF387" s="162" t="str">
        <f t="shared" si="1"/>
        <v>Capital Federal, Argentina</v>
      </c>
      <c r="AG387" s="162">
        <f t="shared" si="2"/>
        <v>1</v>
      </c>
      <c r="AH387" s="170">
        <f t="shared" si="3"/>
        <v>0</v>
      </c>
      <c r="AI387" s="170">
        <f t="shared" si="4"/>
        <v>0</v>
      </c>
      <c r="AJ387" s="169">
        <f t="shared" si="5"/>
        <v>9126</v>
      </c>
      <c r="AK387" s="169">
        <f t="shared" si="6"/>
        <v>9126</v>
      </c>
      <c r="AL387" s="171"/>
      <c r="AM387" s="171"/>
    </row>
    <row r="388">
      <c r="A388" s="162">
        <v>387.0</v>
      </c>
      <c r="B388" s="163">
        <v>44103.0</v>
      </c>
      <c r="C388" s="17">
        <v>92020.0</v>
      </c>
      <c r="D388" s="164" t="s">
        <v>1300</v>
      </c>
      <c r="E388" s="162" t="s">
        <v>38</v>
      </c>
      <c r="F388" s="164" t="s">
        <v>1301</v>
      </c>
      <c r="G388" s="162" t="s">
        <v>64</v>
      </c>
      <c r="H388" s="162" t="s">
        <v>41</v>
      </c>
      <c r="I388" s="162" t="s">
        <v>643</v>
      </c>
      <c r="J388" s="165">
        <v>2.0</v>
      </c>
      <c r="K388" s="166"/>
      <c r="L388" s="166"/>
      <c r="M388" s="166"/>
      <c r="N388" s="166"/>
      <c r="O388" s="166"/>
      <c r="P388" s="166"/>
      <c r="Q388" s="167"/>
      <c r="R388" s="167"/>
      <c r="S388" s="162" t="s">
        <v>189</v>
      </c>
      <c r="T388" s="162" t="s">
        <v>44</v>
      </c>
      <c r="U388" s="162" t="s">
        <v>1259</v>
      </c>
      <c r="V388" s="162" t="s">
        <v>84</v>
      </c>
      <c r="W388" s="168"/>
      <c r="X388" s="168"/>
      <c r="Y388" s="168"/>
      <c r="Z388" s="168"/>
      <c r="AA388" s="169">
        <v>7101.0</v>
      </c>
      <c r="AB388" s="169">
        <v>18936.0</v>
      </c>
      <c r="AC388" s="24" t="s">
        <v>1302</v>
      </c>
      <c r="AD388" s="159">
        <v>4547.0</v>
      </c>
      <c r="AE388" s="82" t="s">
        <v>1303</v>
      </c>
      <c r="AF388" s="162" t="str">
        <f t="shared" si="1"/>
        <v>Mendoza, Argentina</v>
      </c>
      <c r="AG388" s="162">
        <f t="shared" si="2"/>
        <v>2</v>
      </c>
      <c r="AH388" s="170">
        <f t="shared" si="3"/>
        <v>0</v>
      </c>
      <c r="AI388" s="170">
        <f t="shared" si="4"/>
        <v>0</v>
      </c>
      <c r="AJ388" s="169">
        <f t="shared" si="5"/>
        <v>26037</v>
      </c>
      <c r="AK388" s="169">
        <f t="shared" si="6"/>
        <v>26037</v>
      </c>
      <c r="AL388" s="171"/>
      <c r="AM388" s="171"/>
    </row>
    <row r="389">
      <c r="A389" s="162">
        <v>388.0</v>
      </c>
      <c r="B389" s="163">
        <v>44104.0</v>
      </c>
      <c r="C389" s="17">
        <v>92020.0</v>
      </c>
      <c r="D389" s="164" t="s">
        <v>1304</v>
      </c>
      <c r="E389" s="162" t="s">
        <v>38</v>
      </c>
      <c r="F389" s="164" t="s">
        <v>123</v>
      </c>
      <c r="G389" s="162" t="s">
        <v>40</v>
      </c>
      <c r="H389" s="162" t="s">
        <v>41</v>
      </c>
      <c r="I389" s="162" t="s">
        <v>42</v>
      </c>
      <c r="J389" s="165">
        <v>1.0</v>
      </c>
      <c r="K389" s="165">
        <v>1.0</v>
      </c>
      <c r="L389" s="166"/>
      <c r="M389" s="166"/>
      <c r="N389" s="166"/>
      <c r="O389" s="166"/>
      <c r="P389" s="166"/>
      <c r="Q389" s="167"/>
      <c r="R389" s="167"/>
      <c r="S389" s="162" t="s">
        <v>105</v>
      </c>
      <c r="T389" s="162" t="s">
        <v>83</v>
      </c>
      <c r="U389" s="162" t="s">
        <v>45</v>
      </c>
      <c r="V389" s="162" t="s">
        <v>78</v>
      </c>
      <c r="W389" s="168"/>
      <c r="X389" s="168"/>
      <c r="Y389" s="168"/>
      <c r="Z389" s="168"/>
      <c r="AA389" s="169">
        <v>8416.0</v>
      </c>
      <c r="AB389" s="169">
        <v>33664.0</v>
      </c>
      <c r="AC389" s="24" t="s">
        <v>1305</v>
      </c>
      <c r="AD389" s="159">
        <v>4523.0</v>
      </c>
      <c r="AE389" s="82" t="s">
        <v>1306</v>
      </c>
      <c r="AF389" s="162" t="str">
        <f t="shared" si="1"/>
        <v>Capital Federal, Argentina</v>
      </c>
      <c r="AG389" s="162">
        <f t="shared" si="2"/>
        <v>2</v>
      </c>
      <c r="AH389" s="170">
        <f t="shared" si="3"/>
        <v>0</v>
      </c>
      <c r="AI389" s="170">
        <f t="shared" si="4"/>
        <v>0</v>
      </c>
      <c r="AJ389" s="169">
        <f t="shared" si="5"/>
        <v>42080</v>
      </c>
      <c r="AK389" s="169">
        <f t="shared" si="6"/>
        <v>42080</v>
      </c>
      <c r="AL389" s="171"/>
      <c r="AM389" s="171"/>
    </row>
    <row r="390">
      <c r="A390" s="162">
        <v>389.0</v>
      </c>
      <c r="B390" s="163">
        <v>44104.0</v>
      </c>
      <c r="C390" s="17">
        <v>92020.0</v>
      </c>
      <c r="D390" s="164" t="s">
        <v>1307</v>
      </c>
      <c r="E390" s="162" t="s">
        <v>38</v>
      </c>
      <c r="F390" s="164" t="s">
        <v>1308</v>
      </c>
      <c r="G390" s="162" t="s">
        <v>40</v>
      </c>
      <c r="H390" s="162" t="s">
        <v>41</v>
      </c>
      <c r="I390" s="162" t="s">
        <v>42</v>
      </c>
      <c r="J390" s="165">
        <v>4.0</v>
      </c>
      <c r="K390" s="165">
        <v>2.0</v>
      </c>
      <c r="L390" s="166"/>
      <c r="M390" s="165">
        <v>1.0</v>
      </c>
      <c r="N390" s="166"/>
      <c r="O390" s="166"/>
      <c r="P390" s="166"/>
      <c r="Q390" s="167"/>
      <c r="R390" s="167"/>
      <c r="S390" s="162" t="s">
        <v>114</v>
      </c>
      <c r="T390" s="162" t="s">
        <v>83</v>
      </c>
      <c r="U390" s="162" t="s">
        <v>163</v>
      </c>
      <c r="V390" s="162" t="s">
        <v>59</v>
      </c>
      <c r="W390" s="168"/>
      <c r="X390" s="168"/>
      <c r="Y390" s="168"/>
      <c r="Z390" s="168"/>
      <c r="AA390" s="169">
        <v>32042.0</v>
      </c>
      <c r="AB390" s="169">
        <v>107888.0</v>
      </c>
      <c r="AC390" s="24" t="s">
        <v>1309</v>
      </c>
      <c r="AD390" s="81">
        <v>4525.0</v>
      </c>
      <c r="AE390" s="82" t="s">
        <v>1310</v>
      </c>
      <c r="AF390" s="162" t="str">
        <f t="shared" si="1"/>
        <v>Capital Federal, Argentina</v>
      </c>
      <c r="AG390" s="162">
        <f t="shared" si="2"/>
        <v>7</v>
      </c>
      <c r="AH390" s="170">
        <f t="shared" si="3"/>
        <v>0</v>
      </c>
      <c r="AI390" s="170">
        <f t="shared" si="4"/>
        <v>0</v>
      </c>
      <c r="AJ390" s="169">
        <f t="shared" si="5"/>
        <v>139930</v>
      </c>
      <c r="AK390" s="169">
        <f t="shared" si="6"/>
        <v>139930</v>
      </c>
      <c r="AL390" s="171"/>
      <c r="AM390" s="171"/>
    </row>
    <row r="391">
      <c r="A391" s="173">
        <v>390.0</v>
      </c>
      <c r="B391" s="174">
        <v>44105.0</v>
      </c>
      <c r="C391" s="17">
        <v>102020.0</v>
      </c>
      <c r="D391" s="175" t="s">
        <v>458</v>
      </c>
      <c r="E391" s="173" t="s">
        <v>38</v>
      </c>
      <c r="F391" s="175" t="s">
        <v>77</v>
      </c>
      <c r="G391" s="173" t="s">
        <v>64</v>
      </c>
      <c r="H391" s="173" t="s">
        <v>41</v>
      </c>
      <c r="I391" s="173" t="s">
        <v>42</v>
      </c>
      <c r="J391" s="176"/>
      <c r="K391" s="177">
        <v>1.0</v>
      </c>
      <c r="L391" s="176"/>
      <c r="M391" s="176"/>
      <c r="N391" s="176"/>
      <c r="O391" s="176"/>
      <c r="P391" s="176"/>
      <c r="Q391" s="178"/>
      <c r="R391" s="178"/>
      <c r="S391" s="173" t="s">
        <v>114</v>
      </c>
      <c r="T391" s="173" t="s">
        <v>83</v>
      </c>
      <c r="U391" s="173" t="s">
        <v>53</v>
      </c>
      <c r="V391" s="173" t="s">
        <v>59</v>
      </c>
      <c r="W391" s="179"/>
      <c r="X391" s="179"/>
      <c r="Y391" s="179"/>
      <c r="Z391" s="179"/>
      <c r="AA391" s="180">
        <v>3968.0</v>
      </c>
      <c r="AB391" s="180">
        <v>15872.0</v>
      </c>
      <c r="AC391" s="24" t="s">
        <v>1311</v>
      </c>
      <c r="AD391" s="81">
        <v>4529.0</v>
      </c>
      <c r="AE391" s="82" t="s">
        <v>1312</v>
      </c>
      <c r="AF391" s="173" t="str">
        <f t="shared" si="1"/>
        <v>Capital Federal, Argentina</v>
      </c>
      <c r="AG391" s="173">
        <f t="shared" si="2"/>
        <v>1</v>
      </c>
      <c r="AH391" s="181">
        <f t="shared" si="3"/>
        <v>0</v>
      </c>
      <c r="AI391" s="181">
        <f t="shared" si="4"/>
        <v>0</v>
      </c>
      <c r="AJ391" s="180">
        <f t="shared" si="5"/>
        <v>19840</v>
      </c>
      <c r="AK391" s="180">
        <f t="shared" si="6"/>
        <v>19840</v>
      </c>
      <c r="AL391" s="182"/>
      <c r="AM391" s="182"/>
    </row>
    <row r="392">
      <c r="A392" s="173">
        <v>391.0</v>
      </c>
      <c r="B392" s="174">
        <v>44111.0</v>
      </c>
      <c r="C392" s="17">
        <v>102020.0</v>
      </c>
      <c r="D392" s="175" t="s">
        <v>1042</v>
      </c>
      <c r="E392" s="173" t="s">
        <v>38</v>
      </c>
      <c r="F392" s="175" t="s">
        <v>71</v>
      </c>
      <c r="G392" s="173" t="s">
        <v>64</v>
      </c>
      <c r="H392" s="173" t="s">
        <v>41</v>
      </c>
      <c r="I392" s="173" t="s">
        <v>643</v>
      </c>
      <c r="J392" s="177">
        <v>1.0</v>
      </c>
      <c r="K392" s="176"/>
      <c r="L392" s="176"/>
      <c r="M392" s="176"/>
      <c r="N392" s="176"/>
      <c r="O392" s="176"/>
      <c r="P392" s="176"/>
      <c r="Q392" s="178"/>
      <c r="R392" s="178"/>
      <c r="S392" s="173" t="s">
        <v>65</v>
      </c>
      <c r="T392" s="173" t="s">
        <v>66</v>
      </c>
      <c r="U392" s="173" t="s">
        <v>1259</v>
      </c>
      <c r="V392" s="173" t="s">
        <v>84</v>
      </c>
      <c r="W392" s="179"/>
      <c r="X392" s="179"/>
      <c r="Y392" s="179"/>
      <c r="Z392" s="179"/>
      <c r="AA392" s="180">
        <v>5200.0</v>
      </c>
      <c r="AB392" s="180">
        <v>26000.0</v>
      </c>
      <c r="AC392" s="24" t="s">
        <v>1313</v>
      </c>
      <c r="AD392" s="81">
        <v>4531.0</v>
      </c>
      <c r="AE392" s="82" t="s">
        <v>1314</v>
      </c>
      <c r="AF392" s="173" t="str">
        <f t="shared" si="1"/>
        <v>Buenos Aires, Argentina</v>
      </c>
      <c r="AG392" s="173">
        <f t="shared" si="2"/>
        <v>1</v>
      </c>
      <c r="AH392" s="181">
        <f t="shared" si="3"/>
        <v>0</v>
      </c>
      <c r="AI392" s="181">
        <f t="shared" si="4"/>
        <v>0</v>
      </c>
      <c r="AJ392" s="180">
        <f t="shared" si="5"/>
        <v>31200</v>
      </c>
      <c r="AK392" s="180">
        <f t="shared" si="6"/>
        <v>31200</v>
      </c>
      <c r="AL392" s="182"/>
      <c r="AM392" s="182"/>
    </row>
    <row r="393">
      <c r="A393" s="173">
        <v>392.0</v>
      </c>
      <c r="B393" s="174">
        <v>44111.0</v>
      </c>
      <c r="C393" s="17">
        <v>102020.0</v>
      </c>
      <c r="D393" s="175" t="s">
        <v>1315</v>
      </c>
      <c r="E393" s="173" t="s">
        <v>38</v>
      </c>
      <c r="F393" s="175" t="s">
        <v>97</v>
      </c>
      <c r="G393" s="173" t="s">
        <v>64</v>
      </c>
      <c r="H393" s="173" t="s">
        <v>41</v>
      </c>
      <c r="I393" s="173" t="s">
        <v>643</v>
      </c>
      <c r="J393" s="177">
        <v>4.0</v>
      </c>
      <c r="K393" s="176"/>
      <c r="L393" s="176"/>
      <c r="M393" s="176"/>
      <c r="N393" s="176"/>
      <c r="O393" s="176"/>
      <c r="P393" s="176"/>
      <c r="Q393" s="178"/>
      <c r="R393" s="178"/>
      <c r="S393" s="173" t="s">
        <v>89</v>
      </c>
      <c r="T393" s="173" t="s">
        <v>66</v>
      </c>
      <c r="U393" s="173" t="s">
        <v>1259</v>
      </c>
      <c r="V393" s="173" t="s">
        <v>84</v>
      </c>
      <c r="W393" s="179"/>
      <c r="X393" s="179"/>
      <c r="Y393" s="179"/>
      <c r="Z393" s="179"/>
      <c r="AA393" s="180">
        <v>20800.0</v>
      </c>
      <c r="AB393" s="180">
        <v>104000.0</v>
      </c>
      <c r="AC393" s="24" t="s">
        <v>1316</v>
      </c>
      <c r="AD393" s="81">
        <v>4533.0</v>
      </c>
      <c r="AE393" s="82" t="s">
        <v>1317</v>
      </c>
      <c r="AF393" s="173" t="str">
        <f t="shared" si="1"/>
        <v>Buenos Aires, Argentina</v>
      </c>
      <c r="AG393" s="173">
        <f t="shared" si="2"/>
        <v>4</v>
      </c>
      <c r="AH393" s="181">
        <f t="shared" si="3"/>
        <v>0</v>
      </c>
      <c r="AI393" s="181">
        <f t="shared" si="4"/>
        <v>0</v>
      </c>
      <c r="AJ393" s="180">
        <f t="shared" si="5"/>
        <v>124800</v>
      </c>
      <c r="AK393" s="180">
        <f t="shared" si="6"/>
        <v>124800</v>
      </c>
      <c r="AL393" s="182"/>
      <c r="AM393" s="182"/>
    </row>
    <row r="394">
      <c r="A394" s="173">
        <v>393.0</v>
      </c>
      <c r="B394" s="174">
        <v>44113.0</v>
      </c>
      <c r="C394" s="17">
        <v>102020.0</v>
      </c>
      <c r="D394" s="175" t="s">
        <v>1318</v>
      </c>
      <c r="E394" s="173" t="s">
        <v>38</v>
      </c>
      <c r="F394" s="175" t="s">
        <v>71</v>
      </c>
      <c r="G394" s="173" t="s">
        <v>40</v>
      </c>
      <c r="H394" s="173" t="s">
        <v>41</v>
      </c>
      <c r="I394" s="173" t="s">
        <v>42</v>
      </c>
      <c r="J394" s="177">
        <v>1.0</v>
      </c>
      <c r="K394" s="176"/>
      <c r="L394" s="176"/>
      <c r="M394" s="176"/>
      <c r="N394" s="176"/>
      <c r="O394" s="176"/>
      <c r="P394" s="176"/>
      <c r="Q394" s="178"/>
      <c r="R394" s="178"/>
      <c r="S394" s="173" t="s">
        <v>105</v>
      </c>
      <c r="T394" s="173" t="s">
        <v>83</v>
      </c>
      <c r="U394" s="173" t="s">
        <v>45</v>
      </c>
      <c r="V394" s="173" t="s">
        <v>59</v>
      </c>
      <c r="W394" s="179"/>
      <c r="X394" s="179"/>
      <c r="Y394" s="179"/>
      <c r="Z394" s="179"/>
      <c r="AA394" s="180">
        <v>5200.0</v>
      </c>
      <c r="AB394" s="180">
        <v>20800.0</v>
      </c>
      <c r="AC394" s="24" t="s">
        <v>1319</v>
      </c>
      <c r="AD394" s="81">
        <v>4535.0</v>
      </c>
      <c r="AE394" s="82" t="s">
        <v>1320</v>
      </c>
      <c r="AF394" s="173" t="str">
        <f t="shared" si="1"/>
        <v>Capital Federal, Argentina</v>
      </c>
      <c r="AG394" s="173">
        <f t="shared" si="2"/>
        <v>1</v>
      </c>
      <c r="AH394" s="181">
        <f t="shared" si="3"/>
        <v>0</v>
      </c>
      <c r="AI394" s="181">
        <f t="shared" si="4"/>
        <v>0</v>
      </c>
      <c r="AJ394" s="180">
        <f t="shared" si="5"/>
        <v>26000</v>
      </c>
      <c r="AK394" s="180">
        <f t="shared" si="6"/>
        <v>26000</v>
      </c>
      <c r="AL394" s="182"/>
      <c r="AM394" s="182"/>
    </row>
    <row r="395">
      <c r="A395" s="173">
        <v>394.0</v>
      </c>
      <c r="B395" s="174">
        <v>44113.0</v>
      </c>
      <c r="C395" s="17">
        <v>102020.0</v>
      </c>
      <c r="D395" s="175" t="s">
        <v>1321</v>
      </c>
      <c r="E395" s="173" t="s">
        <v>38</v>
      </c>
      <c r="F395" s="175" t="s">
        <v>77</v>
      </c>
      <c r="G395" s="173" t="s">
        <v>64</v>
      </c>
      <c r="H395" s="173" t="s">
        <v>41</v>
      </c>
      <c r="I395" s="173" t="s">
        <v>42</v>
      </c>
      <c r="J395" s="176"/>
      <c r="K395" s="177">
        <v>1.0</v>
      </c>
      <c r="L395" s="176"/>
      <c r="M395" s="176"/>
      <c r="N395" s="176"/>
      <c r="O395" s="176"/>
      <c r="P395" s="176"/>
      <c r="Q395" s="178"/>
      <c r="R395" s="178"/>
      <c r="S395" s="173" t="s">
        <v>114</v>
      </c>
      <c r="T395" s="173" t="s">
        <v>66</v>
      </c>
      <c r="U395" s="173" t="s">
        <v>342</v>
      </c>
      <c r="V395" s="173" t="s">
        <v>217</v>
      </c>
      <c r="W395" s="179"/>
      <c r="X395" s="179"/>
      <c r="Y395" s="179"/>
      <c r="Z395" s="179"/>
      <c r="AA395" s="180">
        <v>3432.0</v>
      </c>
      <c r="AB395" s="180">
        <v>13728.0</v>
      </c>
      <c r="AC395" s="24" t="s">
        <v>1322</v>
      </c>
      <c r="AD395" s="81">
        <v>4539.0</v>
      </c>
      <c r="AE395" s="82" t="s">
        <v>1323</v>
      </c>
      <c r="AF395" s="173" t="str">
        <f t="shared" si="1"/>
        <v>Buenos Aires, Argentina</v>
      </c>
      <c r="AG395" s="173">
        <f t="shared" si="2"/>
        <v>1</v>
      </c>
      <c r="AH395" s="181">
        <f t="shared" si="3"/>
        <v>0</v>
      </c>
      <c r="AI395" s="181">
        <f t="shared" si="4"/>
        <v>0</v>
      </c>
      <c r="AJ395" s="180">
        <f t="shared" si="5"/>
        <v>17160</v>
      </c>
      <c r="AK395" s="180">
        <f t="shared" si="6"/>
        <v>17160</v>
      </c>
      <c r="AL395" s="182"/>
      <c r="AM395" s="182"/>
    </row>
    <row r="396">
      <c r="A396" s="173">
        <v>395.0</v>
      </c>
      <c r="B396" s="174">
        <v>44113.0</v>
      </c>
      <c r="C396" s="17">
        <v>102020.0</v>
      </c>
      <c r="D396" s="175" t="s">
        <v>1324</v>
      </c>
      <c r="E396" s="173" t="s">
        <v>38</v>
      </c>
      <c r="F396" s="175" t="s">
        <v>1325</v>
      </c>
      <c r="G396" s="173" t="s">
        <v>64</v>
      </c>
      <c r="H396" s="173" t="s">
        <v>41</v>
      </c>
      <c r="I396" s="173" t="s">
        <v>643</v>
      </c>
      <c r="J396" s="176"/>
      <c r="K396" s="177">
        <v>2.0</v>
      </c>
      <c r="L396" s="176"/>
      <c r="M396" s="176"/>
      <c r="N396" s="176"/>
      <c r="O396" s="176"/>
      <c r="P396" s="176"/>
      <c r="Q396" s="178"/>
      <c r="R396" s="178"/>
      <c r="S396" s="173" t="s">
        <v>72</v>
      </c>
      <c r="T396" s="173" t="s">
        <v>83</v>
      </c>
      <c r="U396" s="173" t="s">
        <v>1259</v>
      </c>
      <c r="V396" s="173" t="s">
        <v>84</v>
      </c>
      <c r="W396" s="179"/>
      <c r="X396" s="179"/>
      <c r="Y396" s="179"/>
      <c r="Z396" s="179"/>
      <c r="AA396" s="180">
        <v>6864.0</v>
      </c>
      <c r="AB396" s="180">
        <v>34320.0</v>
      </c>
      <c r="AC396" s="24" t="s">
        <v>1326</v>
      </c>
      <c r="AD396" s="81">
        <v>4541.0</v>
      </c>
      <c r="AE396" s="82" t="s">
        <v>1327</v>
      </c>
      <c r="AF396" s="173" t="str">
        <f t="shared" si="1"/>
        <v>Capital Federal, Argentina</v>
      </c>
      <c r="AG396" s="173">
        <f t="shared" si="2"/>
        <v>2</v>
      </c>
      <c r="AH396" s="181">
        <f t="shared" si="3"/>
        <v>0</v>
      </c>
      <c r="AI396" s="181">
        <f t="shared" si="4"/>
        <v>0</v>
      </c>
      <c r="AJ396" s="180">
        <f t="shared" si="5"/>
        <v>41184</v>
      </c>
      <c r="AK396" s="180">
        <f t="shared" si="6"/>
        <v>41184</v>
      </c>
      <c r="AL396" s="182"/>
      <c r="AM396" s="182"/>
    </row>
    <row r="397">
      <c r="A397" s="173">
        <v>396.0</v>
      </c>
      <c r="B397" s="174">
        <v>44113.0</v>
      </c>
      <c r="C397" s="17">
        <v>102020.0</v>
      </c>
      <c r="D397" s="175" t="s">
        <v>1328</v>
      </c>
      <c r="E397" s="173" t="s">
        <v>38</v>
      </c>
      <c r="F397" s="175" t="s">
        <v>1329</v>
      </c>
      <c r="G397" s="173" t="s">
        <v>64</v>
      </c>
      <c r="H397" s="173" t="s">
        <v>227</v>
      </c>
      <c r="I397" s="173" t="s">
        <v>643</v>
      </c>
      <c r="J397" s="177">
        <v>1.0</v>
      </c>
      <c r="K397" s="177">
        <v>1.0</v>
      </c>
      <c r="L397" s="176"/>
      <c r="M397" s="176"/>
      <c r="N397" s="176"/>
      <c r="O397" s="176"/>
      <c r="P397" s="176"/>
      <c r="Q397" s="178"/>
      <c r="R397" s="178"/>
      <c r="S397" s="173" t="s">
        <v>89</v>
      </c>
      <c r="T397" s="173" t="s">
        <v>83</v>
      </c>
      <c r="U397" s="173" t="s">
        <v>1259</v>
      </c>
      <c r="V397" s="173" t="s">
        <v>84</v>
      </c>
      <c r="W397" s="179"/>
      <c r="X397" s="179"/>
      <c r="Y397" s="179"/>
      <c r="Z397" s="179"/>
      <c r="AA397" s="180">
        <v>14554.0</v>
      </c>
      <c r="AB397" s="180">
        <v>93146.0</v>
      </c>
      <c r="AC397" s="24" t="s">
        <v>1330</v>
      </c>
      <c r="AD397" s="81">
        <v>4537.0</v>
      </c>
      <c r="AE397" s="82" t="s">
        <v>1331</v>
      </c>
      <c r="AF397" s="173" t="str">
        <f t="shared" si="1"/>
        <v>Capital Federal, Argentina</v>
      </c>
      <c r="AG397" s="173">
        <f t="shared" si="2"/>
        <v>2</v>
      </c>
      <c r="AH397" s="181">
        <f t="shared" si="3"/>
        <v>0</v>
      </c>
      <c r="AI397" s="181">
        <f t="shared" si="4"/>
        <v>0</v>
      </c>
      <c r="AJ397" s="180">
        <f t="shared" si="5"/>
        <v>107700</v>
      </c>
      <c r="AK397" s="180">
        <f t="shared" si="6"/>
        <v>107700</v>
      </c>
      <c r="AL397" s="182"/>
      <c r="AM397" s="182"/>
    </row>
    <row r="398">
      <c r="A398" s="173">
        <v>397.0</v>
      </c>
      <c r="B398" s="174">
        <v>44117.0</v>
      </c>
      <c r="C398" s="17">
        <v>102020.0</v>
      </c>
      <c r="D398" s="175" t="s">
        <v>1332</v>
      </c>
      <c r="E398" s="173" t="s">
        <v>38</v>
      </c>
      <c r="F398" s="175" t="s">
        <v>123</v>
      </c>
      <c r="G398" s="173" t="s">
        <v>40</v>
      </c>
      <c r="H398" s="173" t="s">
        <v>41</v>
      </c>
      <c r="I398" s="173" t="s">
        <v>42</v>
      </c>
      <c r="J398" s="177">
        <v>1.0</v>
      </c>
      <c r="K398" s="177">
        <v>1.0</v>
      </c>
      <c r="L398" s="176"/>
      <c r="M398" s="176"/>
      <c r="N398" s="176"/>
      <c r="O398" s="176"/>
      <c r="P398" s="176"/>
      <c r="Q398" s="178"/>
      <c r="R398" s="178"/>
      <c r="S398" s="173" t="s">
        <v>65</v>
      </c>
      <c r="T398" s="173" t="s">
        <v>66</v>
      </c>
      <c r="U398" s="173" t="s">
        <v>342</v>
      </c>
      <c r="V398" s="173" t="s">
        <v>59</v>
      </c>
      <c r="W398" s="179"/>
      <c r="X398" s="179"/>
      <c r="Y398" s="179"/>
      <c r="Z398" s="179"/>
      <c r="AA398" s="180">
        <v>8632.0</v>
      </c>
      <c r="AB398" s="180">
        <v>34528.0</v>
      </c>
      <c r="AC398" s="24" t="s">
        <v>1333</v>
      </c>
      <c r="AD398" s="81">
        <v>4543.0</v>
      </c>
      <c r="AE398" s="82" t="s">
        <v>1334</v>
      </c>
      <c r="AF398" s="173" t="str">
        <f t="shared" si="1"/>
        <v>Buenos Aires, Argentina</v>
      </c>
      <c r="AG398" s="173">
        <f t="shared" si="2"/>
        <v>2</v>
      </c>
      <c r="AH398" s="181">
        <f t="shared" si="3"/>
        <v>0</v>
      </c>
      <c r="AI398" s="181">
        <f t="shared" si="4"/>
        <v>0</v>
      </c>
      <c r="AJ398" s="180">
        <f t="shared" si="5"/>
        <v>43160</v>
      </c>
      <c r="AK398" s="180">
        <f t="shared" si="6"/>
        <v>43160</v>
      </c>
      <c r="AL398" s="182"/>
      <c r="AM398" s="182"/>
    </row>
    <row r="399">
      <c r="A399" s="173">
        <v>398.0</v>
      </c>
      <c r="B399" s="174">
        <v>44117.0</v>
      </c>
      <c r="C399" s="17">
        <v>102020.0</v>
      </c>
      <c r="D399" s="175" t="s">
        <v>1335</v>
      </c>
      <c r="E399" s="173" t="s">
        <v>38</v>
      </c>
      <c r="F399" s="175" t="s">
        <v>1336</v>
      </c>
      <c r="G399" s="173" t="s">
        <v>64</v>
      </c>
      <c r="H399" s="173" t="s">
        <v>41</v>
      </c>
      <c r="I399" s="173" t="s">
        <v>643</v>
      </c>
      <c r="J399" s="176"/>
      <c r="K399" s="177">
        <v>6.0</v>
      </c>
      <c r="L399" s="176"/>
      <c r="M399" s="176"/>
      <c r="N399" s="176"/>
      <c r="O399" s="176"/>
      <c r="P399" s="176"/>
      <c r="Q399" s="178"/>
      <c r="R399" s="178"/>
      <c r="S399" s="173" t="s">
        <v>65</v>
      </c>
      <c r="T399" s="173" t="s">
        <v>66</v>
      </c>
      <c r="U399" s="173" t="s">
        <v>1259</v>
      </c>
      <c r="V399" s="173" t="s">
        <v>84</v>
      </c>
      <c r="W399" s="179"/>
      <c r="X399" s="179"/>
      <c r="Y399" s="179"/>
      <c r="Z399" s="179"/>
      <c r="AA399" s="180">
        <v>18533.0</v>
      </c>
      <c r="AB399" s="180">
        <v>82368.0</v>
      </c>
      <c r="AC399" s="24" t="s">
        <v>1337</v>
      </c>
      <c r="AD399" s="81">
        <v>4545.0</v>
      </c>
      <c r="AE399" s="82" t="s">
        <v>1338</v>
      </c>
      <c r="AF399" s="173" t="str">
        <f t="shared" si="1"/>
        <v>Buenos Aires, Argentina</v>
      </c>
      <c r="AG399" s="173">
        <f t="shared" si="2"/>
        <v>6</v>
      </c>
      <c r="AH399" s="181">
        <f t="shared" si="3"/>
        <v>0</v>
      </c>
      <c r="AI399" s="181">
        <f t="shared" si="4"/>
        <v>0</v>
      </c>
      <c r="AJ399" s="180">
        <f t="shared" si="5"/>
        <v>100901</v>
      </c>
      <c r="AK399" s="180">
        <f t="shared" si="6"/>
        <v>100901</v>
      </c>
      <c r="AL399" s="182"/>
      <c r="AM399" s="182"/>
    </row>
    <row r="400">
      <c r="A400" s="173">
        <v>399.0</v>
      </c>
      <c r="B400" s="174">
        <v>44117.0</v>
      </c>
      <c r="C400" s="17">
        <v>102020.0</v>
      </c>
      <c r="D400" s="175" t="s">
        <v>1339</v>
      </c>
      <c r="E400" s="173" t="s">
        <v>38</v>
      </c>
      <c r="F400" s="175" t="s">
        <v>1281</v>
      </c>
      <c r="G400" s="173" t="s">
        <v>64</v>
      </c>
      <c r="H400" s="173" t="s">
        <v>41</v>
      </c>
      <c r="I400" s="173" t="s">
        <v>643</v>
      </c>
      <c r="J400" s="176"/>
      <c r="K400" s="176"/>
      <c r="L400" s="176"/>
      <c r="M400" s="177">
        <v>1.0</v>
      </c>
      <c r="N400" s="176"/>
      <c r="O400" s="176"/>
      <c r="P400" s="176"/>
      <c r="Q400" s="178"/>
      <c r="R400" s="178"/>
      <c r="S400" s="173" t="s">
        <v>72</v>
      </c>
      <c r="T400" s="173" t="s">
        <v>83</v>
      </c>
      <c r="U400" s="173" t="s">
        <v>67</v>
      </c>
      <c r="V400" s="173" t="s">
        <v>84</v>
      </c>
      <c r="W400" s="179"/>
      <c r="X400" s="179"/>
      <c r="Y400" s="179"/>
      <c r="Z400" s="179"/>
      <c r="AA400" s="180">
        <v>5200.0</v>
      </c>
      <c r="AB400" s="180">
        <v>0.0</v>
      </c>
      <c r="AC400" s="24" t="s">
        <v>1340</v>
      </c>
      <c r="AD400" s="81">
        <v>4261.0</v>
      </c>
      <c r="AE400" s="82" t="s">
        <v>978</v>
      </c>
      <c r="AF400" s="173" t="str">
        <f t="shared" si="1"/>
        <v>Capital Federal, Argentina</v>
      </c>
      <c r="AG400" s="173">
        <f t="shared" si="2"/>
        <v>1</v>
      </c>
      <c r="AH400" s="181">
        <f t="shared" si="3"/>
        <v>0</v>
      </c>
      <c r="AI400" s="181">
        <f t="shared" si="4"/>
        <v>0</v>
      </c>
      <c r="AJ400" s="180">
        <f t="shared" si="5"/>
        <v>5200</v>
      </c>
      <c r="AK400" s="180">
        <f t="shared" si="6"/>
        <v>5200</v>
      </c>
      <c r="AL400" s="182"/>
      <c r="AM400" s="182"/>
    </row>
    <row r="401">
      <c r="A401" s="173">
        <v>400.0</v>
      </c>
      <c r="B401" s="174">
        <v>44118.0</v>
      </c>
      <c r="C401" s="17">
        <v>102020.0</v>
      </c>
      <c r="D401" s="175" t="s">
        <v>719</v>
      </c>
      <c r="E401" s="173" t="s">
        <v>38</v>
      </c>
      <c r="F401" s="175" t="s">
        <v>1236</v>
      </c>
      <c r="G401" s="173" t="s">
        <v>64</v>
      </c>
      <c r="H401" s="173" t="s">
        <v>41</v>
      </c>
      <c r="I401" s="173" t="s">
        <v>643</v>
      </c>
      <c r="J401" s="176"/>
      <c r="K401" s="176"/>
      <c r="L401" s="176"/>
      <c r="M401" s="177">
        <v>1.0</v>
      </c>
      <c r="N401" s="176"/>
      <c r="O401" s="176"/>
      <c r="P401" s="177">
        <v>1.0</v>
      </c>
      <c r="Q401" s="178"/>
      <c r="R401" s="178"/>
      <c r="S401" s="173" t="s">
        <v>167</v>
      </c>
      <c r="T401" s="173" t="s">
        <v>66</v>
      </c>
      <c r="U401" s="173" t="s">
        <v>67</v>
      </c>
      <c r="V401" s="173" t="s">
        <v>84</v>
      </c>
      <c r="W401" s="179"/>
      <c r="X401" s="179"/>
      <c r="Y401" s="179"/>
      <c r="Z401" s="179"/>
      <c r="AA401" s="180">
        <v>7280.0</v>
      </c>
      <c r="AB401" s="180">
        <v>0.0</v>
      </c>
      <c r="AC401" s="24" t="s">
        <v>1341</v>
      </c>
      <c r="AD401" s="81">
        <v>4031.0</v>
      </c>
      <c r="AE401" s="82" t="s">
        <v>721</v>
      </c>
      <c r="AF401" s="173" t="str">
        <f t="shared" si="1"/>
        <v>Buenos Aires, Argentina</v>
      </c>
      <c r="AG401" s="173">
        <f t="shared" si="2"/>
        <v>2</v>
      </c>
      <c r="AH401" s="181">
        <f t="shared" si="3"/>
        <v>0</v>
      </c>
      <c r="AI401" s="181">
        <f t="shared" si="4"/>
        <v>0</v>
      </c>
      <c r="AJ401" s="180">
        <f t="shared" si="5"/>
        <v>7280</v>
      </c>
      <c r="AK401" s="180">
        <f t="shared" si="6"/>
        <v>7280</v>
      </c>
      <c r="AL401" s="182"/>
      <c r="AM401" s="182"/>
    </row>
    <row r="402">
      <c r="A402" s="173">
        <v>401.0</v>
      </c>
      <c r="B402" s="174">
        <v>44118.0</v>
      </c>
      <c r="C402" s="17">
        <v>102020.0</v>
      </c>
      <c r="D402" s="175" t="s">
        <v>118</v>
      </c>
      <c r="E402" s="173" t="s">
        <v>38</v>
      </c>
      <c r="F402" s="175" t="s">
        <v>71</v>
      </c>
      <c r="G402" s="173" t="s">
        <v>64</v>
      </c>
      <c r="H402" s="173" t="s">
        <v>41</v>
      </c>
      <c r="I402" s="173" t="s">
        <v>643</v>
      </c>
      <c r="J402" s="177">
        <v>1.0</v>
      </c>
      <c r="K402" s="176"/>
      <c r="L402" s="176"/>
      <c r="M402" s="176"/>
      <c r="N402" s="176"/>
      <c r="O402" s="176"/>
      <c r="P402" s="176"/>
      <c r="Q402" s="178"/>
      <c r="R402" s="178"/>
      <c r="S402" s="173" t="s">
        <v>65</v>
      </c>
      <c r="T402" s="173" t="s">
        <v>66</v>
      </c>
      <c r="U402" s="173" t="s">
        <v>67</v>
      </c>
      <c r="V402" s="173" t="s">
        <v>84</v>
      </c>
      <c r="W402" s="179"/>
      <c r="X402" s="179"/>
      <c r="Y402" s="179"/>
      <c r="Z402" s="179"/>
      <c r="AA402" s="180">
        <v>6590.0</v>
      </c>
      <c r="AB402" s="180">
        <v>0.0</v>
      </c>
      <c r="AC402" s="24" t="s">
        <v>1342</v>
      </c>
      <c r="AD402" s="81">
        <v>4549.0</v>
      </c>
      <c r="AE402" s="82" t="s">
        <v>1343</v>
      </c>
      <c r="AF402" s="173" t="str">
        <f t="shared" si="1"/>
        <v>Buenos Aires, Argentina</v>
      </c>
      <c r="AG402" s="173">
        <f t="shared" si="2"/>
        <v>1</v>
      </c>
      <c r="AH402" s="181">
        <f t="shared" si="3"/>
        <v>0</v>
      </c>
      <c r="AI402" s="181">
        <f t="shared" si="4"/>
        <v>0</v>
      </c>
      <c r="AJ402" s="180">
        <f t="shared" si="5"/>
        <v>6590</v>
      </c>
      <c r="AK402" s="180">
        <f t="shared" si="6"/>
        <v>6590</v>
      </c>
      <c r="AL402" s="182"/>
      <c r="AM402" s="182"/>
    </row>
    <row r="403">
      <c r="A403" s="173">
        <v>402.0</v>
      </c>
      <c r="B403" s="174">
        <v>44119.0</v>
      </c>
      <c r="C403" s="17">
        <v>102020.0</v>
      </c>
      <c r="D403" s="175" t="s">
        <v>1197</v>
      </c>
      <c r="E403" s="173" t="s">
        <v>38</v>
      </c>
      <c r="F403" s="175" t="s">
        <v>71</v>
      </c>
      <c r="G403" s="173" t="s">
        <v>64</v>
      </c>
      <c r="H403" s="173" t="s">
        <v>547</v>
      </c>
      <c r="I403" s="173" t="s">
        <v>42</v>
      </c>
      <c r="J403" s="177">
        <v>1.0</v>
      </c>
      <c r="K403" s="176"/>
      <c r="L403" s="176"/>
      <c r="M403" s="176"/>
      <c r="N403" s="176"/>
      <c r="O403" s="176"/>
      <c r="P403" s="176"/>
      <c r="Q403" s="178"/>
      <c r="R403" s="178"/>
      <c r="S403" s="173" t="s">
        <v>167</v>
      </c>
      <c r="T403" s="173" t="s">
        <v>66</v>
      </c>
      <c r="U403" s="173" t="s">
        <v>67</v>
      </c>
      <c r="V403" s="173" t="s">
        <v>78</v>
      </c>
      <c r="W403" s="179"/>
      <c r="X403" s="179"/>
      <c r="Y403" s="179"/>
      <c r="Z403" s="179"/>
      <c r="AA403" s="180">
        <v>3120.0</v>
      </c>
      <c r="AB403" s="180">
        <v>7800.0</v>
      </c>
      <c r="AC403" s="24" t="s">
        <v>1344</v>
      </c>
      <c r="AD403" s="81">
        <v>4551.0</v>
      </c>
      <c r="AE403" s="27" t="s">
        <v>1345</v>
      </c>
      <c r="AF403" s="173" t="str">
        <f t="shared" si="1"/>
        <v>Buenos Aires, Argentina</v>
      </c>
      <c r="AG403" s="173">
        <f t="shared" si="2"/>
        <v>1</v>
      </c>
      <c r="AH403" s="181">
        <f t="shared" si="3"/>
        <v>0</v>
      </c>
      <c r="AI403" s="181">
        <f t="shared" si="4"/>
        <v>0</v>
      </c>
      <c r="AJ403" s="180">
        <f t="shared" si="5"/>
        <v>10920</v>
      </c>
      <c r="AK403" s="180">
        <f t="shared" si="6"/>
        <v>10920</v>
      </c>
      <c r="AL403" s="182"/>
      <c r="AM403" s="182"/>
    </row>
    <row r="404">
      <c r="A404" s="173">
        <v>403.0</v>
      </c>
      <c r="B404" s="174">
        <v>44119.0</v>
      </c>
      <c r="C404" s="17">
        <v>102020.0</v>
      </c>
      <c r="D404" s="175" t="s">
        <v>1346</v>
      </c>
      <c r="E404" s="173" t="s">
        <v>38</v>
      </c>
      <c r="F404" s="175" t="s">
        <v>1347</v>
      </c>
      <c r="G404" s="173" t="s">
        <v>40</v>
      </c>
      <c r="H404" s="173" t="s">
        <v>41</v>
      </c>
      <c r="I404" s="173" t="s">
        <v>42</v>
      </c>
      <c r="J404" s="177">
        <v>6.0</v>
      </c>
      <c r="K404" s="176"/>
      <c r="L404" s="176"/>
      <c r="M404" s="177">
        <v>1.0</v>
      </c>
      <c r="N404" s="176"/>
      <c r="O404" s="177">
        <v>1.0</v>
      </c>
      <c r="P404" s="176"/>
      <c r="Q404" s="178"/>
      <c r="R404" s="178"/>
      <c r="S404" s="173" t="s">
        <v>43</v>
      </c>
      <c r="T404" s="173" t="s">
        <v>58</v>
      </c>
      <c r="U404" s="173" t="s">
        <v>163</v>
      </c>
      <c r="V404" s="173" t="s">
        <v>217</v>
      </c>
      <c r="W404" s="179"/>
      <c r="X404" s="179"/>
      <c r="Y404" s="179"/>
      <c r="Z404" s="179"/>
      <c r="AA404" s="180">
        <v>38480.0</v>
      </c>
      <c r="AB404" s="180">
        <v>153920.0</v>
      </c>
      <c r="AC404" s="24" t="s">
        <v>1348</v>
      </c>
      <c r="AD404" s="81">
        <v>4553.0</v>
      </c>
      <c r="AE404" s="82" t="s">
        <v>1349</v>
      </c>
      <c r="AF404" s="173" t="str">
        <f t="shared" si="1"/>
        <v>Córdoba, Argentina</v>
      </c>
      <c r="AG404" s="173">
        <f t="shared" si="2"/>
        <v>8</v>
      </c>
      <c r="AH404" s="181">
        <f t="shared" si="3"/>
        <v>0</v>
      </c>
      <c r="AI404" s="181">
        <f t="shared" si="4"/>
        <v>0</v>
      </c>
      <c r="AJ404" s="180">
        <f t="shared" si="5"/>
        <v>192400</v>
      </c>
      <c r="AK404" s="180">
        <f t="shared" si="6"/>
        <v>192400</v>
      </c>
      <c r="AL404" s="182"/>
      <c r="AM404" s="182"/>
    </row>
    <row r="405">
      <c r="A405" s="173">
        <v>404.0</v>
      </c>
      <c r="B405" s="174">
        <v>44124.0</v>
      </c>
      <c r="C405" s="17">
        <v>102020.0</v>
      </c>
      <c r="D405" s="175" t="s">
        <v>1350</v>
      </c>
      <c r="E405" s="173" t="s">
        <v>38</v>
      </c>
      <c r="F405" s="175" t="s">
        <v>1351</v>
      </c>
      <c r="G405" s="173" t="s">
        <v>40</v>
      </c>
      <c r="H405" s="173" t="s">
        <v>41</v>
      </c>
      <c r="I405" s="173" t="s">
        <v>42</v>
      </c>
      <c r="J405" s="177">
        <v>1.0</v>
      </c>
      <c r="K405" s="177">
        <v>1.0</v>
      </c>
      <c r="L405" s="176"/>
      <c r="M405" s="176"/>
      <c r="N405" s="176"/>
      <c r="O405" s="176"/>
      <c r="P405" s="176"/>
      <c r="Q405" s="178"/>
      <c r="R405" s="178"/>
      <c r="S405" s="173" t="s">
        <v>114</v>
      </c>
      <c r="T405" s="173" t="s">
        <v>66</v>
      </c>
      <c r="U405" s="173" t="s">
        <v>163</v>
      </c>
      <c r="V405" s="173" t="s">
        <v>78</v>
      </c>
      <c r="W405" s="179"/>
      <c r="X405" s="179"/>
      <c r="Y405" s="179"/>
      <c r="Z405" s="179"/>
      <c r="AA405" s="180">
        <v>8632.0</v>
      </c>
      <c r="AB405" s="180">
        <v>43160.0</v>
      </c>
      <c r="AC405" s="24" t="s">
        <v>1352</v>
      </c>
      <c r="AD405" s="17">
        <v>4559.0</v>
      </c>
      <c r="AE405" s="27" t="s">
        <v>1353</v>
      </c>
      <c r="AF405" s="173" t="str">
        <f t="shared" si="1"/>
        <v>Buenos Aires, Argentina</v>
      </c>
      <c r="AG405" s="173">
        <f t="shared" si="2"/>
        <v>2</v>
      </c>
      <c r="AH405" s="181">
        <f t="shared" si="3"/>
        <v>0</v>
      </c>
      <c r="AI405" s="181">
        <f t="shared" si="4"/>
        <v>0</v>
      </c>
      <c r="AJ405" s="180">
        <f t="shared" si="5"/>
        <v>51792</v>
      </c>
      <c r="AK405" s="180">
        <f t="shared" si="6"/>
        <v>51792</v>
      </c>
      <c r="AL405" s="182"/>
      <c r="AM405" s="182"/>
    </row>
    <row r="406">
      <c r="A406" s="173">
        <v>405.0</v>
      </c>
      <c r="B406" s="174">
        <v>44125.0</v>
      </c>
      <c r="C406" s="17">
        <v>102020.0</v>
      </c>
      <c r="D406" s="175" t="s">
        <v>1354</v>
      </c>
      <c r="E406" s="173" t="s">
        <v>38</v>
      </c>
      <c r="F406" s="175" t="s">
        <v>1281</v>
      </c>
      <c r="G406" s="173" t="s">
        <v>64</v>
      </c>
      <c r="H406" s="173" t="s">
        <v>41</v>
      </c>
      <c r="I406" s="173" t="s">
        <v>643</v>
      </c>
      <c r="J406" s="176"/>
      <c r="K406" s="176"/>
      <c r="L406" s="176"/>
      <c r="M406" s="177">
        <v>1.0</v>
      </c>
      <c r="N406" s="176"/>
      <c r="O406" s="176"/>
      <c r="P406" s="176"/>
      <c r="Q406" s="178"/>
      <c r="R406" s="178"/>
      <c r="S406" s="173" t="s">
        <v>65</v>
      </c>
      <c r="T406" s="173" t="s">
        <v>66</v>
      </c>
      <c r="U406" s="173" t="s">
        <v>99</v>
      </c>
      <c r="V406" s="173" t="s">
        <v>84</v>
      </c>
      <c r="W406" s="179"/>
      <c r="X406" s="179"/>
      <c r="Y406" s="179"/>
      <c r="Z406" s="179"/>
      <c r="AA406" s="180">
        <v>5200.0</v>
      </c>
      <c r="AB406" s="180">
        <v>26000.0</v>
      </c>
      <c r="AC406" s="24" t="s">
        <v>1355</v>
      </c>
      <c r="AD406" s="17">
        <v>4563.0</v>
      </c>
      <c r="AE406" s="27" t="s">
        <v>1356</v>
      </c>
      <c r="AF406" s="173" t="str">
        <f t="shared" si="1"/>
        <v>Buenos Aires, Argentina</v>
      </c>
      <c r="AG406" s="173">
        <f t="shared" si="2"/>
        <v>1</v>
      </c>
      <c r="AH406" s="181">
        <f t="shared" si="3"/>
        <v>0</v>
      </c>
      <c r="AI406" s="181">
        <f t="shared" si="4"/>
        <v>0</v>
      </c>
      <c r="AJ406" s="180">
        <f t="shared" si="5"/>
        <v>31200</v>
      </c>
      <c r="AK406" s="180">
        <f t="shared" si="6"/>
        <v>31200</v>
      </c>
      <c r="AL406" s="182"/>
      <c r="AM406" s="182"/>
    </row>
    <row r="407">
      <c r="A407" s="173">
        <v>406.0</v>
      </c>
      <c r="B407" s="174">
        <v>44126.0</v>
      </c>
      <c r="C407" s="17">
        <v>102020.0</v>
      </c>
      <c r="D407" s="175" t="s">
        <v>1050</v>
      </c>
      <c r="E407" s="173" t="s">
        <v>38</v>
      </c>
      <c r="F407" s="175" t="s">
        <v>1357</v>
      </c>
      <c r="G407" s="173" t="s">
        <v>64</v>
      </c>
      <c r="H407" s="173" t="s">
        <v>547</v>
      </c>
      <c r="I407" s="173" t="s">
        <v>42</v>
      </c>
      <c r="J407" s="176"/>
      <c r="K407" s="176"/>
      <c r="L407" s="176"/>
      <c r="M407" s="176"/>
      <c r="N407" s="176"/>
      <c r="O407" s="176"/>
      <c r="P407" s="177">
        <v>1.0</v>
      </c>
      <c r="Q407" s="178"/>
      <c r="R407" s="178"/>
      <c r="S407" s="173" t="s">
        <v>51</v>
      </c>
      <c r="T407" s="173" t="s">
        <v>839</v>
      </c>
      <c r="U407" s="173" t="s">
        <v>67</v>
      </c>
      <c r="V407" s="173" t="s">
        <v>78</v>
      </c>
      <c r="W407" s="179"/>
      <c r="X407" s="179"/>
      <c r="Y407" s="179"/>
      <c r="Z407" s="179"/>
      <c r="AA407" s="180">
        <v>1248.0</v>
      </c>
      <c r="AB407" s="180">
        <v>0.0</v>
      </c>
      <c r="AC407" s="24" t="s">
        <v>1358</v>
      </c>
      <c r="AD407" s="17">
        <v>4329.0</v>
      </c>
      <c r="AE407" s="27" t="s">
        <v>1052</v>
      </c>
      <c r="AF407" s="173" t="str">
        <f t="shared" si="1"/>
        <v>Neuquén, Argentina</v>
      </c>
      <c r="AG407" s="173">
        <f t="shared" si="2"/>
        <v>1</v>
      </c>
      <c r="AH407" s="181">
        <f t="shared" si="3"/>
        <v>0</v>
      </c>
      <c r="AI407" s="181">
        <f t="shared" si="4"/>
        <v>0</v>
      </c>
      <c r="AJ407" s="180">
        <f t="shared" si="5"/>
        <v>1248</v>
      </c>
      <c r="AK407" s="180">
        <f t="shared" si="6"/>
        <v>1248</v>
      </c>
      <c r="AL407" s="182"/>
      <c r="AM407" s="182"/>
    </row>
    <row r="408">
      <c r="A408" s="173">
        <v>407.0</v>
      </c>
      <c r="B408" s="174">
        <v>44126.0</v>
      </c>
      <c r="C408" s="17">
        <v>102020.0</v>
      </c>
      <c r="D408" s="175" t="s">
        <v>1359</v>
      </c>
      <c r="E408" s="173" t="s">
        <v>38</v>
      </c>
      <c r="F408" s="175" t="s">
        <v>1351</v>
      </c>
      <c r="G408" s="173" t="s">
        <v>64</v>
      </c>
      <c r="H408" s="173" t="s">
        <v>41</v>
      </c>
      <c r="I408" s="173" t="s">
        <v>643</v>
      </c>
      <c r="J408" s="177">
        <v>1.0</v>
      </c>
      <c r="K408" s="177">
        <v>1.0</v>
      </c>
      <c r="L408" s="176"/>
      <c r="M408" s="176"/>
      <c r="N408" s="176"/>
      <c r="O408" s="176"/>
      <c r="P408" s="176"/>
      <c r="Q408" s="178"/>
      <c r="R408" s="178"/>
      <c r="S408" s="173" t="s">
        <v>65</v>
      </c>
      <c r="T408" s="173" t="s">
        <v>66</v>
      </c>
      <c r="U408" s="173" t="s">
        <v>67</v>
      </c>
      <c r="V408" s="173" t="s">
        <v>84</v>
      </c>
      <c r="W408" s="179"/>
      <c r="X408" s="179"/>
      <c r="Y408" s="179"/>
      <c r="Z408" s="179"/>
      <c r="AA408" s="180">
        <v>11313.0</v>
      </c>
      <c r="AB408" s="180">
        <v>43160.0</v>
      </c>
      <c r="AC408" s="24" t="s">
        <v>1355</v>
      </c>
      <c r="AD408" s="17">
        <v>4567.0</v>
      </c>
      <c r="AE408" s="27" t="s">
        <v>1360</v>
      </c>
      <c r="AF408" s="173" t="str">
        <f t="shared" si="1"/>
        <v>Buenos Aires, Argentina</v>
      </c>
      <c r="AG408" s="173">
        <f t="shared" si="2"/>
        <v>2</v>
      </c>
      <c r="AH408" s="181">
        <f t="shared" si="3"/>
        <v>0</v>
      </c>
      <c r="AI408" s="181">
        <f t="shared" si="4"/>
        <v>0</v>
      </c>
      <c r="AJ408" s="180">
        <f t="shared" si="5"/>
        <v>54473</v>
      </c>
      <c r="AK408" s="180">
        <f t="shared" si="6"/>
        <v>54473</v>
      </c>
      <c r="AL408" s="182"/>
      <c r="AM408" s="182"/>
    </row>
    <row r="409">
      <c r="A409" s="173">
        <v>408.0</v>
      </c>
      <c r="B409" s="174">
        <v>44127.0</v>
      </c>
      <c r="C409" s="17">
        <v>102020.0</v>
      </c>
      <c r="D409" s="175" t="s">
        <v>1361</v>
      </c>
      <c r="E409" s="173" t="s">
        <v>38</v>
      </c>
      <c r="F409" s="175" t="s">
        <v>77</v>
      </c>
      <c r="G409" s="173" t="s">
        <v>64</v>
      </c>
      <c r="H409" s="173" t="s">
        <v>41</v>
      </c>
      <c r="I409" s="173" t="s">
        <v>643</v>
      </c>
      <c r="J409" s="176"/>
      <c r="K409" s="177">
        <v>1.0</v>
      </c>
      <c r="L409" s="176"/>
      <c r="M409" s="176"/>
      <c r="N409" s="176"/>
      <c r="O409" s="176"/>
      <c r="P409" s="176"/>
      <c r="Q409" s="178"/>
      <c r="R409" s="178"/>
      <c r="S409" s="173" t="s">
        <v>114</v>
      </c>
      <c r="T409" s="173" t="s">
        <v>83</v>
      </c>
      <c r="U409" s="173" t="s">
        <v>67</v>
      </c>
      <c r="V409" s="173" t="s">
        <v>84</v>
      </c>
      <c r="W409" s="179"/>
      <c r="X409" s="179"/>
      <c r="Y409" s="179"/>
      <c r="Z409" s="179"/>
      <c r="AA409" s="180">
        <v>3432.0</v>
      </c>
      <c r="AB409" s="180">
        <v>17160.0</v>
      </c>
      <c r="AC409" s="24" t="s">
        <v>1362</v>
      </c>
      <c r="AD409" s="17">
        <v>4571.0</v>
      </c>
      <c r="AE409" s="27" t="s">
        <v>1363</v>
      </c>
      <c r="AF409" s="173" t="str">
        <f t="shared" si="1"/>
        <v>Capital Federal, Argentina</v>
      </c>
      <c r="AG409" s="173">
        <f t="shared" si="2"/>
        <v>1</v>
      </c>
      <c r="AH409" s="181">
        <f t="shared" si="3"/>
        <v>0</v>
      </c>
      <c r="AI409" s="181">
        <f t="shared" si="4"/>
        <v>0</v>
      </c>
      <c r="AJ409" s="180">
        <f t="shared" si="5"/>
        <v>20592</v>
      </c>
      <c r="AK409" s="180">
        <f t="shared" si="6"/>
        <v>20592</v>
      </c>
      <c r="AL409" s="182"/>
      <c r="AM409" s="182"/>
    </row>
    <row r="410">
      <c r="A410" s="173">
        <v>409.0</v>
      </c>
      <c r="B410" s="174">
        <v>44127.0</v>
      </c>
      <c r="C410" s="17">
        <v>102020.0</v>
      </c>
      <c r="D410" s="175" t="s">
        <v>1364</v>
      </c>
      <c r="E410" s="173" t="s">
        <v>38</v>
      </c>
      <c r="F410" s="175" t="s">
        <v>1365</v>
      </c>
      <c r="G410" s="173" t="s">
        <v>64</v>
      </c>
      <c r="H410" s="173" t="s">
        <v>41</v>
      </c>
      <c r="I410" s="173" t="s">
        <v>643</v>
      </c>
      <c r="J410" s="176"/>
      <c r="K410" s="176"/>
      <c r="L410" s="176"/>
      <c r="M410" s="176"/>
      <c r="N410" s="176"/>
      <c r="O410" s="176"/>
      <c r="P410" s="176"/>
      <c r="Q410" s="178"/>
      <c r="R410" s="178"/>
      <c r="S410" s="173" t="s">
        <v>89</v>
      </c>
      <c r="T410" s="173" t="s">
        <v>66</v>
      </c>
      <c r="U410" s="173" t="s">
        <v>67</v>
      </c>
      <c r="V410" s="173" t="s">
        <v>84</v>
      </c>
      <c r="W410" s="179"/>
      <c r="X410" s="180">
        <v>429000.0</v>
      </c>
      <c r="Y410" s="179"/>
      <c r="Z410" s="179"/>
      <c r="AA410" s="180">
        <v>0.0</v>
      </c>
      <c r="AB410" s="180">
        <v>0.0</v>
      </c>
      <c r="AC410" s="24" t="s">
        <v>1366</v>
      </c>
      <c r="AD410" s="17">
        <v>4557.0</v>
      </c>
      <c r="AE410" s="27" t="s">
        <v>1367</v>
      </c>
      <c r="AF410" s="173" t="str">
        <f t="shared" si="1"/>
        <v>Buenos Aires, Argentina</v>
      </c>
      <c r="AG410" s="173">
        <f t="shared" si="2"/>
        <v>0</v>
      </c>
      <c r="AH410" s="181">
        <f t="shared" si="3"/>
        <v>429000</v>
      </c>
      <c r="AI410" s="181">
        <f t="shared" si="4"/>
        <v>0</v>
      </c>
      <c r="AJ410" s="180">
        <f t="shared" si="5"/>
        <v>0</v>
      </c>
      <c r="AK410" s="180">
        <f t="shared" si="6"/>
        <v>429000</v>
      </c>
      <c r="AL410" s="182"/>
      <c r="AM410" s="182"/>
    </row>
    <row r="411">
      <c r="A411" s="173">
        <v>410.0</v>
      </c>
      <c r="B411" s="174">
        <v>44130.0</v>
      </c>
      <c r="C411" s="17">
        <v>102020.0</v>
      </c>
      <c r="D411" s="175" t="s">
        <v>1368</v>
      </c>
      <c r="E411" s="173" t="s">
        <v>1369</v>
      </c>
      <c r="F411" s="175" t="s">
        <v>1370</v>
      </c>
      <c r="G411" s="173" t="s">
        <v>64</v>
      </c>
      <c r="H411" s="173" t="s">
        <v>41</v>
      </c>
      <c r="I411" s="173" t="s">
        <v>42</v>
      </c>
      <c r="J411" s="176"/>
      <c r="K411" s="176"/>
      <c r="L411" s="176"/>
      <c r="M411" s="176"/>
      <c r="N411" s="176"/>
      <c r="O411" s="176"/>
      <c r="P411" s="176"/>
      <c r="Q411" s="178"/>
      <c r="R411" s="173">
        <v>3.0</v>
      </c>
      <c r="S411" s="173" t="s">
        <v>72</v>
      </c>
      <c r="T411" s="173" t="s">
        <v>66</v>
      </c>
      <c r="U411" s="173" t="s">
        <v>99</v>
      </c>
      <c r="V411" s="173" t="s">
        <v>78</v>
      </c>
      <c r="W411" s="179"/>
      <c r="X411" s="179"/>
      <c r="Y411" s="179"/>
      <c r="Z411" s="180">
        <v>12480.0</v>
      </c>
      <c r="AA411" s="180">
        <v>0.0</v>
      </c>
      <c r="AB411" s="180">
        <v>0.0</v>
      </c>
      <c r="AC411" s="24" t="s">
        <v>1371</v>
      </c>
      <c r="AD411" s="17">
        <v>4573.0</v>
      </c>
      <c r="AE411" s="27" t="s">
        <v>1372</v>
      </c>
      <c r="AF411" s="173" t="str">
        <f t="shared" si="1"/>
        <v>Buenos Aires, Argentina</v>
      </c>
      <c r="AG411" s="173">
        <f t="shared" si="2"/>
        <v>0</v>
      </c>
      <c r="AH411" s="181">
        <f t="shared" si="3"/>
        <v>0</v>
      </c>
      <c r="AI411" s="181">
        <f t="shared" si="4"/>
        <v>12480</v>
      </c>
      <c r="AJ411" s="180">
        <f t="shared" si="5"/>
        <v>0</v>
      </c>
      <c r="AK411" s="180">
        <f t="shared" si="6"/>
        <v>12480</v>
      </c>
      <c r="AL411" s="182"/>
      <c r="AM411" s="182"/>
    </row>
    <row r="412">
      <c r="A412" s="173">
        <v>411.0</v>
      </c>
      <c r="B412" s="174">
        <v>44130.0</v>
      </c>
      <c r="C412" s="17">
        <v>102020.0</v>
      </c>
      <c r="D412" s="175" t="s">
        <v>1200</v>
      </c>
      <c r="E412" s="173" t="s">
        <v>38</v>
      </c>
      <c r="F412" s="175" t="s">
        <v>1351</v>
      </c>
      <c r="G412" s="173" t="s">
        <v>64</v>
      </c>
      <c r="H412" s="173" t="s">
        <v>41</v>
      </c>
      <c r="I412" s="173" t="s">
        <v>42</v>
      </c>
      <c r="J412" s="177">
        <v>1.0</v>
      </c>
      <c r="K412" s="177">
        <v>1.0</v>
      </c>
      <c r="L412" s="176"/>
      <c r="M412" s="176"/>
      <c r="N412" s="176"/>
      <c r="O412" s="176"/>
      <c r="P412" s="176"/>
      <c r="Q412" s="178"/>
      <c r="R412" s="178"/>
      <c r="S412" s="173" t="s">
        <v>105</v>
      </c>
      <c r="T412" s="173" t="s">
        <v>66</v>
      </c>
      <c r="U412" s="173" t="s">
        <v>67</v>
      </c>
      <c r="V412" s="173" t="s">
        <v>59</v>
      </c>
      <c r="W412" s="179"/>
      <c r="X412" s="179"/>
      <c r="Y412" s="179"/>
      <c r="Z412" s="179"/>
      <c r="AA412" s="180">
        <v>8632.0</v>
      </c>
      <c r="AB412" s="180">
        <v>34528.0</v>
      </c>
      <c r="AC412" s="24" t="s">
        <v>1373</v>
      </c>
      <c r="AD412" s="17">
        <v>31905.0</v>
      </c>
      <c r="AE412" s="27" t="s">
        <v>1374</v>
      </c>
      <c r="AF412" s="173" t="str">
        <f t="shared" si="1"/>
        <v>Buenos Aires, Argentina</v>
      </c>
      <c r="AG412" s="173">
        <f t="shared" si="2"/>
        <v>2</v>
      </c>
      <c r="AH412" s="181">
        <f t="shared" si="3"/>
        <v>0</v>
      </c>
      <c r="AI412" s="181">
        <f t="shared" si="4"/>
        <v>0</v>
      </c>
      <c r="AJ412" s="180">
        <f t="shared" si="5"/>
        <v>43160</v>
      </c>
      <c r="AK412" s="180">
        <f t="shared" si="6"/>
        <v>43160</v>
      </c>
      <c r="AL412" s="182"/>
      <c r="AM412" s="182"/>
    </row>
    <row r="413">
      <c r="A413" s="173">
        <v>412.0</v>
      </c>
      <c r="B413" s="174">
        <v>44131.0</v>
      </c>
      <c r="C413" s="17">
        <v>102020.0</v>
      </c>
      <c r="D413" s="175" t="s">
        <v>1375</v>
      </c>
      <c r="E413" s="173" t="s">
        <v>38</v>
      </c>
      <c r="F413" s="175" t="s">
        <v>284</v>
      </c>
      <c r="G413" s="173" t="s">
        <v>40</v>
      </c>
      <c r="H413" s="173" t="s">
        <v>41</v>
      </c>
      <c r="I413" s="173" t="s">
        <v>42</v>
      </c>
      <c r="J413" s="177">
        <v>2.0</v>
      </c>
      <c r="K413" s="176"/>
      <c r="L413" s="176"/>
      <c r="M413" s="176"/>
      <c r="N413" s="176"/>
      <c r="O413" s="176"/>
      <c r="P413" s="176"/>
      <c r="Q413" s="178"/>
      <c r="R413" s="178"/>
      <c r="S413" s="173" t="s">
        <v>963</v>
      </c>
      <c r="T413" s="173" t="s">
        <v>66</v>
      </c>
      <c r="U413" s="173" t="s">
        <v>342</v>
      </c>
      <c r="V413" s="173" t="s">
        <v>78</v>
      </c>
      <c r="W413" s="179"/>
      <c r="X413" s="179"/>
      <c r="Y413" s="179"/>
      <c r="Z413" s="179"/>
      <c r="AA413" s="180">
        <v>10400.0</v>
      </c>
      <c r="AB413" s="180">
        <v>52000.0</v>
      </c>
      <c r="AC413" s="24" t="s">
        <v>1376</v>
      </c>
      <c r="AD413" s="17">
        <v>4575.0</v>
      </c>
      <c r="AE413" s="27" t="s">
        <v>1377</v>
      </c>
      <c r="AF413" s="173" t="str">
        <f t="shared" si="1"/>
        <v>Buenos Aires, Argentina</v>
      </c>
      <c r="AG413" s="173">
        <f t="shared" si="2"/>
        <v>2</v>
      </c>
      <c r="AH413" s="181">
        <f t="shared" si="3"/>
        <v>0</v>
      </c>
      <c r="AI413" s="181">
        <f t="shared" si="4"/>
        <v>0</v>
      </c>
      <c r="AJ413" s="180">
        <f t="shared" si="5"/>
        <v>62400</v>
      </c>
      <c r="AK413" s="180">
        <f t="shared" si="6"/>
        <v>62400</v>
      </c>
      <c r="AL413" s="182"/>
      <c r="AM413" s="182"/>
    </row>
    <row r="414">
      <c r="A414" s="173">
        <v>413.0</v>
      </c>
      <c r="B414" s="174">
        <v>44131.0</v>
      </c>
      <c r="C414" s="17">
        <v>102020.0</v>
      </c>
      <c r="D414" s="175" t="s">
        <v>1300</v>
      </c>
      <c r="E414" s="173" t="s">
        <v>38</v>
      </c>
      <c r="F414" s="175" t="s">
        <v>284</v>
      </c>
      <c r="G414" s="173" t="s">
        <v>64</v>
      </c>
      <c r="H414" s="173" t="s">
        <v>41</v>
      </c>
      <c r="I414" s="173" t="s">
        <v>643</v>
      </c>
      <c r="J414" s="177">
        <v>2.0</v>
      </c>
      <c r="K414" s="176"/>
      <c r="L414" s="176"/>
      <c r="M414" s="176"/>
      <c r="N414" s="176"/>
      <c r="O414" s="176"/>
      <c r="P414" s="176"/>
      <c r="Q414" s="178"/>
      <c r="R414" s="178"/>
      <c r="S414" s="173" t="s">
        <v>189</v>
      </c>
      <c r="T414" s="173" t="s">
        <v>44</v>
      </c>
      <c r="U414" s="173" t="s">
        <v>1259</v>
      </c>
      <c r="V414" s="173" t="s">
        <v>84</v>
      </c>
      <c r="W414" s="179"/>
      <c r="X414" s="179"/>
      <c r="Y414" s="179"/>
      <c r="Z414" s="179"/>
      <c r="AA414" s="180">
        <v>3536.0</v>
      </c>
      <c r="AB414" s="180">
        <v>42639.0</v>
      </c>
      <c r="AC414" s="24" t="s">
        <v>1378</v>
      </c>
      <c r="AD414" s="17">
        <v>4577.0</v>
      </c>
      <c r="AE414" s="27" t="s">
        <v>1379</v>
      </c>
      <c r="AF414" s="173" t="str">
        <f t="shared" si="1"/>
        <v>Mendoza, Argentina</v>
      </c>
      <c r="AG414" s="173">
        <f t="shared" si="2"/>
        <v>2</v>
      </c>
      <c r="AH414" s="181">
        <f t="shared" si="3"/>
        <v>0</v>
      </c>
      <c r="AI414" s="181">
        <f t="shared" si="4"/>
        <v>0</v>
      </c>
      <c r="AJ414" s="180">
        <f t="shared" si="5"/>
        <v>46175</v>
      </c>
      <c r="AK414" s="180">
        <f t="shared" si="6"/>
        <v>46175</v>
      </c>
      <c r="AL414" s="182"/>
      <c r="AM414" s="182"/>
    </row>
    <row r="415">
      <c r="A415" s="173">
        <v>414.0</v>
      </c>
      <c r="B415" s="174">
        <v>44131.0</v>
      </c>
      <c r="C415" s="17">
        <v>102020.0</v>
      </c>
      <c r="D415" s="175" t="s">
        <v>1300</v>
      </c>
      <c r="E415" s="173" t="s">
        <v>38</v>
      </c>
      <c r="F415" s="175" t="s">
        <v>71</v>
      </c>
      <c r="G415" s="173" t="s">
        <v>64</v>
      </c>
      <c r="H415" s="173" t="s">
        <v>41</v>
      </c>
      <c r="I415" s="173" t="s">
        <v>643</v>
      </c>
      <c r="J415" s="177">
        <v>1.0</v>
      </c>
      <c r="K415" s="176"/>
      <c r="L415" s="176"/>
      <c r="M415" s="176"/>
      <c r="N415" s="176"/>
      <c r="O415" s="176"/>
      <c r="P415" s="176"/>
      <c r="Q415" s="178"/>
      <c r="R415" s="178"/>
      <c r="S415" s="173" t="s">
        <v>189</v>
      </c>
      <c r="T415" s="173" t="s">
        <v>44</v>
      </c>
      <c r="U415" s="173" t="s">
        <v>1259</v>
      </c>
      <c r="V415" s="173" t="s">
        <v>84</v>
      </c>
      <c r="W415" s="179"/>
      <c r="X415" s="179"/>
      <c r="Y415" s="179"/>
      <c r="Z415" s="179"/>
      <c r="AA415" s="180">
        <v>5200.0</v>
      </c>
      <c r="AB415" s="180">
        <v>20800.0</v>
      </c>
      <c r="AC415" s="24" t="s">
        <v>1378</v>
      </c>
      <c r="AD415" s="17">
        <v>4577.0</v>
      </c>
      <c r="AE415" s="27" t="s">
        <v>1379</v>
      </c>
      <c r="AF415" s="173" t="str">
        <f t="shared" si="1"/>
        <v>Mendoza, Argentina</v>
      </c>
      <c r="AG415" s="173">
        <f t="shared" si="2"/>
        <v>1</v>
      </c>
      <c r="AH415" s="181">
        <f t="shared" si="3"/>
        <v>0</v>
      </c>
      <c r="AI415" s="181">
        <f t="shared" si="4"/>
        <v>0</v>
      </c>
      <c r="AJ415" s="180">
        <f t="shared" si="5"/>
        <v>26000</v>
      </c>
      <c r="AK415" s="180">
        <f t="shared" si="6"/>
        <v>26000</v>
      </c>
      <c r="AL415" s="182"/>
      <c r="AM415" s="182"/>
    </row>
    <row r="416">
      <c r="A416" s="173">
        <v>415.0</v>
      </c>
      <c r="B416" s="174">
        <v>44132.0</v>
      </c>
      <c r="C416" s="17">
        <v>102020.0</v>
      </c>
      <c r="D416" s="175" t="s">
        <v>458</v>
      </c>
      <c r="E416" s="173" t="s">
        <v>38</v>
      </c>
      <c r="F416" s="175" t="s">
        <v>1380</v>
      </c>
      <c r="G416" s="173" t="s">
        <v>64</v>
      </c>
      <c r="H416" s="173" t="s">
        <v>41</v>
      </c>
      <c r="I416" s="173" t="s">
        <v>42</v>
      </c>
      <c r="J416" s="177">
        <v>1.0</v>
      </c>
      <c r="K416" s="176"/>
      <c r="L416" s="176"/>
      <c r="M416" s="176"/>
      <c r="N416" s="176"/>
      <c r="O416" s="176"/>
      <c r="P416" s="176"/>
      <c r="Q416" s="178"/>
      <c r="R416" s="178"/>
      <c r="S416" s="173" t="s">
        <v>114</v>
      </c>
      <c r="T416" s="173" t="s">
        <v>83</v>
      </c>
      <c r="U416" s="173" t="s">
        <v>67</v>
      </c>
      <c r="V416" s="173" t="s">
        <v>59</v>
      </c>
      <c r="W416" s="179"/>
      <c r="X416" s="179"/>
      <c r="Y416" s="179"/>
      <c r="Z416" s="179"/>
      <c r="AA416" s="180">
        <v>5200.0</v>
      </c>
      <c r="AB416" s="180">
        <v>20800.0</v>
      </c>
      <c r="AC416" s="24" t="s">
        <v>1381</v>
      </c>
      <c r="AD416" s="17">
        <v>31679.0</v>
      </c>
      <c r="AE416" s="27" t="s">
        <v>1382</v>
      </c>
      <c r="AF416" s="173" t="str">
        <f t="shared" si="1"/>
        <v>Capital Federal, Argentina</v>
      </c>
      <c r="AG416" s="173">
        <f t="shared" si="2"/>
        <v>1</v>
      </c>
      <c r="AH416" s="181">
        <f t="shared" si="3"/>
        <v>0</v>
      </c>
      <c r="AI416" s="181">
        <f t="shared" si="4"/>
        <v>0</v>
      </c>
      <c r="AJ416" s="180">
        <f t="shared" si="5"/>
        <v>26000</v>
      </c>
      <c r="AK416" s="180">
        <f t="shared" si="6"/>
        <v>26000</v>
      </c>
      <c r="AL416" s="182"/>
      <c r="AM416" s="182"/>
    </row>
    <row r="417">
      <c r="A417" s="173">
        <v>416.0</v>
      </c>
      <c r="B417" s="174">
        <v>44132.0</v>
      </c>
      <c r="C417" s="17">
        <v>102020.0</v>
      </c>
      <c r="D417" s="175" t="s">
        <v>1383</v>
      </c>
      <c r="E417" s="173" t="s">
        <v>38</v>
      </c>
      <c r="F417" s="175" t="s">
        <v>1351</v>
      </c>
      <c r="G417" s="173" t="s">
        <v>40</v>
      </c>
      <c r="H417" s="173" t="s">
        <v>547</v>
      </c>
      <c r="I417" s="173" t="s">
        <v>42</v>
      </c>
      <c r="J417" s="177">
        <v>1.0</v>
      </c>
      <c r="K417" s="177">
        <v>1.0</v>
      </c>
      <c r="L417" s="176"/>
      <c r="M417" s="176"/>
      <c r="N417" s="176"/>
      <c r="O417" s="176"/>
      <c r="P417" s="176"/>
      <c r="Q417" s="178"/>
      <c r="R417" s="178"/>
      <c r="S417" s="173" t="s">
        <v>105</v>
      </c>
      <c r="T417" s="173" t="s">
        <v>66</v>
      </c>
      <c r="U417" s="173" t="s">
        <v>45</v>
      </c>
      <c r="V417" s="173" t="s">
        <v>78</v>
      </c>
      <c r="W417" s="179"/>
      <c r="X417" s="179"/>
      <c r="Y417" s="179"/>
      <c r="Z417" s="179"/>
      <c r="AA417" s="180">
        <v>5200.0</v>
      </c>
      <c r="AB417" s="180">
        <v>20800.0</v>
      </c>
      <c r="AC417" s="24" t="s">
        <v>1384</v>
      </c>
      <c r="AD417" s="17">
        <v>4581.0</v>
      </c>
      <c r="AE417" s="27" t="s">
        <v>1385</v>
      </c>
      <c r="AF417" s="173" t="str">
        <f t="shared" si="1"/>
        <v>Buenos Aires, Argentina</v>
      </c>
      <c r="AG417" s="173">
        <f t="shared" si="2"/>
        <v>2</v>
      </c>
      <c r="AH417" s="181">
        <f t="shared" si="3"/>
        <v>0</v>
      </c>
      <c r="AI417" s="181">
        <f t="shared" si="4"/>
        <v>0</v>
      </c>
      <c r="AJ417" s="180">
        <f t="shared" si="5"/>
        <v>26000</v>
      </c>
      <c r="AK417" s="180">
        <f t="shared" si="6"/>
        <v>26000</v>
      </c>
      <c r="AL417" s="182"/>
      <c r="AM417" s="182"/>
    </row>
    <row r="418">
      <c r="A418" s="173">
        <v>417.0</v>
      </c>
      <c r="B418" s="174">
        <v>44132.0</v>
      </c>
      <c r="C418" s="17">
        <v>102020.0</v>
      </c>
      <c r="D418" s="175" t="s">
        <v>1386</v>
      </c>
      <c r="E418" s="173" t="s">
        <v>38</v>
      </c>
      <c r="F418" s="175" t="s">
        <v>1351</v>
      </c>
      <c r="G418" s="173" t="s">
        <v>40</v>
      </c>
      <c r="H418" s="173" t="s">
        <v>41</v>
      </c>
      <c r="I418" s="173" t="s">
        <v>42</v>
      </c>
      <c r="J418" s="177">
        <v>1.0</v>
      </c>
      <c r="K418" s="177">
        <v>1.0</v>
      </c>
      <c r="L418" s="176"/>
      <c r="M418" s="176"/>
      <c r="N418" s="176"/>
      <c r="O418" s="176"/>
      <c r="P418" s="176"/>
      <c r="Q418" s="178"/>
      <c r="R418" s="178"/>
      <c r="S418" s="173" t="s">
        <v>114</v>
      </c>
      <c r="T418" s="173" t="s">
        <v>83</v>
      </c>
      <c r="U418" s="173" t="s">
        <v>45</v>
      </c>
      <c r="V418" s="173" t="s">
        <v>59</v>
      </c>
      <c r="W418" s="179"/>
      <c r="X418" s="179"/>
      <c r="Y418" s="179"/>
      <c r="Z418" s="179"/>
      <c r="AA418" s="180">
        <v>8632.0</v>
      </c>
      <c r="AB418" s="180">
        <v>34528.0</v>
      </c>
      <c r="AC418" s="24" t="s">
        <v>1387</v>
      </c>
      <c r="AD418" s="17">
        <v>30427.0</v>
      </c>
      <c r="AE418" s="27" t="s">
        <v>1388</v>
      </c>
      <c r="AF418" s="173" t="str">
        <f t="shared" si="1"/>
        <v>Capital Federal, Argentina</v>
      </c>
      <c r="AG418" s="173">
        <f t="shared" si="2"/>
        <v>2</v>
      </c>
      <c r="AH418" s="181">
        <f t="shared" si="3"/>
        <v>0</v>
      </c>
      <c r="AI418" s="181">
        <f t="shared" si="4"/>
        <v>0</v>
      </c>
      <c r="AJ418" s="180">
        <f t="shared" si="5"/>
        <v>43160</v>
      </c>
      <c r="AK418" s="180">
        <f t="shared" si="6"/>
        <v>43160</v>
      </c>
      <c r="AL418" s="182"/>
      <c r="AM418" s="182"/>
    </row>
    <row r="419">
      <c r="A419" s="173">
        <v>418.0</v>
      </c>
      <c r="B419" s="174">
        <v>44132.0</v>
      </c>
      <c r="C419" s="17">
        <v>102020.0</v>
      </c>
      <c r="D419" s="175" t="s">
        <v>1389</v>
      </c>
      <c r="E419" s="173" t="s">
        <v>38</v>
      </c>
      <c r="F419" s="175" t="s">
        <v>1390</v>
      </c>
      <c r="G419" s="173" t="s">
        <v>40</v>
      </c>
      <c r="H419" s="173" t="s">
        <v>41</v>
      </c>
      <c r="I419" s="173" t="s">
        <v>643</v>
      </c>
      <c r="J419" s="177">
        <v>3.0</v>
      </c>
      <c r="K419" s="177">
        <v>3.0</v>
      </c>
      <c r="L419" s="176"/>
      <c r="M419" s="177">
        <v>1.0</v>
      </c>
      <c r="N419" s="176"/>
      <c r="O419" s="176"/>
      <c r="P419" s="176"/>
      <c r="Q419" s="178"/>
      <c r="R419" s="178"/>
      <c r="S419" s="173" t="s">
        <v>65</v>
      </c>
      <c r="T419" s="173" t="s">
        <v>83</v>
      </c>
      <c r="U419" s="173" t="s">
        <v>342</v>
      </c>
      <c r="V419" s="173" t="s">
        <v>84</v>
      </c>
      <c r="W419" s="179"/>
      <c r="X419" s="179"/>
      <c r="Y419" s="179"/>
      <c r="Z419" s="179"/>
      <c r="AA419" s="180">
        <v>31096.0</v>
      </c>
      <c r="AB419" s="180">
        <v>155480.0</v>
      </c>
      <c r="AC419" s="24" t="s">
        <v>1391</v>
      </c>
      <c r="AD419" s="17">
        <v>4607.0</v>
      </c>
      <c r="AE419" s="27" t="s">
        <v>1392</v>
      </c>
      <c r="AF419" s="173" t="str">
        <f t="shared" si="1"/>
        <v>Capital Federal, Argentina</v>
      </c>
      <c r="AG419" s="173">
        <f t="shared" si="2"/>
        <v>7</v>
      </c>
      <c r="AH419" s="181">
        <f t="shared" si="3"/>
        <v>0</v>
      </c>
      <c r="AI419" s="181">
        <f t="shared" si="4"/>
        <v>0</v>
      </c>
      <c r="AJ419" s="180">
        <f t="shared" si="5"/>
        <v>186576</v>
      </c>
      <c r="AK419" s="180">
        <f t="shared" si="6"/>
        <v>186576</v>
      </c>
      <c r="AL419" s="182"/>
      <c r="AM419" s="182"/>
    </row>
    <row r="420">
      <c r="A420" s="173">
        <v>419.0</v>
      </c>
      <c r="B420" s="174">
        <v>44132.0</v>
      </c>
      <c r="C420" s="17">
        <v>102020.0</v>
      </c>
      <c r="D420" s="175" t="s">
        <v>1086</v>
      </c>
      <c r="E420" s="173" t="s">
        <v>38</v>
      </c>
      <c r="F420" s="175" t="s">
        <v>1281</v>
      </c>
      <c r="G420" s="173" t="s">
        <v>64</v>
      </c>
      <c r="H420" s="173" t="s">
        <v>41</v>
      </c>
      <c r="I420" s="173" t="s">
        <v>42</v>
      </c>
      <c r="J420" s="176"/>
      <c r="K420" s="176"/>
      <c r="L420" s="176"/>
      <c r="M420" s="177">
        <v>1.0</v>
      </c>
      <c r="N420" s="176"/>
      <c r="O420" s="176"/>
      <c r="P420" s="176"/>
      <c r="Q420" s="178"/>
      <c r="R420" s="178"/>
      <c r="S420" s="173" t="s">
        <v>114</v>
      </c>
      <c r="T420" s="173" t="s">
        <v>148</v>
      </c>
      <c r="U420" s="173" t="s">
        <v>67</v>
      </c>
      <c r="V420" s="173" t="s">
        <v>217</v>
      </c>
      <c r="W420" s="179"/>
      <c r="X420" s="179"/>
      <c r="Y420" s="179"/>
      <c r="Z420" s="179"/>
      <c r="AA420" s="180">
        <v>5200.0</v>
      </c>
      <c r="AB420" s="180">
        <v>0.0</v>
      </c>
      <c r="AC420" s="24" t="s">
        <v>1393</v>
      </c>
      <c r="AD420" s="17">
        <v>28437.0</v>
      </c>
      <c r="AE420" s="27" t="s">
        <v>1088</v>
      </c>
      <c r="AF420" s="173" t="str">
        <f t="shared" si="1"/>
        <v>Formosa, Argentina</v>
      </c>
      <c r="AG420" s="173">
        <f t="shared" si="2"/>
        <v>1</v>
      </c>
      <c r="AH420" s="181">
        <f t="shared" si="3"/>
        <v>0</v>
      </c>
      <c r="AI420" s="181">
        <f t="shared" si="4"/>
        <v>0</v>
      </c>
      <c r="AJ420" s="180">
        <f t="shared" si="5"/>
        <v>5200</v>
      </c>
      <c r="AK420" s="180">
        <f t="shared" si="6"/>
        <v>5200</v>
      </c>
      <c r="AL420" s="182"/>
      <c r="AM420" s="182"/>
    </row>
    <row r="421">
      <c r="A421" s="173">
        <v>420.0</v>
      </c>
      <c r="B421" s="174">
        <v>44132.0</v>
      </c>
      <c r="C421" s="17">
        <v>102020.0</v>
      </c>
      <c r="D421" s="175" t="s">
        <v>1394</v>
      </c>
      <c r="E421" s="173" t="s">
        <v>38</v>
      </c>
      <c r="F421" s="175" t="s">
        <v>1281</v>
      </c>
      <c r="G421" s="173" t="s">
        <v>64</v>
      </c>
      <c r="H421" s="173" t="s">
        <v>547</v>
      </c>
      <c r="I421" s="173" t="s">
        <v>42</v>
      </c>
      <c r="J421" s="176"/>
      <c r="K421" s="176"/>
      <c r="L421" s="176"/>
      <c r="M421" s="177">
        <v>1.0</v>
      </c>
      <c r="N421" s="176"/>
      <c r="O421" s="176"/>
      <c r="P421" s="176"/>
      <c r="Q421" s="178"/>
      <c r="R421" s="178"/>
      <c r="S421" s="173" t="s">
        <v>114</v>
      </c>
      <c r="T421" s="173" t="s">
        <v>66</v>
      </c>
      <c r="U421" s="173" t="s">
        <v>67</v>
      </c>
      <c r="V421" s="173" t="s">
        <v>217</v>
      </c>
      <c r="W421" s="179"/>
      <c r="X421" s="179"/>
      <c r="Y421" s="179"/>
      <c r="Z421" s="179"/>
      <c r="AA421" s="180">
        <v>3120.0</v>
      </c>
      <c r="AB421" s="180">
        <v>0.0</v>
      </c>
      <c r="AC421" s="24" t="s">
        <v>1020</v>
      </c>
      <c r="AD421" s="17">
        <v>28185.0</v>
      </c>
      <c r="AE421" s="27" t="s">
        <v>1021</v>
      </c>
      <c r="AF421" s="173" t="str">
        <f t="shared" si="1"/>
        <v>Buenos Aires, Argentina</v>
      </c>
      <c r="AG421" s="173">
        <f t="shared" si="2"/>
        <v>1</v>
      </c>
      <c r="AH421" s="181">
        <f t="shared" si="3"/>
        <v>0</v>
      </c>
      <c r="AI421" s="181">
        <f t="shared" si="4"/>
        <v>0</v>
      </c>
      <c r="AJ421" s="180">
        <f t="shared" si="5"/>
        <v>3120</v>
      </c>
      <c r="AK421" s="180">
        <f t="shared" si="6"/>
        <v>3120</v>
      </c>
      <c r="AL421" s="182"/>
      <c r="AM421" s="182"/>
    </row>
    <row r="422">
      <c r="A422" s="173">
        <v>421.0</v>
      </c>
      <c r="B422" s="174">
        <v>44132.0</v>
      </c>
      <c r="C422" s="17">
        <v>102020.0</v>
      </c>
      <c r="D422" s="175" t="s">
        <v>1395</v>
      </c>
      <c r="E422" s="173" t="s">
        <v>38</v>
      </c>
      <c r="F422" s="175" t="s">
        <v>1396</v>
      </c>
      <c r="G422" s="173" t="s">
        <v>40</v>
      </c>
      <c r="H422" s="173" t="s">
        <v>41</v>
      </c>
      <c r="I422" s="173" t="s">
        <v>643</v>
      </c>
      <c r="J422" s="177">
        <v>5.0</v>
      </c>
      <c r="K422" s="177">
        <v>4.0</v>
      </c>
      <c r="L422" s="176"/>
      <c r="M422" s="177">
        <v>1.0</v>
      </c>
      <c r="N422" s="177">
        <v>1.0</v>
      </c>
      <c r="O422" s="176"/>
      <c r="P422" s="176"/>
      <c r="Q422" s="178"/>
      <c r="R422" s="178"/>
      <c r="S422" s="173" t="s">
        <v>276</v>
      </c>
      <c r="T422" s="173" t="s">
        <v>66</v>
      </c>
      <c r="U422" s="173" t="s">
        <v>342</v>
      </c>
      <c r="V422" s="173" t="s">
        <v>84</v>
      </c>
      <c r="W422" s="179"/>
      <c r="X422" s="179"/>
      <c r="Y422" s="179"/>
      <c r="Z422" s="179"/>
      <c r="AA422" s="180">
        <v>52208.0</v>
      </c>
      <c r="AB422" s="180">
        <v>236600.0</v>
      </c>
      <c r="AC422" s="24" t="s">
        <v>1397</v>
      </c>
      <c r="AD422" s="17">
        <v>4585.0</v>
      </c>
      <c r="AE422" s="27" t="s">
        <v>1398</v>
      </c>
      <c r="AF422" s="173" t="str">
        <f t="shared" si="1"/>
        <v>Buenos Aires, Argentina</v>
      </c>
      <c r="AG422" s="173">
        <f t="shared" si="2"/>
        <v>11</v>
      </c>
      <c r="AH422" s="181">
        <f t="shared" si="3"/>
        <v>0</v>
      </c>
      <c r="AI422" s="181">
        <f t="shared" si="4"/>
        <v>0</v>
      </c>
      <c r="AJ422" s="180">
        <f t="shared" si="5"/>
        <v>288808</v>
      </c>
      <c r="AK422" s="180">
        <f t="shared" si="6"/>
        <v>288808</v>
      </c>
      <c r="AL422" s="182"/>
      <c r="AM422" s="182"/>
    </row>
    <row r="423">
      <c r="A423" s="173">
        <v>422.0</v>
      </c>
      <c r="B423" s="174">
        <v>44133.0</v>
      </c>
      <c r="C423" s="17">
        <v>102020.0</v>
      </c>
      <c r="D423" s="175" t="s">
        <v>795</v>
      </c>
      <c r="E423" s="173" t="s">
        <v>796</v>
      </c>
      <c r="F423" s="175" t="s">
        <v>1399</v>
      </c>
      <c r="G423" s="173" t="s">
        <v>64</v>
      </c>
      <c r="H423" s="173" t="s">
        <v>41</v>
      </c>
      <c r="I423" s="173" t="s">
        <v>42</v>
      </c>
      <c r="J423" s="176"/>
      <c r="K423" s="177">
        <v>5.0</v>
      </c>
      <c r="L423" s="176"/>
      <c r="M423" s="176"/>
      <c r="N423" s="176"/>
      <c r="O423" s="176"/>
      <c r="P423" s="176"/>
      <c r="Q423" s="178"/>
      <c r="R423" s="178"/>
      <c r="S423" s="173" t="s">
        <v>98</v>
      </c>
      <c r="T423" s="173" t="s">
        <v>66</v>
      </c>
      <c r="U423" s="173" t="s">
        <v>67</v>
      </c>
      <c r="V423" s="173" t="s">
        <v>78</v>
      </c>
      <c r="W423" s="179"/>
      <c r="X423" s="179"/>
      <c r="Y423" s="179"/>
      <c r="Z423" s="179"/>
      <c r="AA423" s="180">
        <v>17160.0</v>
      </c>
      <c r="AB423" s="180">
        <v>68640.0</v>
      </c>
      <c r="AC423" s="24" t="s">
        <v>1400</v>
      </c>
      <c r="AD423" s="17">
        <v>4569.0</v>
      </c>
      <c r="AE423" s="27" t="s">
        <v>1401</v>
      </c>
      <c r="AF423" s="173" t="str">
        <f t="shared" si="1"/>
        <v>Buenos Aires, Argentina</v>
      </c>
      <c r="AG423" s="173">
        <f t="shared" si="2"/>
        <v>5</v>
      </c>
      <c r="AH423" s="181">
        <f t="shared" si="3"/>
        <v>0</v>
      </c>
      <c r="AI423" s="181">
        <f t="shared" si="4"/>
        <v>0</v>
      </c>
      <c r="AJ423" s="180">
        <f t="shared" si="5"/>
        <v>85800</v>
      </c>
      <c r="AK423" s="180">
        <f t="shared" si="6"/>
        <v>85800</v>
      </c>
      <c r="AL423" s="182"/>
      <c r="AM423" s="182"/>
    </row>
    <row r="424">
      <c r="A424" s="173">
        <v>423.0</v>
      </c>
      <c r="B424" s="174">
        <v>44134.0</v>
      </c>
      <c r="C424" s="17">
        <v>102020.0</v>
      </c>
      <c r="D424" s="175" t="s">
        <v>1402</v>
      </c>
      <c r="E424" s="173" t="s">
        <v>38</v>
      </c>
      <c r="F424" s="175" t="s">
        <v>71</v>
      </c>
      <c r="G424" s="173" t="s">
        <v>40</v>
      </c>
      <c r="H424" s="173" t="s">
        <v>547</v>
      </c>
      <c r="I424" s="173" t="s">
        <v>42</v>
      </c>
      <c r="J424" s="177">
        <v>1.0</v>
      </c>
      <c r="K424" s="176"/>
      <c r="L424" s="176"/>
      <c r="M424" s="176"/>
      <c r="N424" s="176"/>
      <c r="O424" s="176"/>
      <c r="P424" s="176"/>
      <c r="Q424" s="178"/>
      <c r="R424" s="178"/>
      <c r="S424" s="173" t="s">
        <v>114</v>
      </c>
      <c r="T424" s="173" t="s">
        <v>66</v>
      </c>
      <c r="U424" s="173" t="s">
        <v>45</v>
      </c>
      <c r="V424" s="173" t="s">
        <v>78</v>
      </c>
      <c r="W424" s="179"/>
      <c r="X424" s="179"/>
      <c r="Y424" s="179"/>
      <c r="Z424" s="179"/>
      <c r="AA424" s="180">
        <v>3120.0</v>
      </c>
      <c r="AB424" s="180">
        <v>7800.0</v>
      </c>
      <c r="AC424" s="24" t="s">
        <v>1403</v>
      </c>
      <c r="AD424" s="17">
        <v>4609.0</v>
      </c>
      <c r="AE424" s="27" t="s">
        <v>1404</v>
      </c>
      <c r="AF424" s="173" t="str">
        <f t="shared" si="1"/>
        <v>Buenos Aires, Argentina</v>
      </c>
      <c r="AG424" s="173">
        <f t="shared" si="2"/>
        <v>1</v>
      </c>
      <c r="AH424" s="181">
        <f t="shared" si="3"/>
        <v>0</v>
      </c>
      <c r="AI424" s="181">
        <f t="shared" si="4"/>
        <v>0</v>
      </c>
      <c r="AJ424" s="180">
        <f t="shared" si="5"/>
        <v>10920</v>
      </c>
      <c r="AK424" s="180">
        <f t="shared" si="6"/>
        <v>10920</v>
      </c>
      <c r="AL424" s="182"/>
      <c r="AM424" s="182"/>
    </row>
    <row r="425">
      <c r="A425" s="173">
        <v>424.0</v>
      </c>
      <c r="B425" s="174">
        <v>44134.0</v>
      </c>
      <c r="C425" s="17">
        <v>102020.0</v>
      </c>
      <c r="D425" s="175" t="s">
        <v>1405</v>
      </c>
      <c r="E425" s="173" t="s">
        <v>38</v>
      </c>
      <c r="F425" s="175" t="s">
        <v>77</v>
      </c>
      <c r="G425" s="173" t="s">
        <v>64</v>
      </c>
      <c r="H425" s="173" t="s">
        <v>41</v>
      </c>
      <c r="I425" s="173" t="s">
        <v>643</v>
      </c>
      <c r="J425" s="176"/>
      <c r="K425" s="177">
        <v>1.0</v>
      </c>
      <c r="L425" s="176"/>
      <c r="M425" s="176"/>
      <c r="N425" s="176"/>
      <c r="O425" s="176"/>
      <c r="P425" s="176"/>
      <c r="Q425" s="178"/>
      <c r="R425" s="178"/>
      <c r="S425" s="173" t="s">
        <v>65</v>
      </c>
      <c r="T425" s="173" t="s">
        <v>66</v>
      </c>
      <c r="U425" s="173" t="s">
        <v>67</v>
      </c>
      <c r="V425" s="173" t="s">
        <v>84</v>
      </c>
      <c r="W425" s="179"/>
      <c r="X425" s="179"/>
      <c r="Y425" s="179"/>
      <c r="Z425" s="179"/>
      <c r="AA425" s="180">
        <v>3582.0</v>
      </c>
      <c r="AB425" s="180">
        <v>17910.0</v>
      </c>
      <c r="AC425" s="24" t="s">
        <v>1406</v>
      </c>
      <c r="AD425" s="17">
        <v>4611.0</v>
      </c>
      <c r="AE425" s="27" t="s">
        <v>1407</v>
      </c>
      <c r="AF425" s="173" t="str">
        <f t="shared" si="1"/>
        <v>Buenos Aires, Argentina</v>
      </c>
      <c r="AG425" s="173">
        <f t="shared" si="2"/>
        <v>1</v>
      </c>
      <c r="AH425" s="181">
        <f t="shared" si="3"/>
        <v>0</v>
      </c>
      <c r="AI425" s="181">
        <f t="shared" si="4"/>
        <v>0</v>
      </c>
      <c r="AJ425" s="180">
        <f t="shared" si="5"/>
        <v>21492</v>
      </c>
      <c r="AK425" s="180">
        <f t="shared" si="6"/>
        <v>21492</v>
      </c>
      <c r="AL425" s="182"/>
      <c r="AM425" s="182"/>
    </row>
    <row r="426">
      <c r="A426" s="173">
        <v>425.0</v>
      </c>
      <c r="B426" s="174">
        <v>44134.0</v>
      </c>
      <c r="C426" s="17">
        <v>102020.0</v>
      </c>
      <c r="D426" s="175" t="s">
        <v>1408</v>
      </c>
      <c r="E426" s="173" t="s">
        <v>38</v>
      </c>
      <c r="F426" s="175" t="s">
        <v>71</v>
      </c>
      <c r="G426" s="173" t="s">
        <v>40</v>
      </c>
      <c r="H426" s="173" t="s">
        <v>41</v>
      </c>
      <c r="I426" s="173" t="s">
        <v>42</v>
      </c>
      <c r="J426" s="177">
        <v>1.0</v>
      </c>
      <c r="K426" s="176"/>
      <c r="L426" s="176"/>
      <c r="M426" s="176"/>
      <c r="N426" s="176"/>
      <c r="O426" s="176"/>
      <c r="P426" s="176"/>
      <c r="Q426" s="178"/>
      <c r="R426" s="178"/>
      <c r="S426" s="173" t="s">
        <v>51</v>
      </c>
      <c r="T426" s="173" t="s">
        <v>83</v>
      </c>
      <c r="U426" s="173" t="s">
        <v>45</v>
      </c>
      <c r="V426" s="173" t="s">
        <v>59</v>
      </c>
      <c r="W426" s="179"/>
      <c r="X426" s="179"/>
      <c r="Y426" s="179"/>
      <c r="Z426" s="179"/>
      <c r="AA426" s="180">
        <v>5200.0</v>
      </c>
      <c r="AB426" s="180">
        <v>20800.0</v>
      </c>
      <c r="AC426" s="24" t="s">
        <v>1409</v>
      </c>
      <c r="AD426" s="17">
        <v>4615.0</v>
      </c>
      <c r="AE426" s="27" t="s">
        <v>1410</v>
      </c>
      <c r="AF426" s="173" t="str">
        <f t="shared" si="1"/>
        <v>Capital Federal, Argentina</v>
      </c>
      <c r="AG426" s="173">
        <f t="shared" si="2"/>
        <v>1</v>
      </c>
      <c r="AH426" s="181">
        <f t="shared" si="3"/>
        <v>0</v>
      </c>
      <c r="AI426" s="181">
        <f t="shared" si="4"/>
        <v>0</v>
      </c>
      <c r="AJ426" s="180">
        <f t="shared" si="5"/>
        <v>26000</v>
      </c>
      <c r="AK426" s="180">
        <f t="shared" si="6"/>
        <v>26000</v>
      </c>
      <c r="AL426" s="182"/>
      <c r="AM426" s="182"/>
    </row>
    <row r="427">
      <c r="A427" s="183">
        <v>426.0</v>
      </c>
      <c r="B427" s="184">
        <v>44138.0</v>
      </c>
      <c r="C427" s="17">
        <v>112020.0</v>
      </c>
      <c r="D427" s="185" t="s">
        <v>1411</v>
      </c>
      <c r="E427" s="183" t="s">
        <v>38</v>
      </c>
      <c r="F427" s="185" t="s">
        <v>1412</v>
      </c>
      <c r="G427" s="183" t="s">
        <v>64</v>
      </c>
      <c r="H427" s="183" t="s">
        <v>227</v>
      </c>
      <c r="I427" s="183" t="s">
        <v>643</v>
      </c>
      <c r="J427" s="186">
        <v>2.0</v>
      </c>
      <c r="K427" s="187"/>
      <c r="L427" s="187"/>
      <c r="M427" s="187"/>
      <c r="N427" s="187"/>
      <c r="O427" s="187"/>
      <c r="P427" s="187"/>
      <c r="Q427" s="188"/>
      <c r="R427" s="188"/>
      <c r="S427" s="183" t="s">
        <v>89</v>
      </c>
      <c r="T427" s="183" t="s">
        <v>83</v>
      </c>
      <c r="U427" s="183" t="s">
        <v>67</v>
      </c>
      <c r="V427" s="183" t="s">
        <v>84</v>
      </c>
      <c r="W427" s="189"/>
      <c r="X427" s="189"/>
      <c r="Y427" s="189"/>
      <c r="Z427" s="189"/>
      <c r="AA427" s="190">
        <v>16282.0</v>
      </c>
      <c r="AB427" s="190">
        <v>130256.0</v>
      </c>
      <c r="AC427" s="24" t="s">
        <v>1413</v>
      </c>
      <c r="AD427" s="17">
        <v>4613.0</v>
      </c>
      <c r="AE427" s="27" t="s">
        <v>1414</v>
      </c>
      <c r="AF427" s="183" t="str">
        <f t="shared" si="1"/>
        <v>Capital Federal, Argentina</v>
      </c>
      <c r="AG427" s="183">
        <f t="shared" si="2"/>
        <v>2</v>
      </c>
      <c r="AH427" s="191">
        <f t="shared" si="3"/>
        <v>0</v>
      </c>
      <c r="AI427" s="191">
        <f t="shared" si="4"/>
        <v>0</v>
      </c>
      <c r="AJ427" s="190">
        <f t="shared" si="5"/>
        <v>146538</v>
      </c>
      <c r="AK427" s="190">
        <f t="shared" si="6"/>
        <v>146538</v>
      </c>
      <c r="AL427" s="192"/>
      <c r="AM427" s="192"/>
    </row>
    <row r="428">
      <c r="A428" s="183">
        <v>427.0</v>
      </c>
      <c r="B428" s="184">
        <v>44139.0</v>
      </c>
      <c r="C428" s="17">
        <v>112020.0</v>
      </c>
      <c r="D428" s="185" t="s">
        <v>874</v>
      </c>
      <c r="E428" s="183" t="s">
        <v>38</v>
      </c>
      <c r="F428" s="185" t="s">
        <v>1415</v>
      </c>
      <c r="G428" s="183" t="s">
        <v>64</v>
      </c>
      <c r="H428" s="183" t="s">
        <v>41</v>
      </c>
      <c r="I428" s="183" t="s">
        <v>643</v>
      </c>
      <c r="J428" s="187"/>
      <c r="K428" s="186">
        <v>1.0</v>
      </c>
      <c r="L428" s="187"/>
      <c r="M428" s="187"/>
      <c r="N428" s="187"/>
      <c r="O428" s="187"/>
      <c r="P428" s="187"/>
      <c r="Q428" s="188"/>
      <c r="R428" s="188"/>
      <c r="S428" s="183" t="s">
        <v>114</v>
      </c>
      <c r="T428" s="183" t="s">
        <v>66</v>
      </c>
      <c r="U428" s="183" t="s">
        <v>67</v>
      </c>
      <c r="V428" s="183" t="s">
        <v>84</v>
      </c>
      <c r="W428" s="189"/>
      <c r="X428" s="189"/>
      <c r="Y428" s="189"/>
      <c r="Z428" s="189"/>
      <c r="AA428" s="190">
        <v>3582.0</v>
      </c>
      <c r="AB428" s="190">
        <v>17910.0</v>
      </c>
      <c r="AC428" s="24" t="s">
        <v>1416</v>
      </c>
      <c r="AD428" s="17">
        <v>4617.0</v>
      </c>
      <c r="AE428" s="27" t="s">
        <v>1417</v>
      </c>
      <c r="AF428" s="183" t="str">
        <f t="shared" si="1"/>
        <v>Buenos Aires, Argentina</v>
      </c>
      <c r="AG428" s="183">
        <f t="shared" si="2"/>
        <v>1</v>
      </c>
      <c r="AH428" s="191">
        <f t="shared" si="3"/>
        <v>0</v>
      </c>
      <c r="AI428" s="191">
        <f t="shared" si="4"/>
        <v>0</v>
      </c>
      <c r="AJ428" s="190">
        <f t="shared" si="5"/>
        <v>21492</v>
      </c>
      <c r="AK428" s="190">
        <f t="shared" si="6"/>
        <v>21492</v>
      </c>
      <c r="AL428" s="192"/>
      <c r="AM428" s="192"/>
    </row>
    <row r="429">
      <c r="A429" s="183">
        <v>428.0</v>
      </c>
      <c r="B429" s="184">
        <v>44140.0</v>
      </c>
      <c r="C429" s="17">
        <v>112020.0</v>
      </c>
      <c r="D429" s="185" t="s">
        <v>1418</v>
      </c>
      <c r="E429" s="183" t="s">
        <v>38</v>
      </c>
      <c r="F429" s="185" t="s">
        <v>1236</v>
      </c>
      <c r="G429" s="183" t="s">
        <v>64</v>
      </c>
      <c r="H429" s="183" t="s">
        <v>41</v>
      </c>
      <c r="I429" s="183" t="s">
        <v>42</v>
      </c>
      <c r="J429" s="187"/>
      <c r="K429" s="187"/>
      <c r="L429" s="187"/>
      <c r="M429" s="186">
        <v>1.0</v>
      </c>
      <c r="N429" s="187"/>
      <c r="O429" s="187"/>
      <c r="P429" s="186">
        <v>1.0</v>
      </c>
      <c r="Q429" s="188"/>
      <c r="R429" s="188"/>
      <c r="S429" s="183" t="s">
        <v>98</v>
      </c>
      <c r="T429" s="183" t="s">
        <v>83</v>
      </c>
      <c r="U429" s="183" t="s">
        <v>45</v>
      </c>
      <c r="V429" s="183" t="s">
        <v>59</v>
      </c>
      <c r="W429" s="189"/>
      <c r="X429" s="189"/>
      <c r="Y429" s="189"/>
      <c r="Z429" s="189"/>
      <c r="AA429" s="190">
        <v>7599.0</v>
      </c>
      <c r="AB429" s="190">
        <v>0.0</v>
      </c>
      <c r="AC429" s="24" t="s">
        <v>1419</v>
      </c>
      <c r="AD429" s="81">
        <v>4601.0</v>
      </c>
      <c r="AE429" s="82" t="s">
        <v>1038</v>
      </c>
      <c r="AF429" s="183" t="str">
        <f t="shared" si="1"/>
        <v>Capital Federal, Argentina</v>
      </c>
      <c r="AG429" s="183">
        <f t="shared" si="2"/>
        <v>2</v>
      </c>
      <c r="AH429" s="191">
        <f t="shared" si="3"/>
        <v>0</v>
      </c>
      <c r="AI429" s="191">
        <f t="shared" si="4"/>
        <v>0</v>
      </c>
      <c r="AJ429" s="190">
        <f t="shared" si="5"/>
        <v>7599</v>
      </c>
      <c r="AK429" s="190">
        <f t="shared" si="6"/>
        <v>7599</v>
      </c>
      <c r="AL429" s="192"/>
      <c r="AM429" s="192"/>
    </row>
    <row r="430">
      <c r="A430" s="183">
        <v>429.0</v>
      </c>
      <c r="B430" s="184">
        <v>44141.0</v>
      </c>
      <c r="C430" s="17">
        <v>112020.0</v>
      </c>
      <c r="D430" s="185" t="s">
        <v>1420</v>
      </c>
      <c r="E430" s="183" t="s">
        <v>38</v>
      </c>
      <c r="F430" s="185" t="s">
        <v>1236</v>
      </c>
      <c r="G430" s="183" t="s">
        <v>64</v>
      </c>
      <c r="H430" s="183" t="s">
        <v>41</v>
      </c>
      <c r="I430" s="183" t="s">
        <v>643</v>
      </c>
      <c r="J430" s="187"/>
      <c r="K430" s="187"/>
      <c r="L430" s="187"/>
      <c r="M430" s="186">
        <v>1.0</v>
      </c>
      <c r="N430" s="187"/>
      <c r="O430" s="187"/>
      <c r="P430" s="186">
        <v>1.0</v>
      </c>
      <c r="Q430" s="188"/>
      <c r="R430" s="188"/>
      <c r="S430" s="183" t="s">
        <v>98</v>
      </c>
      <c r="T430" s="183" t="s">
        <v>83</v>
      </c>
      <c r="U430" s="183" t="s">
        <v>67</v>
      </c>
      <c r="V430" s="183" t="s">
        <v>84</v>
      </c>
      <c r="W430" s="189"/>
      <c r="X430" s="189"/>
      <c r="Y430" s="189"/>
      <c r="Z430" s="189"/>
      <c r="AA430" s="190">
        <v>7599.0</v>
      </c>
      <c r="AB430" s="190">
        <v>0.0</v>
      </c>
      <c r="AC430" s="24" t="s">
        <v>1421</v>
      </c>
      <c r="AD430" s="81">
        <v>4309.0</v>
      </c>
      <c r="AE430" s="82" t="s">
        <v>996</v>
      </c>
      <c r="AF430" s="183" t="str">
        <f t="shared" si="1"/>
        <v>Capital Federal, Argentina</v>
      </c>
      <c r="AG430" s="183">
        <f t="shared" si="2"/>
        <v>2</v>
      </c>
      <c r="AH430" s="191">
        <f t="shared" si="3"/>
        <v>0</v>
      </c>
      <c r="AI430" s="191">
        <f t="shared" si="4"/>
        <v>0</v>
      </c>
      <c r="AJ430" s="190">
        <f t="shared" si="5"/>
        <v>7599</v>
      </c>
      <c r="AK430" s="190">
        <f t="shared" si="6"/>
        <v>7599</v>
      </c>
      <c r="AL430" s="192"/>
      <c r="AM430" s="192"/>
    </row>
    <row r="431">
      <c r="A431" s="183">
        <v>430.0</v>
      </c>
      <c r="B431" s="184">
        <v>44145.0</v>
      </c>
      <c r="C431" s="17">
        <v>112020.0</v>
      </c>
      <c r="D431" s="185" t="s">
        <v>1422</v>
      </c>
      <c r="E431" s="183" t="s">
        <v>38</v>
      </c>
      <c r="F431" s="185" t="s">
        <v>1423</v>
      </c>
      <c r="G431" s="183" t="s">
        <v>64</v>
      </c>
      <c r="H431" s="183" t="s">
        <v>41</v>
      </c>
      <c r="I431" s="183" t="s">
        <v>643</v>
      </c>
      <c r="J431" s="186">
        <v>1.0</v>
      </c>
      <c r="K431" s="187"/>
      <c r="L431" s="187"/>
      <c r="M431" s="187"/>
      <c r="N431" s="187"/>
      <c r="O431" s="187"/>
      <c r="P431" s="187"/>
      <c r="Q431" s="188"/>
      <c r="R431" s="188"/>
      <c r="S431" s="183" t="s">
        <v>65</v>
      </c>
      <c r="T431" s="183" t="s">
        <v>66</v>
      </c>
      <c r="U431" s="183" t="s">
        <v>99</v>
      </c>
      <c r="V431" s="183" t="s">
        <v>84</v>
      </c>
      <c r="W431" s="189"/>
      <c r="X431" s="189"/>
      <c r="Y431" s="189"/>
      <c r="Z431" s="189"/>
      <c r="AA431" s="190">
        <v>5428.0</v>
      </c>
      <c r="AB431" s="190">
        <v>27140.0</v>
      </c>
      <c r="AC431" s="24" t="s">
        <v>1424</v>
      </c>
      <c r="AD431" s="81">
        <v>4619.0</v>
      </c>
      <c r="AE431" s="82" t="s">
        <v>1425</v>
      </c>
      <c r="AF431" s="183" t="str">
        <f t="shared" si="1"/>
        <v>Buenos Aires, Argentina</v>
      </c>
      <c r="AG431" s="183">
        <f t="shared" si="2"/>
        <v>1</v>
      </c>
      <c r="AH431" s="191">
        <f t="shared" si="3"/>
        <v>0</v>
      </c>
      <c r="AI431" s="191">
        <f t="shared" si="4"/>
        <v>0</v>
      </c>
      <c r="AJ431" s="190">
        <f t="shared" si="5"/>
        <v>32568</v>
      </c>
      <c r="AK431" s="190">
        <f t="shared" si="6"/>
        <v>32568</v>
      </c>
      <c r="AL431" s="192"/>
      <c r="AM431" s="192"/>
    </row>
    <row r="432">
      <c r="A432" s="183">
        <v>431.0</v>
      </c>
      <c r="B432" s="184">
        <v>44145.0</v>
      </c>
      <c r="C432" s="17">
        <v>112020.0</v>
      </c>
      <c r="D432" s="185" t="s">
        <v>1426</v>
      </c>
      <c r="E432" s="183" t="s">
        <v>38</v>
      </c>
      <c r="F432" s="185" t="s">
        <v>1427</v>
      </c>
      <c r="G432" s="183" t="s">
        <v>64</v>
      </c>
      <c r="H432" s="183" t="s">
        <v>41</v>
      </c>
      <c r="I432" s="183" t="s">
        <v>643</v>
      </c>
      <c r="J432" s="187"/>
      <c r="K432" s="186">
        <v>2.0</v>
      </c>
      <c r="L432" s="187"/>
      <c r="M432" s="187"/>
      <c r="N432" s="187"/>
      <c r="O432" s="187"/>
      <c r="P432" s="187"/>
      <c r="Q432" s="188"/>
      <c r="R432" s="188"/>
      <c r="S432" s="183" t="s">
        <v>65</v>
      </c>
      <c r="T432" s="183" t="s">
        <v>66</v>
      </c>
      <c r="U432" s="183" t="s">
        <v>67</v>
      </c>
      <c r="V432" s="183" t="s">
        <v>84</v>
      </c>
      <c r="W432" s="189"/>
      <c r="X432" s="189"/>
      <c r="Y432" s="189"/>
      <c r="Z432" s="189"/>
      <c r="AA432" s="190">
        <v>7164.0</v>
      </c>
      <c r="AB432" s="190">
        <v>35820.0</v>
      </c>
      <c r="AC432" s="24" t="s">
        <v>1428</v>
      </c>
      <c r="AD432" s="81">
        <v>4621.0</v>
      </c>
      <c r="AE432" s="82" t="s">
        <v>1429</v>
      </c>
      <c r="AF432" s="183" t="str">
        <f t="shared" si="1"/>
        <v>Buenos Aires, Argentina</v>
      </c>
      <c r="AG432" s="183">
        <f t="shared" si="2"/>
        <v>2</v>
      </c>
      <c r="AH432" s="191">
        <f t="shared" si="3"/>
        <v>0</v>
      </c>
      <c r="AI432" s="191">
        <f t="shared" si="4"/>
        <v>0</v>
      </c>
      <c r="AJ432" s="190">
        <f t="shared" si="5"/>
        <v>42984</v>
      </c>
      <c r="AK432" s="190">
        <f t="shared" si="6"/>
        <v>42984</v>
      </c>
      <c r="AL432" s="192"/>
      <c r="AM432" s="192"/>
    </row>
    <row r="433">
      <c r="A433" s="183">
        <v>432.0</v>
      </c>
      <c r="B433" s="184">
        <v>44146.0</v>
      </c>
      <c r="C433" s="17">
        <v>112020.0</v>
      </c>
      <c r="D433" s="185" t="s">
        <v>1430</v>
      </c>
      <c r="E433" s="183" t="s">
        <v>38</v>
      </c>
      <c r="F433" s="185" t="s">
        <v>1281</v>
      </c>
      <c r="G433" s="183" t="s">
        <v>64</v>
      </c>
      <c r="H433" s="183" t="s">
        <v>41</v>
      </c>
      <c r="I433" s="183" t="s">
        <v>42</v>
      </c>
      <c r="J433" s="187"/>
      <c r="K433" s="187"/>
      <c r="L433" s="187"/>
      <c r="M433" s="186">
        <v>1.0</v>
      </c>
      <c r="N433" s="187"/>
      <c r="O433" s="187"/>
      <c r="P433" s="187"/>
      <c r="Q433" s="188"/>
      <c r="R433" s="188"/>
      <c r="S433" s="183" t="s">
        <v>137</v>
      </c>
      <c r="T433" s="183" t="s">
        <v>66</v>
      </c>
      <c r="U433" s="183" t="s">
        <v>45</v>
      </c>
      <c r="V433" s="183" t="s">
        <v>59</v>
      </c>
      <c r="W433" s="189"/>
      <c r="X433" s="189"/>
      <c r="Y433" s="189"/>
      <c r="Z433" s="189"/>
      <c r="AA433" s="190">
        <v>5428.0</v>
      </c>
      <c r="AB433" s="190">
        <v>0.0</v>
      </c>
      <c r="AC433" s="24" t="s">
        <v>1431</v>
      </c>
      <c r="AD433" s="81">
        <v>4599.0</v>
      </c>
      <c r="AE433" s="82" t="s">
        <v>1123</v>
      </c>
      <c r="AF433" s="183" t="str">
        <f t="shared" si="1"/>
        <v>Buenos Aires, Argentina</v>
      </c>
      <c r="AG433" s="183">
        <f t="shared" si="2"/>
        <v>1</v>
      </c>
      <c r="AH433" s="191">
        <f t="shared" si="3"/>
        <v>0</v>
      </c>
      <c r="AI433" s="191">
        <f t="shared" si="4"/>
        <v>0</v>
      </c>
      <c r="AJ433" s="190">
        <f t="shared" si="5"/>
        <v>5428</v>
      </c>
      <c r="AK433" s="190">
        <f t="shared" si="6"/>
        <v>5428</v>
      </c>
      <c r="AL433" s="192"/>
      <c r="AM433" s="192"/>
    </row>
    <row r="434">
      <c r="A434" s="183">
        <v>433.0</v>
      </c>
      <c r="B434" s="184">
        <v>44146.0</v>
      </c>
      <c r="C434" s="17">
        <v>112020.0</v>
      </c>
      <c r="D434" s="185" t="s">
        <v>1168</v>
      </c>
      <c r="E434" s="183" t="s">
        <v>38</v>
      </c>
      <c r="F434" s="185" t="s">
        <v>1423</v>
      </c>
      <c r="G434" s="183" t="s">
        <v>64</v>
      </c>
      <c r="H434" s="183" t="s">
        <v>547</v>
      </c>
      <c r="I434" s="183" t="s">
        <v>42</v>
      </c>
      <c r="J434" s="186">
        <v>1.0</v>
      </c>
      <c r="K434" s="187"/>
      <c r="L434" s="187"/>
      <c r="M434" s="187"/>
      <c r="N434" s="187"/>
      <c r="O434" s="187"/>
      <c r="P434" s="187"/>
      <c r="Q434" s="188"/>
      <c r="R434" s="188"/>
      <c r="S434" s="183" t="s">
        <v>167</v>
      </c>
      <c r="T434" s="183" t="s">
        <v>83</v>
      </c>
      <c r="U434" s="183" t="s">
        <v>163</v>
      </c>
      <c r="V434" s="183" t="s">
        <v>59</v>
      </c>
      <c r="W434" s="189"/>
      <c r="X434" s="189"/>
      <c r="Y434" s="189"/>
      <c r="Z434" s="189"/>
      <c r="AA434" s="190">
        <v>2964.0</v>
      </c>
      <c r="AB434" s="190">
        <v>5928.0</v>
      </c>
      <c r="AC434" s="24" t="s">
        <v>1432</v>
      </c>
      <c r="AD434" s="81">
        <v>4623.0</v>
      </c>
      <c r="AE434" s="82" t="s">
        <v>1433</v>
      </c>
      <c r="AF434" s="183" t="str">
        <f t="shared" si="1"/>
        <v>Capital Federal, Argentina</v>
      </c>
      <c r="AG434" s="183">
        <f t="shared" si="2"/>
        <v>1</v>
      </c>
      <c r="AH434" s="191">
        <f t="shared" si="3"/>
        <v>0</v>
      </c>
      <c r="AI434" s="191">
        <f t="shared" si="4"/>
        <v>0</v>
      </c>
      <c r="AJ434" s="190">
        <f t="shared" si="5"/>
        <v>8892</v>
      </c>
      <c r="AK434" s="190">
        <f t="shared" si="6"/>
        <v>8892</v>
      </c>
      <c r="AL434" s="192"/>
      <c r="AM434" s="192"/>
    </row>
    <row r="435">
      <c r="A435" s="183">
        <v>434.0</v>
      </c>
      <c r="B435" s="184">
        <v>44147.0</v>
      </c>
      <c r="C435" s="17">
        <v>112020.0</v>
      </c>
      <c r="D435" s="185" t="s">
        <v>1434</v>
      </c>
      <c r="E435" s="183" t="s">
        <v>38</v>
      </c>
      <c r="F435" s="185" t="s">
        <v>1415</v>
      </c>
      <c r="G435" s="183" t="s">
        <v>64</v>
      </c>
      <c r="H435" s="183" t="s">
        <v>41</v>
      </c>
      <c r="I435" s="183" t="s">
        <v>42</v>
      </c>
      <c r="J435" s="187"/>
      <c r="K435" s="186">
        <v>1.0</v>
      </c>
      <c r="L435" s="187"/>
      <c r="M435" s="187"/>
      <c r="N435" s="187"/>
      <c r="O435" s="187"/>
      <c r="P435" s="187"/>
      <c r="Q435" s="188"/>
      <c r="R435" s="188"/>
      <c r="S435" s="183" t="s">
        <v>109</v>
      </c>
      <c r="T435" s="183" t="s">
        <v>83</v>
      </c>
      <c r="U435" s="183" t="s">
        <v>99</v>
      </c>
      <c r="V435" s="183" t="s">
        <v>78</v>
      </c>
      <c r="W435" s="189"/>
      <c r="X435" s="189"/>
      <c r="Y435" s="189"/>
      <c r="Z435" s="189"/>
      <c r="AA435" s="190">
        <v>3582.0</v>
      </c>
      <c r="AB435" s="190">
        <v>14328.0</v>
      </c>
      <c r="AC435" s="24" t="s">
        <v>1435</v>
      </c>
      <c r="AD435" s="81">
        <v>4625.0</v>
      </c>
      <c r="AE435" s="82" t="s">
        <v>1436</v>
      </c>
      <c r="AF435" s="183" t="str">
        <f t="shared" si="1"/>
        <v>Capital Federal, Argentina</v>
      </c>
      <c r="AG435" s="183">
        <f t="shared" si="2"/>
        <v>1</v>
      </c>
      <c r="AH435" s="191">
        <f t="shared" si="3"/>
        <v>0</v>
      </c>
      <c r="AI435" s="191">
        <f t="shared" si="4"/>
        <v>0</v>
      </c>
      <c r="AJ435" s="190">
        <f t="shared" si="5"/>
        <v>17910</v>
      </c>
      <c r="AK435" s="190">
        <f t="shared" si="6"/>
        <v>17910</v>
      </c>
      <c r="AL435" s="192"/>
      <c r="AM435" s="192"/>
    </row>
    <row r="436">
      <c r="A436" s="183">
        <v>435.0</v>
      </c>
      <c r="B436" s="184">
        <v>44148.0</v>
      </c>
      <c r="C436" s="17">
        <v>112020.0</v>
      </c>
      <c r="D436" s="185" t="s">
        <v>1437</v>
      </c>
      <c r="E436" s="183" t="s">
        <v>38</v>
      </c>
      <c r="F436" s="185" t="s">
        <v>1415</v>
      </c>
      <c r="G436" s="183" t="s">
        <v>64</v>
      </c>
      <c r="H436" s="183" t="s">
        <v>41</v>
      </c>
      <c r="I436" s="183" t="s">
        <v>42</v>
      </c>
      <c r="J436" s="187"/>
      <c r="K436" s="186">
        <v>1.0</v>
      </c>
      <c r="L436" s="187"/>
      <c r="M436" s="187"/>
      <c r="N436" s="187"/>
      <c r="O436" s="187"/>
      <c r="P436" s="187"/>
      <c r="Q436" s="188"/>
      <c r="R436" s="188"/>
      <c r="S436" s="183" t="s">
        <v>276</v>
      </c>
      <c r="T436" s="183" t="s">
        <v>671</v>
      </c>
      <c r="U436" s="183" t="s">
        <v>1259</v>
      </c>
      <c r="V436" s="183" t="s">
        <v>78</v>
      </c>
      <c r="W436" s="189"/>
      <c r="X436" s="189"/>
      <c r="Y436" s="189"/>
      <c r="Z436" s="189"/>
      <c r="AA436" s="190">
        <v>3582.0</v>
      </c>
      <c r="AB436" s="190">
        <v>17910.0</v>
      </c>
      <c r="AC436" s="24" t="s">
        <v>1438</v>
      </c>
      <c r="AD436" s="81">
        <v>4629.0</v>
      </c>
      <c r="AE436" s="82" t="s">
        <v>1439</v>
      </c>
      <c r="AF436" s="183" t="str">
        <f t="shared" si="1"/>
        <v>Chubut, Argentina</v>
      </c>
      <c r="AG436" s="183">
        <f t="shared" si="2"/>
        <v>1</v>
      </c>
      <c r="AH436" s="191">
        <f t="shared" si="3"/>
        <v>0</v>
      </c>
      <c r="AI436" s="191">
        <f t="shared" si="4"/>
        <v>0</v>
      </c>
      <c r="AJ436" s="190">
        <f t="shared" si="5"/>
        <v>21492</v>
      </c>
      <c r="AK436" s="190">
        <f t="shared" si="6"/>
        <v>21492</v>
      </c>
      <c r="AL436" s="192"/>
      <c r="AM436" s="192"/>
    </row>
    <row r="437">
      <c r="A437" s="183">
        <v>436.0</v>
      </c>
      <c r="B437" s="184">
        <v>44148.0</v>
      </c>
      <c r="C437" s="17">
        <v>112020.0</v>
      </c>
      <c r="D437" s="185" t="s">
        <v>1440</v>
      </c>
      <c r="E437" s="183" t="s">
        <v>38</v>
      </c>
      <c r="F437" s="185" t="s">
        <v>1412</v>
      </c>
      <c r="G437" s="183" t="s">
        <v>64</v>
      </c>
      <c r="H437" s="183" t="s">
        <v>41</v>
      </c>
      <c r="I437" s="183" t="s">
        <v>42</v>
      </c>
      <c r="J437" s="186">
        <v>2.0</v>
      </c>
      <c r="K437" s="187"/>
      <c r="L437" s="187"/>
      <c r="M437" s="187"/>
      <c r="N437" s="187"/>
      <c r="O437" s="187"/>
      <c r="P437" s="187"/>
      <c r="Q437" s="188"/>
      <c r="R437" s="188"/>
      <c r="S437" s="183" t="s">
        <v>72</v>
      </c>
      <c r="T437" s="183" t="s">
        <v>66</v>
      </c>
      <c r="U437" s="183" t="s">
        <v>1259</v>
      </c>
      <c r="V437" s="183" t="s">
        <v>59</v>
      </c>
      <c r="W437" s="189"/>
      <c r="X437" s="189"/>
      <c r="Y437" s="189"/>
      <c r="Z437" s="189"/>
      <c r="AA437" s="190">
        <v>10856.0</v>
      </c>
      <c r="AB437" s="190">
        <v>43424.0</v>
      </c>
      <c r="AC437" s="24" t="s">
        <v>1441</v>
      </c>
      <c r="AD437" s="81">
        <v>4631.0</v>
      </c>
      <c r="AE437" s="82" t="s">
        <v>1442</v>
      </c>
      <c r="AF437" s="183" t="str">
        <f t="shared" si="1"/>
        <v>Buenos Aires, Argentina</v>
      </c>
      <c r="AG437" s="183">
        <f t="shared" si="2"/>
        <v>2</v>
      </c>
      <c r="AH437" s="191">
        <f t="shared" si="3"/>
        <v>0</v>
      </c>
      <c r="AI437" s="191">
        <f t="shared" si="4"/>
        <v>0</v>
      </c>
      <c r="AJ437" s="190">
        <f t="shared" si="5"/>
        <v>54280</v>
      </c>
      <c r="AK437" s="190">
        <f t="shared" si="6"/>
        <v>54280</v>
      </c>
      <c r="AL437" s="192"/>
      <c r="AM437" s="192"/>
    </row>
    <row r="438">
      <c r="A438" s="183">
        <v>437.0</v>
      </c>
      <c r="B438" s="184">
        <v>44148.0</v>
      </c>
      <c r="C438" s="17">
        <v>112020.0</v>
      </c>
      <c r="D438" s="185" t="s">
        <v>1443</v>
      </c>
      <c r="E438" s="183" t="s">
        <v>38</v>
      </c>
      <c r="F438" s="185" t="s">
        <v>1423</v>
      </c>
      <c r="G438" s="183" t="s">
        <v>64</v>
      </c>
      <c r="H438" s="183" t="s">
        <v>41</v>
      </c>
      <c r="I438" s="183" t="s">
        <v>42</v>
      </c>
      <c r="J438" s="186">
        <v>1.0</v>
      </c>
      <c r="K438" s="187"/>
      <c r="L438" s="187"/>
      <c r="M438" s="187"/>
      <c r="N438" s="187"/>
      <c r="O438" s="187"/>
      <c r="P438" s="187"/>
      <c r="Q438" s="188"/>
      <c r="R438" s="188"/>
      <c r="S438" s="183" t="s">
        <v>65</v>
      </c>
      <c r="T438" s="183" t="s">
        <v>66</v>
      </c>
      <c r="U438" s="183" t="s">
        <v>99</v>
      </c>
      <c r="V438" s="183" t="s">
        <v>59</v>
      </c>
      <c r="W438" s="189"/>
      <c r="X438" s="189"/>
      <c r="Y438" s="189"/>
      <c r="Z438" s="189"/>
      <c r="AA438" s="190">
        <v>5200.0</v>
      </c>
      <c r="AB438" s="190">
        <v>20800.0</v>
      </c>
      <c r="AC438" s="24" t="s">
        <v>1444</v>
      </c>
      <c r="AD438" s="81">
        <v>4633.0</v>
      </c>
      <c r="AE438" s="82" t="s">
        <v>1445</v>
      </c>
      <c r="AF438" s="183" t="str">
        <f t="shared" si="1"/>
        <v>Buenos Aires, Argentina</v>
      </c>
      <c r="AG438" s="183">
        <f t="shared" si="2"/>
        <v>1</v>
      </c>
      <c r="AH438" s="191">
        <f t="shared" si="3"/>
        <v>0</v>
      </c>
      <c r="AI438" s="191">
        <f t="shared" si="4"/>
        <v>0</v>
      </c>
      <c r="AJ438" s="190">
        <f t="shared" si="5"/>
        <v>26000</v>
      </c>
      <c r="AK438" s="190">
        <f t="shared" si="6"/>
        <v>26000</v>
      </c>
      <c r="AL438" s="192"/>
      <c r="AM438" s="192"/>
    </row>
    <row r="439">
      <c r="A439" s="183">
        <v>438.0</v>
      </c>
      <c r="B439" s="184">
        <v>44148.0</v>
      </c>
      <c r="C439" s="17">
        <v>112020.0</v>
      </c>
      <c r="D439" s="185" t="s">
        <v>1446</v>
      </c>
      <c r="E439" s="183" t="s">
        <v>38</v>
      </c>
      <c r="F439" s="185" t="s">
        <v>1281</v>
      </c>
      <c r="G439" s="183" t="s">
        <v>64</v>
      </c>
      <c r="H439" s="183" t="s">
        <v>41</v>
      </c>
      <c r="I439" s="183" t="s">
        <v>643</v>
      </c>
      <c r="J439" s="187"/>
      <c r="K439" s="187"/>
      <c r="L439" s="187"/>
      <c r="M439" s="186">
        <v>1.0</v>
      </c>
      <c r="N439" s="187"/>
      <c r="O439" s="187"/>
      <c r="P439" s="187"/>
      <c r="Q439" s="188"/>
      <c r="R439" s="188"/>
      <c r="S439" s="183" t="s">
        <v>65</v>
      </c>
      <c r="T439" s="183" t="s">
        <v>66</v>
      </c>
      <c r="U439" s="183" t="s">
        <v>67</v>
      </c>
      <c r="V439" s="183" t="s">
        <v>84</v>
      </c>
      <c r="W439" s="189"/>
      <c r="X439" s="189"/>
      <c r="Y439" s="189"/>
      <c r="Z439" s="189"/>
      <c r="AA439" s="190">
        <v>5428.0</v>
      </c>
      <c r="AB439" s="190">
        <v>0.0</v>
      </c>
      <c r="AC439" s="24" t="s">
        <v>1447</v>
      </c>
      <c r="AD439" s="81">
        <v>4365.0</v>
      </c>
      <c r="AE439" s="82" t="s">
        <v>1060</v>
      </c>
      <c r="AF439" s="183" t="str">
        <f t="shared" si="1"/>
        <v>Buenos Aires, Argentina</v>
      </c>
      <c r="AG439" s="183">
        <f t="shared" si="2"/>
        <v>1</v>
      </c>
      <c r="AH439" s="191">
        <f t="shared" si="3"/>
        <v>0</v>
      </c>
      <c r="AI439" s="191">
        <f t="shared" si="4"/>
        <v>0</v>
      </c>
      <c r="AJ439" s="190">
        <f t="shared" si="5"/>
        <v>5428</v>
      </c>
      <c r="AK439" s="190">
        <f t="shared" si="6"/>
        <v>5428</v>
      </c>
      <c r="AL439" s="192"/>
      <c r="AM439" s="192"/>
    </row>
    <row r="440">
      <c r="A440" s="183">
        <v>439.0</v>
      </c>
      <c r="B440" s="184">
        <v>44148.0</v>
      </c>
      <c r="C440" s="17">
        <v>112020.0</v>
      </c>
      <c r="D440" s="185" t="s">
        <v>1448</v>
      </c>
      <c r="E440" s="183" t="s">
        <v>38</v>
      </c>
      <c r="F440" s="185" t="s">
        <v>1415</v>
      </c>
      <c r="G440" s="183" t="s">
        <v>64</v>
      </c>
      <c r="H440" s="183" t="s">
        <v>41</v>
      </c>
      <c r="I440" s="183" t="s">
        <v>42</v>
      </c>
      <c r="J440" s="187"/>
      <c r="K440" s="186">
        <v>1.0</v>
      </c>
      <c r="L440" s="187"/>
      <c r="M440" s="187"/>
      <c r="N440" s="187"/>
      <c r="O440" s="187"/>
      <c r="P440" s="187"/>
      <c r="Q440" s="188"/>
      <c r="R440" s="188"/>
      <c r="S440" s="183" t="s">
        <v>276</v>
      </c>
      <c r="T440" s="183" t="s">
        <v>83</v>
      </c>
      <c r="U440" s="183" t="s">
        <v>1259</v>
      </c>
      <c r="V440" s="183" t="s">
        <v>59</v>
      </c>
      <c r="W440" s="189"/>
      <c r="X440" s="189"/>
      <c r="Y440" s="189"/>
      <c r="Z440" s="189"/>
      <c r="AA440" s="190">
        <v>3582.0</v>
      </c>
      <c r="AB440" s="190">
        <v>17910.0</v>
      </c>
      <c r="AC440" s="24" t="s">
        <v>1449</v>
      </c>
      <c r="AD440" s="81">
        <v>4641.0</v>
      </c>
      <c r="AE440" s="82" t="s">
        <v>1450</v>
      </c>
      <c r="AF440" s="183" t="str">
        <f t="shared" si="1"/>
        <v>Capital Federal, Argentina</v>
      </c>
      <c r="AG440" s="183">
        <f t="shared" si="2"/>
        <v>1</v>
      </c>
      <c r="AH440" s="191">
        <f t="shared" si="3"/>
        <v>0</v>
      </c>
      <c r="AI440" s="191">
        <f t="shared" si="4"/>
        <v>0</v>
      </c>
      <c r="AJ440" s="190">
        <f t="shared" si="5"/>
        <v>21492</v>
      </c>
      <c r="AK440" s="190">
        <f t="shared" si="6"/>
        <v>21492</v>
      </c>
      <c r="AL440" s="192"/>
      <c r="AM440" s="192"/>
    </row>
    <row r="441">
      <c r="A441" s="183">
        <v>440.0</v>
      </c>
      <c r="B441" s="184">
        <v>44151.0</v>
      </c>
      <c r="C441" s="17">
        <v>112020.0</v>
      </c>
      <c r="D441" s="185" t="s">
        <v>1451</v>
      </c>
      <c r="E441" s="183" t="s">
        <v>38</v>
      </c>
      <c r="F441" s="185" t="s">
        <v>1415</v>
      </c>
      <c r="G441" s="183" t="s">
        <v>64</v>
      </c>
      <c r="H441" s="183" t="s">
        <v>41</v>
      </c>
      <c r="I441" s="183" t="s">
        <v>42</v>
      </c>
      <c r="J441" s="187"/>
      <c r="K441" s="186">
        <v>1.0</v>
      </c>
      <c r="L441" s="187"/>
      <c r="M441" s="187"/>
      <c r="N441" s="187"/>
      <c r="O441" s="187"/>
      <c r="P441" s="187"/>
      <c r="Q441" s="188"/>
      <c r="R441" s="188"/>
      <c r="S441" s="183" t="s">
        <v>276</v>
      </c>
      <c r="T441" s="183" t="s">
        <v>66</v>
      </c>
      <c r="U441" s="183" t="s">
        <v>1259</v>
      </c>
      <c r="V441" s="183" t="s">
        <v>78</v>
      </c>
      <c r="W441" s="189"/>
      <c r="X441" s="189"/>
      <c r="Y441" s="189"/>
      <c r="Z441" s="189"/>
      <c r="AA441" s="190">
        <v>3582.0</v>
      </c>
      <c r="AB441" s="190">
        <v>17910.0</v>
      </c>
      <c r="AC441" s="24" t="s">
        <v>1452</v>
      </c>
      <c r="AD441" s="81">
        <v>4635.0</v>
      </c>
      <c r="AE441" s="82" t="s">
        <v>1453</v>
      </c>
      <c r="AF441" s="183" t="str">
        <f t="shared" si="1"/>
        <v>Buenos Aires, Argentina</v>
      </c>
      <c r="AG441" s="183">
        <f t="shared" si="2"/>
        <v>1</v>
      </c>
      <c r="AH441" s="191">
        <f t="shared" si="3"/>
        <v>0</v>
      </c>
      <c r="AI441" s="191">
        <f t="shared" si="4"/>
        <v>0</v>
      </c>
      <c r="AJ441" s="190">
        <f t="shared" si="5"/>
        <v>21492</v>
      </c>
      <c r="AK441" s="190">
        <f t="shared" si="6"/>
        <v>21492</v>
      </c>
      <c r="AL441" s="192"/>
      <c r="AM441" s="192"/>
    </row>
    <row r="442">
      <c r="A442" s="183">
        <v>441.0</v>
      </c>
      <c r="B442" s="184">
        <v>44151.0</v>
      </c>
      <c r="C442" s="17">
        <v>112020.0</v>
      </c>
      <c r="D442" s="185" t="s">
        <v>1454</v>
      </c>
      <c r="E442" s="183" t="s">
        <v>38</v>
      </c>
      <c r="F442" s="185" t="s">
        <v>1415</v>
      </c>
      <c r="G442" s="183" t="s">
        <v>64</v>
      </c>
      <c r="H442" s="183" t="s">
        <v>41</v>
      </c>
      <c r="I442" s="183" t="s">
        <v>42</v>
      </c>
      <c r="J442" s="187"/>
      <c r="K442" s="186">
        <v>1.0</v>
      </c>
      <c r="L442" s="187"/>
      <c r="M442" s="187"/>
      <c r="N442" s="187"/>
      <c r="O442" s="187"/>
      <c r="P442" s="187"/>
      <c r="Q442" s="188"/>
      <c r="R442" s="188"/>
      <c r="S442" s="183" t="s">
        <v>137</v>
      </c>
      <c r="T442" s="183" t="s">
        <v>66</v>
      </c>
      <c r="U442" s="183" t="s">
        <v>1259</v>
      </c>
      <c r="V442" s="183" t="s">
        <v>78</v>
      </c>
      <c r="W442" s="189"/>
      <c r="X442" s="189"/>
      <c r="Y442" s="189"/>
      <c r="Z442" s="189"/>
      <c r="AA442" s="190">
        <v>3582.0</v>
      </c>
      <c r="AB442" s="190">
        <v>17910.0</v>
      </c>
      <c r="AC442" s="24" t="s">
        <v>1455</v>
      </c>
      <c r="AD442" s="81">
        <v>4637.0</v>
      </c>
      <c r="AE442" s="82" t="s">
        <v>1456</v>
      </c>
      <c r="AF442" s="183" t="str">
        <f t="shared" si="1"/>
        <v>Buenos Aires, Argentina</v>
      </c>
      <c r="AG442" s="183">
        <f t="shared" si="2"/>
        <v>1</v>
      </c>
      <c r="AH442" s="191">
        <f t="shared" si="3"/>
        <v>0</v>
      </c>
      <c r="AI442" s="191">
        <f t="shared" si="4"/>
        <v>0</v>
      </c>
      <c r="AJ442" s="190">
        <f t="shared" si="5"/>
        <v>21492</v>
      </c>
      <c r="AK442" s="190">
        <f t="shared" si="6"/>
        <v>21492</v>
      </c>
      <c r="AL442" s="192"/>
      <c r="AM442" s="192"/>
    </row>
    <row r="443">
      <c r="A443" s="183">
        <v>442.0</v>
      </c>
      <c r="B443" s="184">
        <v>44151.0</v>
      </c>
      <c r="C443" s="17">
        <v>112020.0</v>
      </c>
      <c r="D443" s="185" t="s">
        <v>1457</v>
      </c>
      <c r="E443" s="183" t="s">
        <v>1458</v>
      </c>
      <c r="F443" s="185" t="s">
        <v>1459</v>
      </c>
      <c r="G443" s="183" t="s">
        <v>64</v>
      </c>
      <c r="H443" s="183" t="s">
        <v>41</v>
      </c>
      <c r="I443" s="183" t="s">
        <v>42</v>
      </c>
      <c r="J443" s="187"/>
      <c r="K443" s="186">
        <v>3.0</v>
      </c>
      <c r="L443" s="187"/>
      <c r="M443" s="187"/>
      <c r="N443" s="187"/>
      <c r="O443" s="187"/>
      <c r="P443" s="187"/>
      <c r="Q443" s="188"/>
      <c r="R443" s="188"/>
      <c r="S443" s="183" t="s">
        <v>98</v>
      </c>
      <c r="T443" s="183" t="s">
        <v>66</v>
      </c>
      <c r="U443" s="183" t="s">
        <v>1259</v>
      </c>
      <c r="V443" s="183" t="s">
        <v>78</v>
      </c>
      <c r="W443" s="189"/>
      <c r="X443" s="189"/>
      <c r="Y443" s="189"/>
      <c r="Z443" s="189"/>
      <c r="AA443" s="190">
        <v>10746.0</v>
      </c>
      <c r="AB443" s="190">
        <v>53730.0</v>
      </c>
      <c r="AC443" s="24" t="s">
        <v>1460</v>
      </c>
      <c r="AD443" s="81">
        <v>4643.0</v>
      </c>
      <c r="AE443" s="82" t="s">
        <v>1461</v>
      </c>
      <c r="AF443" s="183" t="str">
        <f t="shared" si="1"/>
        <v>Buenos Aires, Argentina</v>
      </c>
      <c r="AG443" s="183">
        <f t="shared" si="2"/>
        <v>3</v>
      </c>
      <c r="AH443" s="191">
        <f t="shared" si="3"/>
        <v>0</v>
      </c>
      <c r="AI443" s="191">
        <f t="shared" si="4"/>
        <v>0</v>
      </c>
      <c r="AJ443" s="190">
        <f t="shared" si="5"/>
        <v>64476</v>
      </c>
      <c r="AK443" s="190">
        <f t="shared" si="6"/>
        <v>64476</v>
      </c>
      <c r="AL443" s="192"/>
      <c r="AM443" s="192"/>
    </row>
    <row r="444">
      <c r="A444" s="183">
        <v>443.0</v>
      </c>
      <c r="B444" s="184">
        <v>44151.0</v>
      </c>
      <c r="C444" s="17">
        <v>112020.0</v>
      </c>
      <c r="D444" s="185" t="s">
        <v>1462</v>
      </c>
      <c r="E444" s="183" t="s">
        <v>38</v>
      </c>
      <c r="F444" s="185" t="s">
        <v>1463</v>
      </c>
      <c r="G444" s="183" t="s">
        <v>64</v>
      </c>
      <c r="H444" s="183" t="s">
        <v>41</v>
      </c>
      <c r="I444" s="183" t="s">
        <v>42</v>
      </c>
      <c r="J444" s="186">
        <v>1.0</v>
      </c>
      <c r="K444" s="186">
        <v>2.0</v>
      </c>
      <c r="L444" s="187"/>
      <c r="M444" s="187"/>
      <c r="N444" s="187"/>
      <c r="O444" s="187"/>
      <c r="P444" s="187"/>
      <c r="Q444" s="188"/>
      <c r="R444" s="188"/>
      <c r="S444" s="183" t="s">
        <v>65</v>
      </c>
      <c r="T444" s="183" t="s">
        <v>58</v>
      </c>
      <c r="U444" s="183" t="s">
        <v>1259</v>
      </c>
      <c r="V444" s="183" t="s">
        <v>217</v>
      </c>
      <c r="W444" s="189"/>
      <c r="X444" s="189"/>
      <c r="Y444" s="189"/>
      <c r="Z444" s="189"/>
      <c r="AA444" s="190">
        <v>11333.0</v>
      </c>
      <c r="AB444" s="190">
        <v>62960.0</v>
      </c>
      <c r="AC444" s="24" t="s">
        <v>1464</v>
      </c>
      <c r="AD444" s="81">
        <v>4645.0</v>
      </c>
      <c r="AE444" s="82" t="s">
        <v>1465</v>
      </c>
      <c r="AF444" s="183" t="str">
        <f t="shared" si="1"/>
        <v>Córdoba, Argentina</v>
      </c>
      <c r="AG444" s="183">
        <f t="shared" si="2"/>
        <v>3</v>
      </c>
      <c r="AH444" s="191">
        <f t="shared" si="3"/>
        <v>0</v>
      </c>
      <c r="AI444" s="191">
        <f t="shared" si="4"/>
        <v>0</v>
      </c>
      <c r="AJ444" s="190">
        <f t="shared" si="5"/>
        <v>74293</v>
      </c>
      <c r="AK444" s="190">
        <f t="shared" si="6"/>
        <v>74293</v>
      </c>
      <c r="AL444" s="192"/>
      <c r="AM444" s="192"/>
    </row>
    <row r="445">
      <c r="A445" s="183">
        <v>444.0</v>
      </c>
      <c r="B445" s="184">
        <v>44151.0</v>
      </c>
      <c r="C445" s="17">
        <v>112020.0</v>
      </c>
      <c r="D445" s="185" t="s">
        <v>1466</v>
      </c>
      <c r="E445" s="183" t="s">
        <v>38</v>
      </c>
      <c r="F445" s="185" t="s">
        <v>1423</v>
      </c>
      <c r="G445" s="183" t="s">
        <v>64</v>
      </c>
      <c r="H445" s="183" t="s">
        <v>41</v>
      </c>
      <c r="I445" s="183" t="s">
        <v>42</v>
      </c>
      <c r="J445" s="186">
        <v>1.0</v>
      </c>
      <c r="K445" s="187"/>
      <c r="L445" s="187"/>
      <c r="M445" s="187"/>
      <c r="N445" s="187"/>
      <c r="O445" s="187"/>
      <c r="P445" s="187"/>
      <c r="Q445" s="188"/>
      <c r="R445" s="188"/>
      <c r="S445" s="183" t="s">
        <v>65</v>
      </c>
      <c r="T445" s="183" t="s">
        <v>58</v>
      </c>
      <c r="U445" s="183" t="s">
        <v>1259</v>
      </c>
      <c r="V445" s="183" t="s">
        <v>217</v>
      </c>
      <c r="W445" s="189"/>
      <c r="X445" s="189"/>
      <c r="Y445" s="189"/>
      <c r="Z445" s="189"/>
      <c r="AA445" s="190">
        <v>4885.2</v>
      </c>
      <c r="AB445" s="190">
        <v>27140.0</v>
      </c>
      <c r="AC445" s="24" t="s">
        <v>1467</v>
      </c>
      <c r="AD445" s="81">
        <v>4647.0</v>
      </c>
      <c r="AE445" s="82" t="s">
        <v>1468</v>
      </c>
      <c r="AF445" s="183" t="str">
        <f t="shared" si="1"/>
        <v>Córdoba, Argentina</v>
      </c>
      <c r="AG445" s="183">
        <f t="shared" si="2"/>
        <v>1</v>
      </c>
      <c r="AH445" s="191">
        <f t="shared" si="3"/>
        <v>0</v>
      </c>
      <c r="AI445" s="191">
        <f t="shared" si="4"/>
        <v>0</v>
      </c>
      <c r="AJ445" s="190">
        <f t="shared" si="5"/>
        <v>32025.2</v>
      </c>
      <c r="AK445" s="190">
        <f t="shared" si="6"/>
        <v>32025.2</v>
      </c>
      <c r="AL445" s="192"/>
      <c r="AM445" s="192"/>
    </row>
    <row r="446">
      <c r="A446" s="183">
        <v>445.0</v>
      </c>
      <c r="B446" s="184">
        <v>44152.0</v>
      </c>
      <c r="C446" s="17">
        <v>112020.0</v>
      </c>
      <c r="D446" s="185" t="s">
        <v>1469</v>
      </c>
      <c r="E446" s="183" t="s">
        <v>38</v>
      </c>
      <c r="F446" s="185" t="s">
        <v>1459</v>
      </c>
      <c r="G446" s="183" t="s">
        <v>64</v>
      </c>
      <c r="H446" s="183" t="s">
        <v>41</v>
      </c>
      <c r="I446" s="183" t="s">
        <v>643</v>
      </c>
      <c r="J446" s="187"/>
      <c r="K446" s="186">
        <v>3.0</v>
      </c>
      <c r="L446" s="187"/>
      <c r="M446" s="187"/>
      <c r="N446" s="187"/>
      <c r="O446" s="187"/>
      <c r="P446" s="187"/>
      <c r="Q446" s="188"/>
      <c r="R446" s="188"/>
      <c r="S446" s="183" t="s">
        <v>189</v>
      </c>
      <c r="T446" s="183" t="s">
        <v>83</v>
      </c>
      <c r="U446" s="183" t="s">
        <v>1259</v>
      </c>
      <c r="V446" s="183" t="s">
        <v>1470</v>
      </c>
      <c r="W446" s="189"/>
      <c r="X446" s="189"/>
      <c r="Y446" s="189"/>
      <c r="Z446" s="189"/>
      <c r="AA446" s="190">
        <v>10746.0</v>
      </c>
      <c r="AB446" s="190">
        <v>53730.0</v>
      </c>
      <c r="AC446" s="24" t="s">
        <v>1471</v>
      </c>
      <c r="AD446" s="81">
        <v>4649.0</v>
      </c>
      <c r="AE446" s="82" t="s">
        <v>1472</v>
      </c>
      <c r="AF446" s="183" t="str">
        <f t="shared" si="1"/>
        <v>Capital Federal, Argentina</v>
      </c>
      <c r="AG446" s="183">
        <f t="shared" si="2"/>
        <v>3</v>
      </c>
      <c r="AH446" s="191">
        <f t="shared" si="3"/>
        <v>0</v>
      </c>
      <c r="AI446" s="191">
        <f t="shared" si="4"/>
        <v>0</v>
      </c>
      <c r="AJ446" s="190">
        <f t="shared" si="5"/>
        <v>64476</v>
      </c>
      <c r="AK446" s="190">
        <f t="shared" si="6"/>
        <v>64476</v>
      </c>
      <c r="AL446" s="192"/>
      <c r="AM446" s="192"/>
    </row>
    <row r="447">
      <c r="A447" s="183">
        <v>446.0</v>
      </c>
      <c r="B447" s="184">
        <v>44152.0</v>
      </c>
      <c r="C447" s="17">
        <v>112020.0</v>
      </c>
      <c r="D447" s="185" t="s">
        <v>1473</v>
      </c>
      <c r="E447" s="183" t="s">
        <v>38</v>
      </c>
      <c r="F447" s="185" t="s">
        <v>1474</v>
      </c>
      <c r="G447" s="183" t="s">
        <v>64</v>
      </c>
      <c r="H447" s="183" t="s">
        <v>41</v>
      </c>
      <c r="I447" s="183" t="s">
        <v>42</v>
      </c>
      <c r="J447" s="186">
        <v>3.0</v>
      </c>
      <c r="K447" s="187"/>
      <c r="L447" s="187"/>
      <c r="M447" s="187"/>
      <c r="N447" s="187"/>
      <c r="O447" s="187"/>
      <c r="P447" s="187"/>
      <c r="Q447" s="188"/>
      <c r="R447" s="188"/>
      <c r="S447" s="183" t="s">
        <v>137</v>
      </c>
      <c r="T447" s="183" t="s">
        <v>66</v>
      </c>
      <c r="U447" s="183" t="s">
        <v>1259</v>
      </c>
      <c r="V447" s="183" t="s">
        <v>217</v>
      </c>
      <c r="W447" s="189"/>
      <c r="X447" s="189"/>
      <c r="Y447" s="189"/>
      <c r="Z447" s="189"/>
      <c r="AA447" s="190">
        <v>16284.0</v>
      </c>
      <c r="AB447" s="190">
        <v>81420.0</v>
      </c>
      <c r="AC447" s="24" t="s">
        <v>1475</v>
      </c>
      <c r="AD447" s="81">
        <v>4651.0</v>
      </c>
      <c r="AE447" s="82" t="s">
        <v>1476</v>
      </c>
      <c r="AF447" s="183" t="str">
        <f t="shared" si="1"/>
        <v>Buenos Aires, Argentina</v>
      </c>
      <c r="AG447" s="183">
        <f t="shared" si="2"/>
        <v>3</v>
      </c>
      <c r="AH447" s="191">
        <f t="shared" si="3"/>
        <v>0</v>
      </c>
      <c r="AI447" s="191">
        <f t="shared" si="4"/>
        <v>0</v>
      </c>
      <c r="AJ447" s="190">
        <f t="shared" si="5"/>
        <v>97704</v>
      </c>
      <c r="AK447" s="190">
        <f t="shared" si="6"/>
        <v>97704</v>
      </c>
      <c r="AL447" s="192"/>
      <c r="AM447" s="192"/>
    </row>
    <row r="448">
      <c r="A448" s="183">
        <v>447.0</v>
      </c>
      <c r="B448" s="184">
        <v>44152.0</v>
      </c>
      <c r="C448" s="17">
        <v>112020.0</v>
      </c>
      <c r="D448" s="185" t="s">
        <v>1477</v>
      </c>
      <c r="E448" s="183" t="s">
        <v>38</v>
      </c>
      <c r="F448" s="185" t="s">
        <v>1423</v>
      </c>
      <c r="G448" s="183" t="s">
        <v>64</v>
      </c>
      <c r="H448" s="183" t="s">
        <v>41</v>
      </c>
      <c r="I448" s="183" t="s">
        <v>42</v>
      </c>
      <c r="J448" s="186">
        <v>1.0</v>
      </c>
      <c r="K448" s="187"/>
      <c r="L448" s="187"/>
      <c r="M448" s="187"/>
      <c r="N448" s="187"/>
      <c r="O448" s="187"/>
      <c r="P448" s="187"/>
      <c r="Q448" s="188"/>
      <c r="R448" s="188"/>
      <c r="S448" s="183" t="s">
        <v>98</v>
      </c>
      <c r="T448" s="183" t="s">
        <v>66</v>
      </c>
      <c r="U448" s="183" t="s">
        <v>1259</v>
      </c>
      <c r="V448" s="183" t="s">
        <v>59</v>
      </c>
      <c r="W448" s="189"/>
      <c r="X448" s="189"/>
      <c r="Y448" s="189"/>
      <c r="Z448" s="189"/>
      <c r="AA448" s="190">
        <v>5428.0</v>
      </c>
      <c r="AB448" s="190">
        <v>27140.0</v>
      </c>
      <c r="AC448" s="24" t="s">
        <v>1478</v>
      </c>
      <c r="AD448" s="81">
        <v>4653.0</v>
      </c>
      <c r="AE448" s="82" t="s">
        <v>1479</v>
      </c>
      <c r="AF448" s="183" t="str">
        <f t="shared" si="1"/>
        <v>Buenos Aires, Argentina</v>
      </c>
      <c r="AG448" s="183">
        <f t="shared" si="2"/>
        <v>1</v>
      </c>
      <c r="AH448" s="191">
        <f t="shared" si="3"/>
        <v>0</v>
      </c>
      <c r="AI448" s="191">
        <f t="shared" si="4"/>
        <v>0</v>
      </c>
      <c r="AJ448" s="190">
        <f t="shared" si="5"/>
        <v>32568</v>
      </c>
      <c r="AK448" s="190">
        <f t="shared" si="6"/>
        <v>32568</v>
      </c>
      <c r="AL448" s="192"/>
      <c r="AM448" s="192"/>
    </row>
    <row r="449">
      <c r="A449" s="183">
        <v>448.0</v>
      </c>
      <c r="B449" s="184">
        <v>44152.0</v>
      </c>
      <c r="C449" s="17">
        <v>112020.0</v>
      </c>
      <c r="D449" s="185" t="s">
        <v>1480</v>
      </c>
      <c r="E449" s="183" t="s">
        <v>38</v>
      </c>
      <c r="F449" s="185" t="s">
        <v>1415</v>
      </c>
      <c r="G449" s="183" t="s">
        <v>64</v>
      </c>
      <c r="H449" s="183" t="s">
        <v>41</v>
      </c>
      <c r="I449" s="183" t="s">
        <v>42</v>
      </c>
      <c r="J449" s="187"/>
      <c r="K449" s="186">
        <v>1.0</v>
      </c>
      <c r="L449" s="187"/>
      <c r="M449" s="187"/>
      <c r="N449" s="187"/>
      <c r="O449" s="187"/>
      <c r="P449" s="187"/>
      <c r="Q449" s="188"/>
      <c r="R449" s="188"/>
      <c r="S449" s="183" t="s">
        <v>167</v>
      </c>
      <c r="T449" s="183" t="s">
        <v>66</v>
      </c>
      <c r="U449" s="183" t="s">
        <v>1259</v>
      </c>
      <c r="V449" s="183" t="s">
        <v>217</v>
      </c>
      <c r="W449" s="189"/>
      <c r="X449" s="189"/>
      <c r="Y449" s="189"/>
      <c r="Z449" s="189"/>
      <c r="AA449" s="190">
        <v>3582.0</v>
      </c>
      <c r="AB449" s="190">
        <v>17910.0</v>
      </c>
      <c r="AC449" s="24" t="s">
        <v>1481</v>
      </c>
      <c r="AD449" s="81">
        <v>4655.0</v>
      </c>
      <c r="AE449" s="82" t="s">
        <v>1482</v>
      </c>
      <c r="AF449" s="183" t="str">
        <f t="shared" si="1"/>
        <v>Buenos Aires, Argentina</v>
      </c>
      <c r="AG449" s="183">
        <f t="shared" si="2"/>
        <v>1</v>
      </c>
      <c r="AH449" s="191">
        <f t="shared" si="3"/>
        <v>0</v>
      </c>
      <c r="AI449" s="191">
        <f t="shared" si="4"/>
        <v>0</v>
      </c>
      <c r="AJ449" s="190">
        <f t="shared" si="5"/>
        <v>21492</v>
      </c>
      <c r="AK449" s="190">
        <f t="shared" si="6"/>
        <v>21492</v>
      </c>
      <c r="AL449" s="192"/>
      <c r="AM449" s="192"/>
    </row>
    <row r="450">
      <c r="A450" s="183">
        <v>449.0</v>
      </c>
      <c r="B450" s="184">
        <v>44152.0</v>
      </c>
      <c r="C450" s="17">
        <v>112020.0</v>
      </c>
      <c r="D450" s="185" t="s">
        <v>1483</v>
      </c>
      <c r="E450" s="183" t="s">
        <v>38</v>
      </c>
      <c r="F450" s="185" t="s">
        <v>1484</v>
      </c>
      <c r="G450" s="183" t="s">
        <v>64</v>
      </c>
      <c r="H450" s="183" t="s">
        <v>41</v>
      </c>
      <c r="I450" s="183" t="s">
        <v>42</v>
      </c>
      <c r="J450" s="187"/>
      <c r="K450" s="186">
        <v>2.0</v>
      </c>
      <c r="L450" s="187"/>
      <c r="M450" s="187"/>
      <c r="N450" s="187"/>
      <c r="O450" s="187"/>
      <c r="P450" s="187"/>
      <c r="Q450" s="188"/>
      <c r="R450" s="183">
        <v>3.0</v>
      </c>
      <c r="S450" s="183" t="s">
        <v>98</v>
      </c>
      <c r="T450" s="183" t="s">
        <v>83</v>
      </c>
      <c r="U450" s="183" t="s">
        <v>67</v>
      </c>
      <c r="V450" s="183" t="s">
        <v>59</v>
      </c>
      <c r="W450" s="189"/>
      <c r="X450" s="189"/>
      <c r="Y450" s="189"/>
      <c r="Z450" s="190">
        <v>13026.0</v>
      </c>
      <c r="AA450" s="190">
        <v>7164.0</v>
      </c>
      <c r="AB450" s="190">
        <v>28656.0</v>
      </c>
      <c r="AC450" s="24" t="s">
        <v>1485</v>
      </c>
      <c r="AD450" s="81">
        <v>4639.0</v>
      </c>
      <c r="AE450" s="82" t="s">
        <v>1486</v>
      </c>
      <c r="AF450" s="183" t="str">
        <f t="shared" si="1"/>
        <v>Capital Federal, Argentina</v>
      </c>
      <c r="AG450" s="183">
        <f t="shared" si="2"/>
        <v>2</v>
      </c>
      <c r="AH450" s="191">
        <f t="shared" si="3"/>
        <v>0</v>
      </c>
      <c r="AI450" s="191">
        <f t="shared" si="4"/>
        <v>13026</v>
      </c>
      <c r="AJ450" s="190">
        <f t="shared" si="5"/>
        <v>35820</v>
      </c>
      <c r="AK450" s="190">
        <f t="shared" si="6"/>
        <v>48846</v>
      </c>
      <c r="AL450" s="192"/>
      <c r="AM450" s="192"/>
    </row>
    <row r="451">
      <c r="A451" s="183">
        <v>450.0</v>
      </c>
      <c r="B451" s="184">
        <v>44152.0</v>
      </c>
      <c r="C451" s="17">
        <v>112020.0</v>
      </c>
      <c r="D451" s="185" t="s">
        <v>1487</v>
      </c>
      <c r="E451" s="183" t="s">
        <v>38</v>
      </c>
      <c r="F451" s="185" t="s">
        <v>1488</v>
      </c>
      <c r="G451" s="183" t="s">
        <v>64</v>
      </c>
      <c r="H451" s="183" t="s">
        <v>41</v>
      </c>
      <c r="I451" s="183" t="s">
        <v>643</v>
      </c>
      <c r="J451" s="186">
        <v>3.0</v>
      </c>
      <c r="K451" s="186">
        <v>5.0</v>
      </c>
      <c r="L451" s="187"/>
      <c r="M451" s="187"/>
      <c r="N451" s="187"/>
      <c r="O451" s="187"/>
      <c r="P451" s="187"/>
      <c r="Q451" s="188"/>
      <c r="R451" s="188"/>
      <c r="S451" s="183" t="s">
        <v>65</v>
      </c>
      <c r="T451" s="183" t="s">
        <v>58</v>
      </c>
      <c r="U451" s="183" t="s">
        <v>1259</v>
      </c>
      <c r="V451" s="183" t="s">
        <v>84</v>
      </c>
      <c r="W451" s="189"/>
      <c r="X451" s="189"/>
      <c r="Y451" s="189"/>
      <c r="Z451" s="189"/>
      <c r="AA451" s="190">
        <v>34194.0</v>
      </c>
      <c r="AB451" s="190">
        <v>198110.0</v>
      </c>
      <c r="AC451" s="24" t="s">
        <v>1489</v>
      </c>
      <c r="AD451" s="81">
        <v>4657.0</v>
      </c>
      <c r="AE451" s="82" t="s">
        <v>1490</v>
      </c>
      <c r="AF451" s="183" t="str">
        <f t="shared" si="1"/>
        <v>Córdoba, Argentina</v>
      </c>
      <c r="AG451" s="183">
        <f t="shared" si="2"/>
        <v>8</v>
      </c>
      <c r="AH451" s="191">
        <f t="shared" si="3"/>
        <v>0</v>
      </c>
      <c r="AI451" s="191">
        <f t="shared" si="4"/>
        <v>0</v>
      </c>
      <c r="AJ451" s="190">
        <f t="shared" si="5"/>
        <v>232304</v>
      </c>
      <c r="AK451" s="190">
        <f t="shared" si="6"/>
        <v>232304</v>
      </c>
      <c r="AL451" s="192"/>
      <c r="AM451" s="192"/>
    </row>
    <row r="452">
      <c r="A452" s="183">
        <v>451.0</v>
      </c>
      <c r="B452" s="184">
        <v>44153.0</v>
      </c>
      <c r="C452" s="17">
        <v>112020.0</v>
      </c>
      <c r="D452" s="185" t="s">
        <v>1491</v>
      </c>
      <c r="E452" s="183" t="s">
        <v>38</v>
      </c>
      <c r="F452" s="185" t="s">
        <v>1492</v>
      </c>
      <c r="G452" s="183" t="s">
        <v>64</v>
      </c>
      <c r="H452" s="183" t="s">
        <v>41</v>
      </c>
      <c r="I452" s="183" t="s">
        <v>42</v>
      </c>
      <c r="J452" s="187"/>
      <c r="K452" s="187"/>
      <c r="L452" s="187"/>
      <c r="M452" s="187"/>
      <c r="N452" s="186">
        <v>1.0</v>
      </c>
      <c r="O452" s="187"/>
      <c r="P452" s="187"/>
      <c r="Q452" s="188"/>
      <c r="R452" s="188"/>
      <c r="S452" s="183" t="s">
        <v>98</v>
      </c>
      <c r="T452" s="183" t="s">
        <v>66</v>
      </c>
      <c r="U452" s="183" t="s">
        <v>1493</v>
      </c>
      <c r="V452" s="183" t="s">
        <v>78</v>
      </c>
      <c r="W452" s="189"/>
      <c r="X452" s="189"/>
      <c r="Y452" s="189"/>
      <c r="Z452" s="189"/>
      <c r="AA452" s="190">
        <v>5428.0</v>
      </c>
      <c r="AB452" s="190">
        <v>0.0</v>
      </c>
      <c r="AC452" s="24" t="s">
        <v>1494</v>
      </c>
      <c r="AD452" s="81">
        <v>4663.0</v>
      </c>
      <c r="AE452" s="82" t="s">
        <v>1495</v>
      </c>
      <c r="AF452" s="183" t="str">
        <f t="shared" si="1"/>
        <v>Buenos Aires, Argentina</v>
      </c>
      <c r="AG452" s="183">
        <f t="shared" si="2"/>
        <v>1</v>
      </c>
      <c r="AH452" s="191">
        <f t="shared" si="3"/>
        <v>0</v>
      </c>
      <c r="AI452" s="191">
        <f t="shared" si="4"/>
        <v>0</v>
      </c>
      <c r="AJ452" s="190">
        <f t="shared" si="5"/>
        <v>5428</v>
      </c>
      <c r="AK452" s="190">
        <f t="shared" si="6"/>
        <v>5428</v>
      </c>
      <c r="AL452" s="192"/>
      <c r="AM452" s="192"/>
    </row>
    <row r="453">
      <c r="A453" s="183">
        <v>452.0</v>
      </c>
      <c r="B453" s="184">
        <v>44153.0</v>
      </c>
      <c r="C453" s="17">
        <v>112020.0</v>
      </c>
      <c r="D453" s="185" t="s">
        <v>1496</v>
      </c>
      <c r="E453" s="183" t="s">
        <v>38</v>
      </c>
      <c r="F453" s="185" t="s">
        <v>1412</v>
      </c>
      <c r="G453" s="183" t="s">
        <v>64</v>
      </c>
      <c r="H453" s="183" t="s">
        <v>41</v>
      </c>
      <c r="I453" s="183" t="s">
        <v>42</v>
      </c>
      <c r="J453" s="186">
        <v>2.0</v>
      </c>
      <c r="K453" s="187"/>
      <c r="L453" s="187"/>
      <c r="M453" s="187"/>
      <c r="N453" s="187"/>
      <c r="O453" s="187"/>
      <c r="P453" s="187"/>
      <c r="Q453" s="188"/>
      <c r="R453" s="188"/>
      <c r="S453" s="183" t="s">
        <v>65</v>
      </c>
      <c r="T453" s="183" t="s">
        <v>66</v>
      </c>
      <c r="U453" s="183" t="s">
        <v>1259</v>
      </c>
      <c r="V453" s="183" t="s">
        <v>59</v>
      </c>
      <c r="W453" s="189"/>
      <c r="X453" s="189"/>
      <c r="Y453" s="189"/>
      <c r="Z453" s="189"/>
      <c r="AA453" s="190">
        <v>10856.0</v>
      </c>
      <c r="AB453" s="190">
        <v>54280.0</v>
      </c>
      <c r="AC453" s="24" t="s">
        <v>1497</v>
      </c>
      <c r="AD453" s="81">
        <v>4665.0</v>
      </c>
      <c r="AE453" s="82" t="s">
        <v>1498</v>
      </c>
      <c r="AF453" s="183" t="str">
        <f t="shared" si="1"/>
        <v>Buenos Aires, Argentina</v>
      </c>
      <c r="AG453" s="183">
        <f t="shared" si="2"/>
        <v>2</v>
      </c>
      <c r="AH453" s="191">
        <f t="shared" si="3"/>
        <v>0</v>
      </c>
      <c r="AI453" s="191">
        <f t="shared" si="4"/>
        <v>0</v>
      </c>
      <c r="AJ453" s="190">
        <f t="shared" si="5"/>
        <v>65136</v>
      </c>
      <c r="AK453" s="190">
        <f t="shared" si="6"/>
        <v>65136</v>
      </c>
      <c r="AL453" s="192"/>
      <c r="AM453" s="192"/>
    </row>
    <row r="454">
      <c r="A454" s="183">
        <v>453.0</v>
      </c>
      <c r="B454" s="184">
        <v>44153.0</v>
      </c>
      <c r="C454" s="17">
        <v>112020.0</v>
      </c>
      <c r="D454" s="185" t="s">
        <v>1499</v>
      </c>
      <c r="E454" s="183" t="s">
        <v>38</v>
      </c>
      <c r="F454" s="185" t="s">
        <v>1412</v>
      </c>
      <c r="G454" s="183" t="s">
        <v>64</v>
      </c>
      <c r="H454" s="183" t="s">
        <v>41</v>
      </c>
      <c r="I454" s="183" t="s">
        <v>42</v>
      </c>
      <c r="J454" s="186">
        <v>2.0</v>
      </c>
      <c r="K454" s="187"/>
      <c r="L454" s="187"/>
      <c r="M454" s="187"/>
      <c r="N454" s="187"/>
      <c r="O454" s="187"/>
      <c r="P454" s="187"/>
      <c r="Q454" s="188"/>
      <c r="R454" s="188"/>
      <c r="S454" s="183" t="s">
        <v>65</v>
      </c>
      <c r="T454" s="183" t="s">
        <v>66</v>
      </c>
      <c r="U454" s="183" t="s">
        <v>1259</v>
      </c>
      <c r="V454" s="183" t="s">
        <v>217</v>
      </c>
      <c r="W454" s="189"/>
      <c r="X454" s="189"/>
      <c r="Y454" s="189"/>
      <c r="Z454" s="189"/>
      <c r="AA454" s="190">
        <v>10856.0</v>
      </c>
      <c r="AB454" s="190">
        <v>54280.0</v>
      </c>
      <c r="AC454" s="24" t="s">
        <v>1500</v>
      </c>
      <c r="AD454" s="81">
        <v>4667.0</v>
      </c>
      <c r="AE454" s="82" t="s">
        <v>1501</v>
      </c>
      <c r="AF454" s="183" t="str">
        <f t="shared" si="1"/>
        <v>Buenos Aires, Argentina</v>
      </c>
      <c r="AG454" s="183">
        <f t="shared" si="2"/>
        <v>2</v>
      </c>
      <c r="AH454" s="191">
        <f t="shared" si="3"/>
        <v>0</v>
      </c>
      <c r="AI454" s="191">
        <f t="shared" si="4"/>
        <v>0</v>
      </c>
      <c r="AJ454" s="190">
        <f t="shared" si="5"/>
        <v>65136</v>
      </c>
      <c r="AK454" s="190">
        <f t="shared" si="6"/>
        <v>65136</v>
      </c>
      <c r="AL454" s="192"/>
      <c r="AM454" s="192"/>
    </row>
    <row r="455">
      <c r="A455" s="183">
        <v>454.0</v>
      </c>
      <c r="B455" s="184">
        <v>44154.0</v>
      </c>
      <c r="C455" s="17">
        <v>112020.0</v>
      </c>
      <c r="D455" s="185" t="s">
        <v>1502</v>
      </c>
      <c r="E455" s="183" t="s">
        <v>38</v>
      </c>
      <c r="F455" s="185" t="s">
        <v>1503</v>
      </c>
      <c r="G455" s="183" t="s">
        <v>64</v>
      </c>
      <c r="H455" s="183" t="s">
        <v>41</v>
      </c>
      <c r="I455" s="183" t="s">
        <v>42</v>
      </c>
      <c r="J455" s="187"/>
      <c r="K455" s="186">
        <v>4.0</v>
      </c>
      <c r="L455" s="187"/>
      <c r="M455" s="187"/>
      <c r="N455" s="187"/>
      <c r="O455" s="187"/>
      <c r="P455" s="187"/>
      <c r="Q455" s="188"/>
      <c r="R455" s="188"/>
      <c r="S455" s="183" t="s">
        <v>963</v>
      </c>
      <c r="T455" s="183" t="s">
        <v>66</v>
      </c>
      <c r="U455" s="183" t="s">
        <v>1259</v>
      </c>
      <c r="V455" s="183" t="s">
        <v>78</v>
      </c>
      <c r="W455" s="189"/>
      <c r="X455" s="189"/>
      <c r="Y455" s="189"/>
      <c r="Z455" s="189"/>
      <c r="AA455" s="190">
        <v>14328.0</v>
      </c>
      <c r="AB455" s="190">
        <v>71640.0</v>
      </c>
      <c r="AC455" s="24" t="s">
        <v>1504</v>
      </c>
      <c r="AD455" s="81">
        <v>4669.0</v>
      </c>
      <c r="AE455" s="82" t="s">
        <v>1505</v>
      </c>
      <c r="AF455" s="183" t="str">
        <f t="shared" si="1"/>
        <v>Buenos Aires, Argentina</v>
      </c>
      <c r="AG455" s="183">
        <f t="shared" si="2"/>
        <v>4</v>
      </c>
      <c r="AH455" s="191">
        <f t="shared" si="3"/>
        <v>0</v>
      </c>
      <c r="AI455" s="191">
        <f t="shared" si="4"/>
        <v>0</v>
      </c>
      <c r="AJ455" s="190">
        <f t="shared" si="5"/>
        <v>85968</v>
      </c>
      <c r="AK455" s="190">
        <f t="shared" si="6"/>
        <v>85968</v>
      </c>
      <c r="AL455" s="192"/>
      <c r="AM455" s="192"/>
    </row>
    <row r="456">
      <c r="A456" s="183">
        <v>455.0</v>
      </c>
      <c r="B456" s="184">
        <v>44154.0</v>
      </c>
      <c r="C456" s="17">
        <v>112020.0</v>
      </c>
      <c r="D456" s="185" t="s">
        <v>1506</v>
      </c>
      <c r="E456" s="183" t="s">
        <v>38</v>
      </c>
      <c r="F456" s="185" t="s">
        <v>1507</v>
      </c>
      <c r="G456" s="183" t="s">
        <v>64</v>
      </c>
      <c r="H456" s="183" t="s">
        <v>41</v>
      </c>
      <c r="I456" s="183" t="s">
        <v>42</v>
      </c>
      <c r="J456" s="187"/>
      <c r="K456" s="187"/>
      <c r="L456" s="186">
        <v>1.0</v>
      </c>
      <c r="M456" s="187"/>
      <c r="N456" s="187"/>
      <c r="O456" s="187"/>
      <c r="P456" s="187"/>
      <c r="Q456" s="188"/>
      <c r="R456" s="188"/>
      <c r="S456" s="183" t="s">
        <v>65</v>
      </c>
      <c r="T456" s="183" t="s">
        <v>66</v>
      </c>
      <c r="U456" s="183" t="s">
        <v>1259</v>
      </c>
      <c r="V456" s="183" t="s">
        <v>59</v>
      </c>
      <c r="W456" s="189"/>
      <c r="X456" s="189"/>
      <c r="Y456" s="189"/>
      <c r="Z456" s="189"/>
      <c r="AA456" s="190">
        <v>2171.0</v>
      </c>
      <c r="AB456" s="190">
        <v>10855.0</v>
      </c>
      <c r="AC456" s="24" t="s">
        <v>1508</v>
      </c>
      <c r="AD456" s="81">
        <v>4671.0</v>
      </c>
      <c r="AE456" s="82" t="s">
        <v>1509</v>
      </c>
      <c r="AF456" s="183" t="str">
        <f t="shared" si="1"/>
        <v>Buenos Aires, Argentina</v>
      </c>
      <c r="AG456" s="183">
        <f t="shared" si="2"/>
        <v>1</v>
      </c>
      <c r="AH456" s="191">
        <f t="shared" si="3"/>
        <v>0</v>
      </c>
      <c r="AI456" s="191">
        <f t="shared" si="4"/>
        <v>0</v>
      </c>
      <c r="AJ456" s="190">
        <f t="shared" si="5"/>
        <v>13026</v>
      </c>
      <c r="AK456" s="190">
        <f t="shared" si="6"/>
        <v>13026</v>
      </c>
      <c r="AL456" s="192"/>
      <c r="AM456" s="192"/>
    </row>
    <row r="457">
      <c r="A457" s="183">
        <v>456.0</v>
      </c>
      <c r="B457" s="184">
        <v>44154.0</v>
      </c>
      <c r="C457" s="17">
        <v>112020.0</v>
      </c>
      <c r="D457" s="185" t="s">
        <v>1510</v>
      </c>
      <c r="E457" s="183" t="s">
        <v>38</v>
      </c>
      <c r="F457" s="185" t="s">
        <v>1511</v>
      </c>
      <c r="G457" s="183" t="s">
        <v>64</v>
      </c>
      <c r="H457" s="183" t="s">
        <v>41</v>
      </c>
      <c r="I457" s="183" t="s">
        <v>643</v>
      </c>
      <c r="J457" s="186">
        <v>2.0</v>
      </c>
      <c r="K457" s="186">
        <v>2.0</v>
      </c>
      <c r="L457" s="187"/>
      <c r="M457" s="187"/>
      <c r="N457" s="187"/>
      <c r="O457" s="187"/>
      <c r="P457" s="187"/>
      <c r="Q457" s="188"/>
      <c r="R457" s="188"/>
      <c r="S457" s="183" t="s">
        <v>98</v>
      </c>
      <c r="T457" s="183" t="s">
        <v>66</v>
      </c>
      <c r="U457" s="183" t="s">
        <v>1259</v>
      </c>
      <c r="V457" s="183" t="s">
        <v>84</v>
      </c>
      <c r="W457" s="189"/>
      <c r="X457" s="189"/>
      <c r="Y457" s="189"/>
      <c r="Z457" s="189"/>
      <c r="AA457" s="190">
        <v>18020.0</v>
      </c>
      <c r="AB457" s="190">
        <v>90100.0</v>
      </c>
      <c r="AC457" s="24" t="s">
        <v>1512</v>
      </c>
      <c r="AD457" s="81">
        <v>4659.0</v>
      </c>
      <c r="AE457" s="82" t="s">
        <v>1513</v>
      </c>
      <c r="AF457" s="183" t="str">
        <f t="shared" si="1"/>
        <v>Buenos Aires, Argentina</v>
      </c>
      <c r="AG457" s="183">
        <f t="shared" si="2"/>
        <v>4</v>
      </c>
      <c r="AH457" s="191">
        <f t="shared" si="3"/>
        <v>0</v>
      </c>
      <c r="AI457" s="191">
        <f t="shared" si="4"/>
        <v>0</v>
      </c>
      <c r="AJ457" s="190">
        <f t="shared" si="5"/>
        <v>108120</v>
      </c>
      <c r="AK457" s="190">
        <f t="shared" si="6"/>
        <v>108120</v>
      </c>
      <c r="AL457" s="192"/>
      <c r="AM457" s="192"/>
    </row>
    <row r="458">
      <c r="A458" s="183">
        <v>457.0</v>
      </c>
      <c r="B458" s="184">
        <v>44154.0</v>
      </c>
      <c r="C458" s="17">
        <v>112020.0</v>
      </c>
      <c r="D458" s="185" t="s">
        <v>1514</v>
      </c>
      <c r="E458" s="183" t="s">
        <v>38</v>
      </c>
      <c r="F458" s="185" t="s">
        <v>1427</v>
      </c>
      <c r="G458" s="183" t="s">
        <v>64</v>
      </c>
      <c r="H458" s="183" t="s">
        <v>41</v>
      </c>
      <c r="I458" s="183" t="s">
        <v>643</v>
      </c>
      <c r="J458" s="187"/>
      <c r="K458" s="186">
        <v>2.0</v>
      </c>
      <c r="L458" s="187"/>
      <c r="M458" s="187"/>
      <c r="N458" s="187"/>
      <c r="O458" s="187"/>
      <c r="P458" s="187"/>
      <c r="Q458" s="188"/>
      <c r="R458" s="188"/>
      <c r="S458" s="183" t="s">
        <v>65</v>
      </c>
      <c r="T458" s="183" t="s">
        <v>66</v>
      </c>
      <c r="U458" s="183" t="s">
        <v>1259</v>
      </c>
      <c r="V458" s="183" t="s">
        <v>84</v>
      </c>
      <c r="W458" s="189"/>
      <c r="X458" s="189"/>
      <c r="Y458" s="189"/>
      <c r="Z458" s="189"/>
      <c r="AA458" s="190">
        <v>7164.0</v>
      </c>
      <c r="AB458" s="190">
        <v>35820.0</v>
      </c>
      <c r="AC458" s="24" t="s">
        <v>1515</v>
      </c>
      <c r="AD458" s="81">
        <v>7673.0</v>
      </c>
      <c r="AE458" s="82" t="s">
        <v>1516</v>
      </c>
      <c r="AF458" s="183" t="str">
        <f t="shared" si="1"/>
        <v>Buenos Aires, Argentina</v>
      </c>
      <c r="AG458" s="183">
        <f t="shared" si="2"/>
        <v>2</v>
      </c>
      <c r="AH458" s="191">
        <f t="shared" si="3"/>
        <v>0</v>
      </c>
      <c r="AI458" s="191">
        <f t="shared" si="4"/>
        <v>0</v>
      </c>
      <c r="AJ458" s="190">
        <f t="shared" si="5"/>
        <v>42984</v>
      </c>
      <c r="AK458" s="190">
        <f t="shared" si="6"/>
        <v>42984</v>
      </c>
      <c r="AL458" s="192"/>
      <c r="AM458" s="192"/>
    </row>
    <row r="459">
      <c r="A459" s="183">
        <v>458.0</v>
      </c>
      <c r="B459" s="184">
        <v>44155.0</v>
      </c>
      <c r="C459" s="17">
        <v>112020.0</v>
      </c>
      <c r="D459" s="185" t="s">
        <v>1517</v>
      </c>
      <c r="E459" s="183" t="s">
        <v>38</v>
      </c>
      <c r="F459" s="185" t="s">
        <v>1423</v>
      </c>
      <c r="G459" s="183" t="s">
        <v>40</v>
      </c>
      <c r="H459" s="183" t="s">
        <v>547</v>
      </c>
      <c r="I459" s="183" t="s">
        <v>42</v>
      </c>
      <c r="J459" s="186">
        <v>1.0</v>
      </c>
      <c r="K459" s="187"/>
      <c r="L459" s="187"/>
      <c r="M459" s="187"/>
      <c r="N459" s="187"/>
      <c r="O459" s="187"/>
      <c r="P459" s="187"/>
      <c r="Q459" s="188"/>
      <c r="R459" s="188"/>
      <c r="S459" s="183" t="s">
        <v>137</v>
      </c>
      <c r="T459" s="183" t="s">
        <v>66</v>
      </c>
      <c r="U459" s="183" t="s">
        <v>342</v>
      </c>
      <c r="V459" s="183" t="s">
        <v>78</v>
      </c>
      <c r="W459" s="189"/>
      <c r="X459" s="189"/>
      <c r="Y459" s="189"/>
      <c r="Z459" s="189"/>
      <c r="AA459" s="190">
        <v>3257.0</v>
      </c>
      <c r="AB459" s="190">
        <v>11400.0</v>
      </c>
      <c r="AC459" s="24" t="s">
        <v>1518</v>
      </c>
      <c r="AD459" s="81">
        <v>4627.0</v>
      </c>
      <c r="AE459" s="82" t="s">
        <v>1519</v>
      </c>
      <c r="AF459" s="183" t="str">
        <f t="shared" si="1"/>
        <v>Buenos Aires, Argentina</v>
      </c>
      <c r="AG459" s="183">
        <f t="shared" si="2"/>
        <v>1</v>
      </c>
      <c r="AH459" s="191">
        <f t="shared" si="3"/>
        <v>0</v>
      </c>
      <c r="AI459" s="191">
        <f t="shared" si="4"/>
        <v>0</v>
      </c>
      <c r="AJ459" s="190">
        <f t="shared" si="5"/>
        <v>14657</v>
      </c>
      <c r="AK459" s="190">
        <f t="shared" si="6"/>
        <v>14657</v>
      </c>
      <c r="AL459" s="192"/>
      <c r="AM459" s="192"/>
    </row>
    <row r="460">
      <c r="A460" s="183">
        <v>459.0</v>
      </c>
      <c r="B460" s="184">
        <v>44155.0</v>
      </c>
      <c r="C460" s="17">
        <v>112020.0</v>
      </c>
      <c r="D460" s="185" t="s">
        <v>1520</v>
      </c>
      <c r="E460" s="183" t="s">
        <v>38</v>
      </c>
      <c r="F460" s="185" t="s">
        <v>1423</v>
      </c>
      <c r="G460" s="183" t="s">
        <v>64</v>
      </c>
      <c r="H460" s="183" t="s">
        <v>41</v>
      </c>
      <c r="I460" s="183" t="s">
        <v>42</v>
      </c>
      <c r="J460" s="186">
        <v>1.0</v>
      </c>
      <c r="K460" s="187"/>
      <c r="L460" s="187"/>
      <c r="M460" s="187"/>
      <c r="N460" s="187"/>
      <c r="O460" s="187"/>
      <c r="P460" s="187"/>
      <c r="Q460" s="188"/>
      <c r="R460" s="188"/>
      <c r="S460" s="183" t="s">
        <v>98</v>
      </c>
      <c r="T460" s="183" t="s">
        <v>83</v>
      </c>
      <c r="U460" s="183" t="s">
        <v>1259</v>
      </c>
      <c r="V460" s="183" t="s">
        <v>59</v>
      </c>
      <c r="W460" s="189"/>
      <c r="X460" s="189"/>
      <c r="Y460" s="189"/>
      <c r="Z460" s="189"/>
      <c r="AA460" s="190">
        <v>5428.0</v>
      </c>
      <c r="AB460" s="190">
        <v>27140.0</v>
      </c>
      <c r="AC460" s="24" t="s">
        <v>1521</v>
      </c>
      <c r="AD460" s="81">
        <v>4675.0</v>
      </c>
      <c r="AE460" s="82" t="s">
        <v>1522</v>
      </c>
      <c r="AF460" s="183" t="str">
        <f t="shared" si="1"/>
        <v>Capital Federal, Argentina</v>
      </c>
      <c r="AG460" s="183">
        <f t="shared" si="2"/>
        <v>1</v>
      </c>
      <c r="AH460" s="191">
        <f t="shared" si="3"/>
        <v>0</v>
      </c>
      <c r="AI460" s="191">
        <f t="shared" si="4"/>
        <v>0</v>
      </c>
      <c r="AJ460" s="190">
        <f t="shared" si="5"/>
        <v>32568</v>
      </c>
      <c r="AK460" s="190">
        <f t="shared" si="6"/>
        <v>32568</v>
      </c>
      <c r="AL460" s="192"/>
      <c r="AM460" s="192"/>
    </row>
    <row r="461">
      <c r="A461" s="183">
        <v>460.0</v>
      </c>
      <c r="B461" s="184">
        <v>44155.0</v>
      </c>
      <c r="C461" s="17">
        <v>112020.0</v>
      </c>
      <c r="D461" s="185" t="s">
        <v>1523</v>
      </c>
      <c r="E461" s="183" t="s">
        <v>38</v>
      </c>
      <c r="F461" s="185" t="s">
        <v>1423</v>
      </c>
      <c r="G461" s="183" t="s">
        <v>64</v>
      </c>
      <c r="H461" s="183" t="s">
        <v>41</v>
      </c>
      <c r="I461" s="183" t="s">
        <v>42</v>
      </c>
      <c r="J461" s="186">
        <v>1.0</v>
      </c>
      <c r="K461" s="187"/>
      <c r="L461" s="187"/>
      <c r="M461" s="187"/>
      <c r="N461" s="187"/>
      <c r="O461" s="187"/>
      <c r="P461" s="187"/>
      <c r="Q461" s="188"/>
      <c r="R461" s="188"/>
      <c r="S461" s="183" t="s">
        <v>89</v>
      </c>
      <c r="T461" s="183" t="s">
        <v>66</v>
      </c>
      <c r="U461" s="183" t="s">
        <v>1259</v>
      </c>
      <c r="V461" s="183" t="s">
        <v>59</v>
      </c>
      <c r="W461" s="189"/>
      <c r="X461" s="189"/>
      <c r="Y461" s="189"/>
      <c r="Z461" s="189"/>
      <c r="AA461" s="190">
        <v>5428.0</v>
      </c>
      <c r="AB461" s="190">
        <v>27140.0</v>
      </c>
      <c r="AC461" s="24" t="s">
        <v>1524</v>
      </c>
      <c r="AD461" s="81">
        <v>4677.0</v>
      </c>
      <c r="AE461" s="82" t="s">
        <v>1525</v>
      </c>
      <c r="AF461" s="183" t="str">
        <f t="shared" si="1"/>
        <v>Buenos Aires, Argentina</v>
      </c>
      <c r="AG461" s="183">
        <f t="shared" si="2"/>
        <v>1</v>
      </c>
      <c r="AH461" s="191">
        <f t="shared" si="3"/>
        <v>0</v>
      </c>
      <c r="AI461" s="191">
        <f t="shared" si="4"/>
        <v>0</v>
      </c>
      <c r="AJ461" s="190">
        <f t="shared" si="5"/>
        <v>32568</v>
      </c>
      <c r="AK461" s="190">
        <f t="shared" si="6"/>
        <v>32568</v>
      </c>
      <c r="AL461" s="192"/>
      <c r="AM461" s="192"/>
    </row>
    <row r="462">
      <c r="A462" s="183">
        <v>461.0</v>
      </c>
      <c r="B462" s="184">
        <v>44155.0</v>
      </c>
      <c r="C462" s="17">
        <v>112020.0</v>
      </c>
      <c r="D462" s="185" t="s">
        <v>1526</v>
      </c>
      <c r="E462" s="183" t="s">
        <v>38</v>
      </c>
      <c r="F462" s="185" t="s">
        <v>1459</v>
      </c>
      <c r="G462" s="183" t="s">
        <v>64</v>
      </c>
      <c r="H462" s="183" t="s">
        <v>41</v>
      </c>
      <c r="I462" s="183" t="s">
        <v>643</v>
      </c>
      <c r="J462" s="187"/>
      <c r="K462" s="186">
        <v>3.0</v>
      </c>
      <c r="L462" s="187"/>
      <c r="M462" s="187"/>
      <c r="N462" s="187"/>
      <c r="O462" s="187"/>
      <c r="P462" s="187"/>
      <c r="Q462" s="188"/>
      <c r="R462" s="188"/>
      <c r="S462" s="183" t="s">
        <v>65</v>
      </c>
      <c r="T462" s="183" t="s">
        <v>66</v>
      </c>
      <c r="U462" s="183" t="s">
        <v>1259</v>
      </c>
      <c r="V462" s="183" t="s">
        <v>84</v>
      </c>
      <c r="W462" s="189"/>
      <c r="X462" s="189"/>
      <c r="Y462" s="189"/>
      <c r="Z462" s="189"/>
      <c r="AA462" s="190">
        <v>10746.0</v>
      </c>
      <c r="AB462" s="190">
        <v>53730.0</v>
      </c>
      <c r="AC462" s="24" t="s">
        <v>1527</v>
      </c>
      <c r="AD462" s="17">
        <v>4687.0</v>
      </c>
      <c r="AE462" s="27" t="s">
        <v>1528</v>
      </c>
      <c r="AF462" s="183" t="str">
        <f t="shared" si="1"/>
        <v>Buenos Aires, Argentina</v>
      </c>
      <c r="AG462" s="183">
        <f t="shared" si="2"/>
        <v>3</v>
      </c>
      <c r="AH462" s="191">
        <f t="shared" si="3"/>
        <v>0</v>
      </c>
      <c r="AI462" s="191">
        <f t="shared" si="4"/>
        <v>0</v>
      </c>
      <c r="AJ462" s="190">
        <f t="shared" si="5"/>
        <v>64476</v>
      </c>
      <c r="AK462" s="190">
        <f t="shared" si="6"/>
        <v>64476</v>
      </c>
      <c r="AL462" s="192"/>
      <c r="AM462" s="192"/>
    </row>
    <row r="463">
      <c r="A463" s="183">
        <v>462.0</v>
      </c>
      <c r="B463" s="184">
        <v>44160.0</v>
      </c>
      <c r="C463" s="17">
        <v>112020.0</v>
      </c>
      <c r="D463" s="185" t="s">
        <v>1529</v>
      </c>
      <c r="E463" s="183" t="s">
        <v>38</v>
      </c>
      <c r="F463" s="185" t="s">
        <v>1530</v>
      </c>
      <c r="G463" s="183" t="s">
        <v>64</v>
      </c>
      <c r="H463" s="183" t="s">
        <v>41</v>
      </c>
      <c r="I463" s="183" t="s">
        <v>643</v>
      </c>
      <c r="J463" s="186">
        <v>10.0</v>
      </c>
      <c r="K463" s="187"/>
      <c r="L463" s="187"/>
      <c r="M463" s="187"/>
      <c r="N463" s="187"/>
      <c r="O463" s="187"/>
      <c r="P463" s="187"/>
      <c r="Q463" s="188"/>
      <c r="R463" s="188"/>
      <c r="S463" s="183" t="s">
        <v>72</v>
      </c>
      <c r="T463" s="183" t="s">
        <v>66</v>
      </c>
      <c r="U463" s="183" t="s">
        <v>1259</v>
      </c>
      <c r="V463" s="183" t="s">
        <v>84</v>
      </c>
      <c r="W463" s="189"/>
      <c r="X463" s="189"/>
      <c r="Y463" s="189"/>
      <c r="Z463" s="189"/>
      <c r="AA463" s="190">
        <v>54280.0</v>
      </c>
      <c r="AB463" s="190">
        <v>271400.0</v>
      </c>
      <c r="AC463" s="24" t="s">
        <v>1531</v>
      </c>
      <c r="AD463" s="81">
        <v>4691.0</v>
      </c>
      <c r="AE463" s="82" t="s">
        <v>1532</v>
      </c>
      <c r="AF463" s="183" t="str">
        <f t="shared" si="1"/>
        <v>Buenos Aires, Argentina</v>
      </c>
      <c r="AG463" s="183">
        <f t="shared" si="2"/>
        <v>10</v>
      </c>
      <c r="AH463" s="191">
        <f t="shared" si="3"/>
        <v>0</v>
      </c>
      <c r="AI463" s="191">
        <f t="shared" si="4"/>
        <v>0</v>
      </c>
      <c r="AJ463" s="190">
        <f t="shared" si="5"/>
        <v>325680</v>
      </c>
      <c r="AK463" s="190">
        <f t="shared" si="6"/>
        <v>325680</v>
      </c>
      <c r="AL463" s="192"/>
      <c r="AM463" s="192"/>
    </row>
    <row r="464">
      <c r="A464" s="183">
        <v>463.0</v>
      </c>
      <c r="B464" s="184">
        <v>44160.0</v>
      </c>
      <c r="C464" s="17">
        <v>112020.0</v>
      </c>
      <c r="D464" s="185" t="s">
        <v>1533</v>
      </c>
      <c r="E464" s="183" t="s">
        <v>38</v>
      </c>
      <c r="F464" s="185" t="s">
        <v>1534</v>
      </c>
      <c r="G464" s="183" t="s">
        <v>64</v>
      </c>
      <c r="H464" s="183" t="s">
        <v>41</v>
      </c>
      <c r="I464" s="183" t="s">
        <v>643</v>
      </c>
      <c r="J464" s="186">
        <v>2.0</v>
      </c>
      <c r="K464" s="186">
        <v>3.0</v>
      </c>
      <c r="L464" s="187"/>
      <c r="M464" s="187"/>
      <c r="N464" s="187"/>
      <c r="O464" s="187"/>
      <c r="P464" s="187"/>
      <c r="Q464" s="188"/>
      <c r="R464" s="188"/>
      <c r="S464" s="183" t="s">
        <v>65</v>
      </c>
      <c r="T464" s="183" t="s">
        <v>66</v>
      </c>
      <c r="U464" s="183" t="s">
        <v>1259</v>
      </c>
      <c r="V464" s="183" t="s">
        <v>84</v>
      </c>
      <c r="W464" s="189"/>
      <c r="X464" s="189"/>
      <c r="Y464" s="189"/>
      <c r="Z464" s="189"/>
      <c r="AA464" s="190">
        <v>19442.0</v>
      </c>
      <c r="AB464" s="190">
        <v>108010.0</v>
      </c>
      <c r="AC464" s="24" t="s">
        <v>1535</v>
      </c>
      <c r="AD464" s="81">
        <v>4689.0</v>
      </c>
      <c r="AE464" s="82" t="s">
        <v>1536</v>
      </c>
      <c r="AF464" s="183" t="str">
        <f t="shared" si="1"/>
        <v>Buenos Aires, Argentina</v>
      </c>
      <c r="AG464" s="183">
        <f t="shared" si="2"/>
        <v>5</v>
      </c>
      <c r="AH464" s="191">
        <f t="shared" si="3"/>
        <v>0</v>
      </c>
      <c r="AI464" s="191">
        <f t="shared" si="4"/>
        <v>0</v>
      </c>
      <c r="AJ464" s="190">
        <f t="shared" si="5"/>
        <v>127452</v>
      </c>
      <c r="AK464" s="190">
        <f t="shared" si="6"/>
        <v>127452</v>
      </c>
      <c r="AL464" s="192"/>
      <c r="AM464" s="192"/>
    </row>
    <row r="465">
      <c r="A465" s="183">
        <v>464.0</v>
      </c>
      <c r="B465" s="184">
        <v>44160.0</v>
      </c>
      <c r="C465" s="17">
        <v>112020.0</v>
      </c>
      <c r="D465" s="185" t="s">
        <v>1537</v>
      </c>
      <c r="E465" s="183" t="s">
        <v>38</v>
      </c>
      <c r="F465" s="185" t="s">
        <v>1459</v>
      </c>
      <c r="G465" s="183" t="s">
        <v>64</v>
      </c>
      <c r="H465" s="183" t="s">
        <v>41</v>
      </c>
      <c r="I465" s="183" t="s">
        <v>643</v>
      </c>
      <c r="J465" s="187"/>
      <c r="K465" s="186">
        <v>3.0</v>
      </c>
      <c r="L465" s="187"/>
      <c r="M465" s="187"/>
      <c r="N465" s="187"/>
      <c r="O465" s="187"/>
      <c r="P465" s="187"/>
      <c r="Q465" s="188"/>
      <c r="R465" s="188"/>
      <c r="S465" s="183" t="s">
        <v>89</v>
      </c>
      <c r="T465" s="183" t="s">
        <v>66</v>
      </c>
      <c r="U465" s="183" t="s">
        <v>67</v>
      </c>
      <c r="V465" s="183" t="s">
        <v>84</v>
      </c>
      <c r="W465" s="189"/>
      <c r="X465" s="189"/>
      <c r="Y465" s="189"/>
      <c r="Z465" s="189"/>
      <c r="AA465" s="190">
        <v>15150.0</v>
      </c>
      <c r="AB465" s="190">
        <v>75750.0</v>
      </c>
      <c r="AC465" s="24" t="s">
        <v>1538</v>
      </c>
      <c r="AD465" s="81">
        <v>4693.0</v>
      </c>
      <c r="AE465" s="82" t="s">
        <v>1539</v>
      </c>
      <c r="AF465" s="183" t="str">
        <f t="shared" si="1"/>
        <v>Buenos Aires, Argentina</v>
      </c>
      <c r="AG465" s="183">
        <f t="shared" si="2"/>
        <v>3</v>
      </c>
      <c r="AH465" s="191">
        <f t="shared" si="3"/>
        <v>0</v>
      </c>
      <c r="AI465" s="191">
        <f t="shared" si="4"/>
        <v>0</v>
      </c>
      <c r="AJ465" s="190">
        <f t="shared" si="5"/>
        <v>90900</v>
      </c>
      <c r="AK465" s="190">
        <f t="shared" si="6"/>
        <v>90900</v>
      </c>
      <c r="AL465" s="192"/>
      <c r="AM465" s="192"/>
    </row>
    <row r="466">
      <c r="A466" s="183">
        <v>465.0</v>
      </c>
      <c r="B466" s="184">
        <v>44160.0</v>
      </c>
      <c r="C466" s="17">
        <v>112020.0</v>
      </c>
      <c r="D466" s="185" t="s">
        <v>1540</v>
      </c>
      <c r="E466" s="183" t="s">
        <v>38</v>
      </c>
      <c r="F466" s="185" t="s">
        <v>1541</v>
      </c>
      <c r="G466" s="183" t="s">
        <v>40</v>
      </c>
      <c r="H466" s="183" t="s">
        <v>41</v>
      </c>
      <c r="I466" s="183" t="s">
        <v>643</v>
      </c>
      <c r="J466" s="186">
        <v>5.0</v>
      </c>
      <c r="K466" s="186">
        <v>3.0</v>
      </c>
      <c r="L466" s="187"/>
      <c r="M466" s="186">
        <v>1.0</v>
      </c>
      <c r="N466" s="186">
        <v>1.0</v>
      </c>
      <c r="O466" s="187"/>
      <c r="P466" s="187"/>
      <c r="Q466" s="188"/>
      <c r="R466" s="188"/>
      <c r="S466" s="183" t="s">
        <v>276</v>
      </c>
      <c r="T466" s="183" t="s">
        <v>66</v>
      </c>
      <c r="U466" s="183" t="s">
        <v>1027</v>
      </c>
      <c r="V466" s="183" t="s">
        <v>84</v>
      </c>
      <c r="W466" s="189"/>
      <c r="X466" s="189"/>
      <c r="Y466" s="189"/>
      <c r="Z466" s="189"/>
      <c r="AA466" s="190">
        <v>48742.0</v>
      </c>
      <c r="AB466" s="190">
        <v>216570.0</v>
      </c>
      <c r="AC466" s="24" t="s">
        <v>1542</v>
      </c>
      <c r="AD466" s="81">
        <v>4695.0</v>
      </c>
      <c r="AE466" s="82" t="s">
        <v>1543</v>
      </c>
      <c r="AF466" s="183" t="str">
        <f t="shared" si="1"/>
        <v>Buenos Aires, Argentina</v>
      </c>
      <c r="AG466" s="183">
        <f t="shared" si="2"/>
        <v>10</v>
      </c>
      <c r="AH466" s="191">
        <f t="shared" si="3"/>
        <v>0</v>
      </c>
      <c r="AI466" s="191">
        <f t="shared" si="4"/>
        <v>0</v>
      </c>
      <c r="AJ466" s="190">
        <f t="shared" si="5"/>
        <v>265312</v>
      </c>
      <c r="AK466" s="190">
        <f t="shared" si="6"/>
        <v>265312</v>
      </c>
      <c r="AL466" s="192"/>
      <c r="AM466" s="192"/>
    </row>
    <row r="467">
      <c r="A467" s="183">
        <v>466.0</v>
      </c>
      <c r="B467" s="184">
        <v>44160.0</v>
      </c>
      <c r="C467" s="17">
        <v>112020.0</v>
      </c>
      <c r="D467" s="185" t="s">
        <v>1544</v>
      </c>
      <c r="E467" s="183" t="s">
        <v>38</v>
      </c>
      <c r="F467" s="185" t="s">
        <v>1474</v>
      </c>
      <c r="G467" s="183" t="s">
        <v>64</v>
      </c>
      <c r="H467" s="183" t="s">
        <v>41</v>
      </c>
      <c r="I467" s="183" t="s">
        <v>643</v>
      </c>
      <c r="J467" s="186">
        <v>3.0</v>
      </c>
      <c r="K467" s="187"/>
      <c r="L467" s="187"/>
      <c r="M467" s="187"/>
      <c r="N467" s="187"/>
      <c r="O467" s="187"/>
      <c r="P467" s="187"/>
      <c r="Q467" s="188"/>
      <c r="R467" s="188"/>
      <c r="S467" s="183" t="s">
        <v>65</v>
      </c>
      <c r="T467" s="183" t="s">
        <v>83</v>
      </c>
      <c r="U467" s="183" t="s">
        <v>1259</v>
      </c>
      <c r="V467" s="183" t="s">
        <v>84</v>
      </c>
      <c r="W467" s="189"/>
      <c r="X467" s="189"/>
      <c r="Y467" s="189"/>
      <c r="Z467" s="189"/>
      <c r="AA467" s="190">
        <v>14656.0</v>
      </c>
      <c r="AB467" s="190">
        <v>81420.0</v>
      </c>
      <c r="AC467" s="24" t="s">
        <v>1545</v>
      </c>
      <c r="AD467" s="81">
        <v>4697.0</v>
      </c>
      <c r="AE467" s="82" t="s">
        <v>1546</v>
      </c>
      <c r="AF467" s="183" t="str">
        <f t="shared" si="1"/>
        <v>Capital Federal, Argentina</v>
      </c>
      <c r="AG467" s="183">
        <f t="shared" si="2"/>
        <v>3</v>
      </c>
      <c r="AH467" s="191">
        <f t="shared" si="3"/>
        <v>0</v>
      </c>
      <c r="AI467" s="191">
        <f t="shared" si="4"/>
        <v>0</v>
      </c>
      <c r="AJ467" s="190">
        <f t="shared" si="5"/>
        <v>96076</v>
      </c>
      <c r="AK467" s="190">
        <f t="shared" si="6"/>
        <v>96076</v>
      </c>
      <c r="AL467" s="192"/>
      <c r="AM467" s="192"/>
    </row>
    <row r="468">
      <c r="A468" s="183">
        <v>467.0</v>
      </c>
      <c r="B468" s="184">
        <v>44160.0</v>
      </c>
      <c r="C468" s="17">
        <v>112020.0</v>
      </c>
      <c r="D468" s="185" t="s">
        <v>1547</v>
      </c>
      <c r="E468" s="183" t="s">
        <v>38</v>
      </c>
      <c r="F468" s="185" t="s">
        <v>1459</v>
      </c>
      <c r="G468" s="183" t="s">
        <v>64</v>
      </c>
      <c r="H468" s="183" t="s">
        <v>41</v>
      </c>
      <c r="I468" s="183" t="s">
        <v>643</v>
      </c>
      <c r="J468" s="187"/>
      <c r="K468" s="186">
        <v>3.0</v>
      </c>
      <c r="L468" s="187"/>
      <c r="M468" s="187"/>
      <c r="N468" s="187"/>
      <c r="O468" s="187"/>
      <c r="P468" s="187"/>
      <c r="Q468" s="188"/>
      <c r="R468" s="188"/>
      <c r="S468" s="183" t="s">
        <v>98</v>
      </c>
      <c r="T468" s="183" t="s">
        <v>83</v>
      </c>
      <c r="U468" s="183" t="s">
        <v>67</v>
      </c>
      <c r="V468" s="183" t="s">
        <v>84</v>
      </c>
      <c r="W468" s="189"/>
      <c r="X468" s="189"/>
      <c r="Y468" s="189"/>
      <c r="Z468" s="189"/>
      <c r="AA468" s="190">
        <v>10746.0</v>
      </c>
      <c r="AB468" s="190">
        <v>53730.0</v>
      </c>
      <c r="AC468" s="24" t="s">
        <v>1548</v>
      </c>
      <c r="AD468" s="81">
        <v>4699.0</v>
      </c>
      <c r="AE468" s="82" t="s">
        <v>1549</v>
      </c>
      <c r="AF468" s="183" t="str">
        <f t="shared" si="1"/>
        <v>Capital Federal, Argentina</v>
      </c>
      <c r="AG468" s="183">
        <f t="shared" si="2"/>
        <v>3</v>
      </c>
      <c r="AH468" s="191">
        <f t="shared" si="3"/>
        <v>0</v>
      </c>
      <c r="AI468" s="191">
        <f t="shared" si="4"/>
        <v>0</v>
      </c>
      <c r="AJ468" s="190">
        <f t="shared" si="5"/>
        <v>64476</v>
      </c>
      <c r="AK468" s="190">
        <f t="shared" si="6"/>
        <v>64476</v>
      </c>
      <c r="AL468" s="192"/>
      <c r="AM468" s="192"/>
    </row>
    <row r="469">
      <c r="A469" s="183">
        <v>468.0</v>
      </c>
      <c r="B469" s="184">
        <v>44161.0</v>
      </c>
      <c r="C469" s="17">
        <v>112020.0</v>
      </c>
      <c r="D469" s="185" t="s">
        <v>1550</v>
      </c>
      <c r="E469" s="183" t="s">
        <v>38</v>
      </c>
      <c r="F469" s="185" t="s">
        <v>1281</v>
      </c>
      <c r="G469" s="183" t="s">
        <v>64</v>
      </c>
      <c r="H469" s="183" t="s">
        <v>41</v>
      </c>
      <c r="I469" s="183" t="s">
        <v>42</v>
      </c>
      <c r="J469" s="187"/>
      <c r="K469" s="187"/>
      <c r="L469" s="187"/>
      <c r="M469" s="186">
        <v>1.0</v>
      </c>
      <c r="N469" s="187"/>
      <c r="O469" s="187"/>
      <c r="P469" s="187"/>
      <c r="Q469" s="188"/>
      <c r="R469" s="188"/>
      <c r="S469" s="183" t="s">
        <v>98</v>
      </c>
      <c r="T469" s="183" t="s">
        <v>58</v>
      </c>
      <c r="U469" s="183" t="s">
        <v>67</v>
      </c>
      <c r="V469" s="183" t="s">
        <v>217</v>
      </c>
      <c r="W469" s="189"/>
      <c r="X469" s="189"/>
      <c r="Y469" s="189"/>
      <c r="Z469" s="189"/>
      <c r="AA469" s="190">
        <v>5428.0</v>
      </c>
      <c r="AB469" s="190">
        <v>0.0</v>
      </c>
      <c r="AC469" s="24" t="s">
        <v>1551</v>
      </c>
      <c r="AD469" s="81">
        <v>4703.0</v>
      </c>
      <c r="AE469" s="82" t="s">
        <v>1209</v>
      </c>
      <c r="AF469" s="183" t="str">
        <f t="shared" si="1"/>
        <v>Córdoba, Argentina</v>
      </c>
      <c r="AG469" s="183">
        <f t="shared" si="2"/>
        <v>1</v>
      </c>
      <c r="AH469" s="191">
        <f t="shared" si="3"/>
        <v>0</v>
      </c>
      <c r="AI469" s="191">
        <f t="shared" si="4"/>
        <v>0</v>
      </c>
      <c r="AJ469" s="190">
        <f t="shared" si="5"/>
        <v>5428</v>
      </c>
      <c r="AK469" s="190">
        <f t="shared" si="6"/>
        <v>5428</v>
      </c>
      <c r="AL469" s="192"/>
      <c r="AM469" s="192"/>
    </row>
    <row r="470">
      <c r="A470" s="183">
        <v>469.0</v>
      </c>
      <c r="B470" s="184">
        <v>44161.0</v>
      </c>
      <c r="C470" s="17">
        <v>112020.0</v>
      </c>
      <c r="D470" s="185" t="s">
        <v>1552</v>
      </c>
      <c r="E470" s="183" t="s">
        <v>38</v>
      </c>
      <c r="F470" s="185" t="s">
        <v>1423</v>
      </c>
      <c r="G470" s="183" t="s">
        <v>64</v>
      </c>
      <c r="H470" s="183" t="s">
        <v>41</v>
      </c>
      <c r="I470" s="183" t="s">
        <v>643</v>
      </c>
      <c r="J470" s="186">
        <v>1.0</v>
      </c>
      <c r="K470" s="187"/>
      <c r="L470" s="187"/>
      <c r="M470" s="187"/>
      <c r="N470" s="187"/>
      <c r="O470" s="187"/>
      <c r="P470" s="187"/>
      <c r="Q470" s="188"/>
      <c r="R470" s="188"/>
      <c r="S470" s="183" t="s">
        <v>72</v>
      </c>
      <c r="T470" s="183" t="s">
        <v>66</v>
      </c>
      <c r="U470" s="183" t="s">
        <v>1259</v>
      </c>
      <c r="V470" s="183" t="s">
        <v>1470</v>
      </c>
      <c r="W470" s="189"/>
      <c r="X470" s="189"/>
      <c r="Y470" s="189"/>
      <c r="Z470" s="189"/>
      <c r="AA470" s="190">
        <v>5428.0</v>
      </c>
      <c r="AB470" s="190">
        <v>27140.0</v>
      </c>
      <c r="AC470" s="24" t="s">
        <v>1553</v>
      </c>
      <c r="AD470" s="81">
        <v>4701.0</v>
      </c>
      <c r="AE470" s="82" t="s">
        <v>1554</v>
      </c>
      <c r="AF470" s="183" t="str">
        <f t="shared" si="1"/>
        <v>Buenos Aires, Argentina</v>
      </c>
      <c r="AG470" s="183">
        <f t="shared" si="2"/>
        <v>1</v>
      </c>
      <c r="AH470" s="191">
        <f t="shared" si="3"/>
        <v>0</v>
      </c>
      <c r="AI470" s="191">
        <f t="shared" si="4"/>
        <v>0</v>
      </c>
      <c r="AJ470" s="190">
        <f t="shared" si="5"/>
        <v>32568</v>
      </c>
      <c r="AK470" s="190">
        <f t="shared" si="6"/>
        <v>32568</v>
      </c>
      <c r="AL470" s="192"/>
      <c r="AM470" s="192"/>
    </row>
    <row r="471">
      <c r="A471" s="183">
        <v>470.0</v>
      </c>
      <c r="B471" s="184">
        <v>44161.0</v>
      </c>
      <c r="C471" s="17">
        <v>112020.0</v>
      </c>
      <c r="D471" s="185" t="s">
        <v>1555</v>
      </c>
      <c r="E471" s="183" t="s">
        <v>38</v>
      </c>
      <c r="F471" s="185" t="s">
        <v>1556</v>
      </c>
      <c r="G471" s="183" t="s">
        <v>64</v>
      </c>
      <c r="H471" s="183" t="s">
        <v>41</v>
      </c>
      <c r="I471" s="183" t="s">
        <v>42</v>
      </c>
      <c r="J471" s="187"/>
      <c r="K471" s="187"/>
      <c r="L471" s="187"/>
      <c r="M471" s="187"/>
      <c r="N471" s="187"/>
      <c r="O471" s="187"/>
      <c r="P471" s="186">
        <v>1.0</v>
      </c>
      <c r="Q471" s="188"/>
      <c r="R471" s="188"/>
      <c r="S471" s="183" t="s">
        <v>167</v>
      </c>
      <c r="T471" s="183" t="s">
        <v>66</v>
      </c>
      <c r="U471" s="183" t="s">
        <v>67</v>
      </c>
      <c r="V471" s="183" t="s">
        <v>1470</v>
      </c>
      <c r="W471" s="190">
        <v>2171.0</v>
      </c>
      <c r="X471" s="190">
        <v>10855.0</v>
      </c>
      <c r="Y471" s="189"/>
      <c r="Z471" s="189"/>
      <c r="AA471" s="190">
        <v>0.0</v>
      </c>
      <c r="AB471" s="190">
        <v>0.0</v>
      </c>
      <c r="AC471" s="24" t="s">
        <v>1557</v>
      </c>
      <c r="AD471" s="81">
        <v>4705.0</v>
      </c>
      <c r="AE471" s="82" t="s">
        <v>1558</v>
      </c>
      <c r="AF471" s="183" t="str">
        <f t="shared" si="1"/>
        <v>Buenos Aires, Argentina</v>
      </c>
      <c r="AG471" s="183">
        <f t="shared" si="2"/>
        <v>1</v>
      </c>
      <c r="AH471" s="191">
        <f t="shared" si="3"/>
        <v>13026</v>
      </c>
      <c r="AI471" s="191">
        <f t="shared" si="4"/>
        <v>0</v>
      </c>
      <c r="AJ471" s="190">
        <f t="shared" si="5"/>
        <v>0</v>
      </c>
      <c r="AK471" s="190">
        <f t="shared" si="6"/>
        <v>13026</v>
      </c>
      <c r="AL471" s="192"/>
      <c r="AM471" s="192"/>
    </row>
    <row r="472">
      <c r="A472" s="183">
        <v>471.0</v>
      </c>
      <c r="B472" s="184">
        <v>44161.0</v>
      </c>
      <c r="C472" s="17">
        <v>112020.0</v>
      </c>
      <c r="D472" s="185" t="s">
        <v>1559</v>
      </c>
      <c r="E472" s="183" t="s">
        <v>38</v>
      </c>
      <c r="F472" s="185" t="s">
        <v>1560</v>
      </c>
      <c r="G472" s="183" t="s">
        <v>64</v>
      </c>
      <c r="H472" s="183" t="s">
        <v>227</v>
      </c>
      <c r="I472" s="183" t="s">
        <v>643</v>
      </c>
      <c r="J472" s="187"/>
      <c r="K472" s="187"/>
      <c r="L472" s="187"/>
      <c r="M472" s="186">
        <v>1.0</v>
      </c>
      <c r="N472" s="186">
        <v>1.0</v>
      </c>
      <c r="O472" s="186">
        <v>1.0</v>
      </c>
      <c r="P472" s="186">
        <v>1.0</v>
      </c>
      <c r="Q472" s="188"/>
      <c r="R472" s="188"/>
      <c r="S472" s="183" t="s">
        <v>72</v>
      </c>
      <c r="T472" s="183" t="s">
        <v>263</v>
      </c>
      <c r="U472" s="183" t="s">
        <v>67</v>
      </c>
      <c r="V472" s="183" t="s">
        <v>1470</v>
      </c>
      <c r="W472" s="189"/>
      <c r="X472" s="189"/>
      <c r="Y472" s="189"/>
      <c r="Z472" s="189"/>
      <c r="AA472" s="190">
        <v>22976.0</v>
      </c>
      <c r="AB472" s="190">
        <v>0.0</v>
      </c>
      <c r="AC472" s="24" t="s">
        <v>1561</v>
      </c>
      <c r="AD472" s="81">
        <v>4313.0</v>
      </c>
      <c r="AE472" s="82" t="s">
        <v>1029</v>
      </c>
      <c r="AF472" s="183" t="str">
        <f t="shared" si="1"/>
        <v>Santa Fé, Argentina</v>
      </c>
      <c r="AG472" s="183">
        <f t="shared" si="2"/>
        <v>4</v>
      </c>
      <c r="AH472" s="191">
        <f t="shared" si="3"/>
        <v>0</v>
      </c>
      <c r="AI472" s="191">
        <f t="shared" si="4"/>
        <v>0</v>
      </c>
      <c r="AJ472" s="190">
        <f t="shared" si="5"/>
        <v>22976</v>
      </c>
      <c r="AK472" s="190">
        <f t="shared" si="6"/>
        <v>22976</v>
      </c>
      <c r="AL472" s="192"/>
      <c r="AM472" s="192"/>
    </row>
    <row r="473">
      <c r="A473" s="183">
        <v>472.0</v>
      </c>
      <c r="B473" s="184">
        <v>44161.0</v>
      </c>
      <c r="C473" s="17">
        <v>112020.0</v>
      </c>
      <c r="D473" s="185" t="s">
        <v>1562</v>
      </c>
      <c r="E473" s="183" t="s">
        <v>38</v>
      </c>
      <c r="F473" s="185" t="s">
        <v>1563</v>
      </c>
      <c r="G473" s="183" t="s">
        <v>64</v>
      </c>
      <c r="H473" s="183" t="s">
        <v>41</v>
      </c>
      <c r="I473" s="183" t="s">
        <v>643</v>
      </c>
      <c r="J473" s="186">
        <v>5.0</v>
      </c>
      <c r="K473" s="187"/>
      <c r="L473" s="187"/>
      <c r="M473" s="187"/>
      <c r="N473" s="187"/>
      <c r="O473" s="187"/>
      <c r="P473" s="187"/>
      <c r="Q473" s="188"/>
      <c r="R473" s="188"/>
      <c r="S473" s="183" t="s">
        <v>65</v>
      </c>
      <c r="T473" s="183" t="s">
        <v>263</v>
      </c>
      <c r="U473" s="183" t="s">
        <v>1259</v>
      </c>
      <c r="V473" s="183" t="s">
        <v>1470</v>
      </c>
      <c r="W473" s="189"/>
      <c r="X473" s="189"/>
      <c r="Y473" s="189"/>
      <c r="Z473" s="189"/>
      <c r="AA473" s="190">
        <v>24426.0</v>
      </c>
      <c r="AB473" s="190">
        <v>135700.0</v>
      </c>
      <c r="AC473" s="24" t="s">
        <v>1564</v>
      </c>
      <c r="AD473" s="81">
        <v>4709.0</v>
      </c>
      <c r="AE473" s="82" t="s">
        <v>1565</v>
      </c>
      <c r="AF473" s="183" t="str">
        <f t="shared" si="1"/>
        <v>Santa Fé, Argentina</v>
      </c>
      <c r="AG473" s="183">
        <f t="shared" si="2"/>
        <v>5</v>
      </c>
      <c r="AH473" s="191">
        <f t="shared" si="3"/>
        <v>0</v>
      </c>
      <c r="AI473" s="191">
        <f t="shared" si="4"/>
        <v>0</v>
      </c>
      <c r="AJ473" s="190">
        <f t="shared" si="5"/>
        <v>160126</v>
      </c>
      <c r="AK473" s="190">
        <f t="shared" si="6"/>
        <v>160126</v>
      </c>
      <c r="AL473" s="192"/>
      <c r="AM473" s="192"/>
    </row>
    <row r="474">
      <c r="A474" s="183">
        <v>473.0</v>
      </c>
      <c r="B474" s="184">
        <v>44161.0</v>
      </c>
      <c r="C474" s="17">
        <v>112020.0</v>
      </c>
      <c r="D474" s="185" t="s">
        <v>1566</v>
      </c>
      <c r="E474" s="183" t="s">
        <v>38</v>
      </c>
      <c r="F474" s="185" t="s">
        <v>1567</v>
      </c>
      <c r="G474" s="183" t="s">
        <v>64</v>
      </c>
      <c r="H474" s="183" t="s">
        <v>41</v>
      </c>
      <c r="I474" s="183" t="s">
        <v>643</v>
      </c>
      <c r="J474" s="186">
        <v>4.0</v>
      </c>
      <c r="K474" s="187"/>
      <c r="L474" s="187"/>
      <c r="M474" s="187"/>
      <c r="N474" s="187"/>
      <c r="O474" s="187"/>
      <c r="P474" s="187"/>
      <c r="Q474" s="188"/>
      <c r="R474" s="188"/>
      <c r="S474" s="183" t="s">
        <v>65</v>
      </c>
      <c r="T474" s="183" t="s">
        <v>66</v>
      </c>
      <c r="U474" s="183" t="s">
        <v>1259</v>
      </c>
      <c r="V474" s="183" t="s">
        <v>1470</v>
      </c>
      <c r="W474" s="189"/>
      <c r="X474" s="189"/>
      <c r="Y474" s="189"/>
      <c r="Z474" s="189"/>
      <c r="AA474" s="190">
        <v>19541.0</v>
      </c>
      <c r="AB474" s="190">
        <v>108560.0</v>
      </c>
      <c r="AC474" s="24" t="s">
        <v>1568</v>
      </c>
      <c r="AD474" s="81">
        <v>4713.0</v>
      </c>
      <c r="AE474" s="82" t="s">
        <v>1569</v>
      </c>
      <c r="AF474" s="183" t="str">
        <f t="shared" si="1"/>
        <v>Buenos Aires, Argentina</v>
      </c>
      <c r="AG474" s="183">
        <f t="shared" si="2"/>
        <v>4</v>
      </c>
      <c r="AH474" s="191">
        <f t="shared" si="3"/>
        <v>0</v>
      </c>
      <c r="AI474" s="191">
        <f t="shared" si="4"/>
        <v>0</v>
      </c>
      <c r="AJ474" s="190">
        <f t="shared" si="5"/>
        <v>128101</v>
      </c>
      <c r="AK474" s="190">
        <f t="shared" si="6"/>
        <v>128101</v>
      </c>
      <c r="AL474" s="192"/>
      <c r="AM474" s="192"/>
    </row>
    <row r="475">
      <c r="A475" s="183">
        <v>474.0</v>
      </c>
      <c r="B475" s="184">
        <v>44162.0</v>
      </c>
      <c r="C475" s="17">
        <v>112020.0</v>
      </c>
      <c r="D475" s="185" t="s">
        <v>1570</v>
      </c>
      <c r="E475" s="183" t="s">
        <v>38</v>
      </c>
      <c r="F475" s="185" t="s">
        <v>1423</v>
      </c>
      <c r="G475" s="183" t="s">
        <v>64</v>
      </c>
      <c r="H475" s="183" t="s">
        <v>41</v>
      </c>
      <c r="I475" s="183" t="s">
        <v>42</v>
      </c>
      <c r="J475" s="186">
        <v>1.0</v>
      </c>
      <c r="K475" s="187"/>
      <c r="L475" s="187"/>
      <c r="M475" s="187"/>
      <c r="N475" s="187"/>
      <c r="O475" s="187"/>
      <c r="P475" s="187"/>
      <c r="Q475" s="188"/>
      <c r="R475" s="188"/>
      <c r="S475" s="183" t="s">
        <v>89</v>
      </c>
      <c r="T475" s="183" t="s">
        <v>66</v>
      </c>
      <c r="U475" s="183" t="s">
        <v>1259</v>
      </c>
      <c r="V475" s="183" t="s">
        <v>1470</v>
      </c>
      <c r="W475" s="189"/>
      <c r="X475" s="189"/>
      <c r="Y475" s="189"/>
      <c r="Z475" s="189"/>
      <c r="AA475" s="190">
        <v>5428.0</v>
      </c>
      <c r="AB475" s="190">
        <v>27140.0</v>
      </c>
      <c r="AC475" s="24" t="s">
        <v>1571</v>
      </c>
      <c r="AD475" s="81">
        <v>4715.0</v>
      </c>
      <c r="AE475" s="82" t="s">
        <v>1572</v>
      </c>
      <c r="AF475" s="183" t="str">
        <f t="shared" si="1"/>
        <v>Buenos Aires, Argentina</v>
      </c>
      <c r="AG475" s="183">
        <f t="shared" si="2"/>
        <v>1</v>
      </c>
      <c r="AH475" s="191">
        <f t="shared" si="3"/>
        <v>0</v>
      </c>
      <c r="AI475" s="191">
        <f t="shared" si="4"/>
        <v>0</v>
      </c>
      <c r="AJ475" s="190">
        <f t="shared" si="5"/>
        <v>32568</v>
      </c>
      <c r="AK475" s="190">
        <f t="shared" si="6"/>
        <v>32568</v>
      </c>
      <c r="AL475" s="192"/>
      <c r="AM475" s="192"/>
    </row>
    <row r="476">
      <c r="A476" s="183">
        <v>475.0</v>
      </c>
      <c r="B476" s="184">
        <v>44162.0</v>
      </c>
      <c r="C476" s="17">
        <v>112020.0</v>
      </c>
      <c r="D476" s="185" t="s">
        <v>1573</v>
      </c>
      <c r="E476" s="183" t="s">
        <v>38</v>
      </c>
      <c r="F476" s="185" t="s">
        <v>1503</v>
      </c>
      <c r="G476" s="183" t="s">
        <v>64</v>
      </c>
      <c r="H476" s="183" t="s">
        <v>41</v>
      </c>
      <c r="I476" s="183" t="s">
        <v>643</v>
      </c>
      <c r="J476" s="187"/>
      <c r="K476" s="186">
        <v>4.0</v>
      </c>
      <c r="L476" s="187"/>
      <c r="M476" s="187"/>
      <c r="N476" s="187"/>
      <c r="O476" s="187"/>
      <c r="P476" s="187"/>
      <c r="Q476" s="188"/>
      <c r="R476" s="188"/>
      <c r="S476" s="183" t="s">
        <v>89</v>
      </c>
      <c r="T476" s="183" t="s">
        <v>66</v>
      </c>
      <c r="U476" s="183" t="s">
        <v>1259</v>
      </c>
      <c r="V476" s="183" t="s">
        <v>1470</v>
      </c>
      <c r="W476" s="189"/>
      <c r="X476" s="189"/>
      <c r="Y476" s="189"/>
      <c r="Z476" s="189"/>
      <c r="AA476" s="190">
        <v>14328.0</v>
      </c>
      <c r="AB476" s="190">
        <v>98780.0</v>
      </c>
      <c r="AC476" s="24" t="s">
        <v>1574</v>
      </c>
      <c r="AD476" s="81">
        <v>4717.0</v>
      </c>
      <c r="AE476" s="82" t="s">
        <v>1575</v>
      </c>
      <c r="AF476" s="183" t="str">
        <f t="shared" si="1"/>
        <v>Buenos Aires, Argentina</v>
      </c>
      <c r="AG476" s="183">
        <f t="shared" si="2"/>
        <v>4</v>
      </c>
      <c r="AH476" s="191">
        <f t="shared" si="3"/>
        <v>0</v>
      </c>
      <c r="AI476" s="191">
        <f t="shared" si="4"/>
        <v>0</v>
      </c>
      <c r="AJ476" s="190">
        <f t="shared" si="5"/>
        <v>113108</v>
      </c>
      <c r="AK476" s="190">
        <f t="shared" si="6"/>
        <v>113108</v>
      </c>
      <c r="AL476" s="192"/>
      <c r="AM476" s="192"/>
    </row>
    <row r="477">
      <c r="A477" s="183">
        <v>476.0</v>
      </c>
      <c r="B477" s="184">
        <v>44162.0</v>
      </c>
      <c r="C477" s="17">
        <v>112020.0</v>
      </c>
      <c r="D477" s="185" t="s">
        <v>1576</v>
      </c>
      <c r="E477" s="183" t="s">
        <v>38</v>
      </c>
      <c r="F477" s="185" t="s">
        <v>1415</v>
      </c>
      <c r="G477" s="183" t="s">
        <v>64</v>
      </c>
      <c r="H477" s="183" t="s">
        <v>41</v>
      </c>
      <c r="I477" s="183" t="s">
        <v>643</v>
      </c>
      <c r="J477" s="187"/>
      <c r="K477" s="186">
        <v>1.0</v>
      </c>
      <c r="L477" s="187"/>
      <c r="M477" s="187"/>
      <c r="N477" s="187"/>
      <c r="O477" s="187"/>
      <c r="P477" s="187"/>
      <c r="Q477" s="188"/>
      <c r="R477" s="188"/>
      <c r="S477" s="183" t="s">
        <v>98</v>
      </c>
      <c r="T477" s="183" t="s">
        <v>66</v>
      </c>
      <c r="U477" s="183" t="s">
        <v>1259</v>
      </c>
      <c r="V477" s="183" t="s">
        <v>1470</v>
      </c>
      <c r="W477" s="189"/>
      <c r="X477" s="189"/>
      <c r="Y477" s="189"/>
      <c r="Z477" s="189"/>
      <c r="AA477" s="190">
        <v>3582.0</v>
      </c>
      <c r="AB477" s="190">
        <v>17910.0</v>
      </c>
      <c r="AC477" s="24" t="s">
        <v>1577</v>
      </c>
      <c r="AD477" s="17">
        <v>4711.0</v>
      </c>
      <c r="AE477" s="82" t="s">
        <v>1578</v>
      </c>
      <c r="AF477" s="183" t="str">
        <f t="shared" si="1"/>
        <v>Buenos Aires, Argentina</v>
      </c>
      <c r="AG477" s="183">
        <f t="shared" si="2"/>
        <v>1</v>
      </c>
      <c r="AH477" s="191">
        <f t="shared" si="3"/>
        <v>0</v>
      </c>
      <c r="AI477" s="191">
        <f t="shared" si="4"/>
        <v>0</v>
      </c>
      <c r="AJ477" s="190">
        <f t="shared" si="5"/>
        <v>21492</v>
      </c>
      <c r="AK477" s="190">
        <f t="shared" si="6"/>
        <v>21492</v>
      </c>
      <c r="AL477" s="192"/>
      <c r="AM477" s="192"/>
    </row>
    <row r="478">
      <c r="A478" s="183">
        <v>477.0</v>
      </c>
      <c r="B478" s="184">
        <v>44162.0</v>
      </c>
      <c r="C478" s="17">
        <v>112020.0</v>
      </c>
      <c r="D478" s="185" t="s">
        <v>1579</v>
      </c>
      <c r="E478" s="183" t="s">
        <v>38</v>
      </c>
      <c r="F478" s="185" t="s">
        <v>1492</v>
      </c>
      <c r="G478" s="183" t="s">
        <v>64</v>
      </c>
      <c r="H478" s="183" t="s">
        <v>41</v>
      </c>
      <c r="I478" s="183" t="s">
        <v>42</v>
      </c>
      <c r="J478" s="187"/>
      <c r="K478" s="187"/>
      <c r="L478" s="187"/>
      <c r="M478" s="187"/>
      <c r="N478" s="186">
        <v>1.0</v>
      </c>
      <c r="O478" s="187"/>
      <c r="P478" s="187"/>
      <c r="Q478" s="188"/>
      <c r="R478" s="188"/>
      <c r="S478" s="183" t="s">
        <v>114</v>
      </c>
      <c r="T478" s="183" t="s">
        <v>83</v>
      </c>
      <c r="U478" s="183" t="s">
        <v>67</v>
      </c>
      <c r="V478" s="183" t="s">
        <v>1470</v>
      </c>
      <c r="W478" s="189"/>
      <c r="X478" s="189"/>
      <c r="Y478" s="189"/>
      <c r="Z478" s="189"/>
      <c r="AA478" s="190">
        <v>5428.0</v>
      </c>
      <c r="AB478" s="190">
        <v>0.0</v>
      </c>
      <c r="AC478" s="24" t="s">
        <v>1580</v>
      </c>
      <c r="AD478" s="81">
        <v>4719.0</v>
      </c>
      <c r="AE478" s="82" t="s">
        <v>1581</v>
      </c>
      <c r="AF478" s="183" t="str">
        <f t="shared" si="1"/>
        <v>Capital Federal, Argentina</v>
      </c>
      <c r="AG478" s="183">
        <f t="shared" si="2"/>
        <v>1</v>
      </c>
      <c r="AH478" s="191">
        <f t="shared" si="3"/>
        <v>0</v>
      </c>
      <c r="AI478" s="191">
        <f t="shared" si="4"/>
        <v>0</v>
      </c>
      <c r="AJ478" s="190">
        <f t="shared" si="5"/>
        <v>5428</v>
      </c>
      <c r="AK478" s="190">
        <f t="shared" si="6"/>
        <v>5428</v>
      </c>
      <c r="AL478" s="192"/>
      <c r="AM478" s="192"/>
    </row>
    <row r="479">
      <c r="A479" s="183">
        <v>478.0</v>
      </c>
      <c r="B479" s="184">
        <v>44165.0</v>
      </c>
      <c r="C479" s="17">
        <v>112020.0</v>
      </c>
      <c r="D479" s="185" t="s">
        <v>1582</v>
      </c>
      <c r="E479" s="183" t="s">
        <v>38</v>
      </c>
      <c r="F479" s="185" t="s">
        <v>1459</v>
      </c>
      <c r="G479" s="183" t="s">
        <v>64</v>
      </c>
      <c r="H479" s="183" t="s">
        <v>41</v>
      </c>
      <c r="I479" s="183" t="s">
        <v>643</v>
      </c>
      <c r="J479" s="187"/>
      <c r="K479" s="186">
        <v>3.0</v>
      </c>
      <c r="L479" s="187"/>
      <c r="M479" s="187"/>
      <c r="N479" s="187"/>
      <c r="O479" s="187"/>
      <c r="P479" s="187"/>
      <c r="Q479" s="188"/>
      <c r="R479" s="188"/>
      <c r="S479" s="183" t="s">
        <v>65</v>
      </c>
      <c r="T479" s="183" t="s">
        <v>66</v>
      </c>
      <c r="U479" s="183" t="s">
        <v>1259</v>
      </c>
      <c r="V479" s="183" t="s">
        <v>1470</v>
      </c>
      <c r="W479" s="189"/>
      <c r="X479" s="189"/>
      <c r="Y479" s="189"/>
      <c r="Z479" s="189"/>
      <c r="AA479" s="190">
        <v>10746.0</v>
      </c>
      <c r="AB479" s="190">
        <v>53730.0</v>
      </c>
      <c r="AC479" s="24" t="s">
        <v>1583</v>
      </c>
      <c r="AD479" s="81">
        <v>4721.0</v>
      </c>
      <c r="AE479" s="82" t="s">
        <v>1584</v>
      </c>
      <c r="AF479" s="183" t="str">
        <f t="shared" si="1"/>
        <v>Buenos Aires, Argentina</v>
      </c>
      <c r="AG479" s="183">
        <f t="shared" si="2"/>
        <v>3</v>
      </c>
      <c r="AH479" s="191">
        <f t="shared" si="3"/>
        <v>0</v>
      </c>
      <c r="AI479" s="191">
        <f t="shared" si="4"/>
        <v>0</v>
      </c>
      <c r="AJ479" s="190">
        <f t="shared" si="5"/>
        <v>64476</v>
      </c>
      <c r="AK479" s="190">
        <f t="shared" si="6"/>
        <v>64476</v>
      </c>
      <c r="AL479" s="192"/>
      <c r="AM479" s="192"/>
    </row>
    <row r="480">
      <c r="A480" s="183">
        <v>479.0</v>
      </c>
      <c r="B480" s="184">
        <v>44165.0</v>
      </c>
      <c r="C480" s="17">
        <v>112020.0</v>
      </c>
      <c r="D480" s="185" t="s">
        <v>1585</v>
      </c>
      <c r="E480" s="183" t="s">
        <v>38</v>
      </c>
      <c r="F480" s="185" t="s">
        <v>1412</v>
      </c>
      <c r="G480" s="183" t="s">
        <v>64</v>
      </c>
      <c r="H480" s="183" t="s">
        <v>41</v>
      </c>
      <c r="I480" s="183" t="s">
        <v>42</v>
      </c>
      <c r="J480" s="186">
        <v>2.0</v>
      </c>
      <c r="K480" s="187"/>
      <c r="L480" s="187"/>
      <c r="M480" s="187"/>
      <c r="N480" s="187"/>
      <c r="O480" s="187"/>
      <c r="P480" s="187"/>
      <c r="Q480" s="188"/>
      <c r="R480" s="188"/>
      <c r="S480" s="183" t="s">
        <v>276</v>
      </c>
      <c r="T480" s="183" t="s">
        <v>83</v>
      </c>
      <c r="U480" s="183" t="s">
        <v>1259</v>
      </c>
      <c r="V480" s="183" t="s">
        <v>1470</v>
      </c>
      <c r="W480" s="189"/>
      <c r="X480" s="189"/>
      <c r="Y480" s="189"/>
      <c r="Z480" s="189"/>
      <c r="AA480" s="190">
        <v>11212.0</v>
      </c>
      <c r="AB480" s="190">
        <v>56060.0</v>
      </c>
      <c r="AC480" s="24" t="s">
        <v>1586</v>
      </c>
      <c r="AD480" s="17">
        <v>4723.0</v>
      </c>
      <c r="AE480" s="27" t="s">
        <v>1587</v>
      </c>
      <c r="AF480" s="183" t="str">
        <f t="shared" si="1"/>
        <v>Capital Federal, Argentina</v>
      </c>
      <c r="AG480" s="183">
        <f t="shared" si="2"/>
        <v>2</v>
      </c>
      <c r="AH480" s="191">
        <f t="shared" si="3"/>
        <v>0</v>
      </c>
      <c r="AI480" s="191">
        <f t="shared" si="4"/>
        <v>0</v>
      </c>
      <c r="AJ480" s="190">
        <f t="shared" si="5"/>
        <v>67272</v>
      </c>
      <c r="AK480" s="190">
        <f t="shared" si="6"/>
        <v>67272</v>
      </c>
      <c r="AL480" s="192"/>
      <c r="AM480" s="192"/>
    </row>
    <row r="481">
      <c r="A481" s="147">
        <v>480.0</v>
      </c>
      <c r="B481" s="148">
        <v>44166.0</v>
      </c>
      <c r="C481" s="17">
        <v>122020.0</v>
      </c>
      <c r="D481" s="149" t="s">
        <v>1588</v>
      </c>
      <c r="E481" s="147" t="s">
        <v>38</v>
      </c>
      <c r="F481" s="149" t="s">
        <v>1511</v>
      </c>
      <c r="G481" s="147" t="s">
        <v>64</v>
      </c>
      <c r="H481" s="147" t="s">
        <v>41</v>
      </c>
      <c r="I481" s="147" t="s">
        <v>42</v>
      </c>
      <c r="J481" s="150">
        <v>2.0</v>
      </c>
      <c r="K481" s="150">
        <v>2.0</v>
      </c>
      <c r="L481" s="151"/>
      <c r="M481" s="151"/>
      <c r="N481" s="151"/>
      <c r="O481" s="151"/>
      <c r="P481" s="151"/>
      <c r="Q481" s="152"/>
      <c r="R481" s="152"/>
      <c r="S481" s="147" t="s">
        <v>65</v>
      </c>
      <c r="T481" s="147" t="s">
        <v>66</v>
      </c>
      <c r="U481" s="147" t="s">
        <v>1259</v>
      </c>
      <c r="V481" s="147" t="s">
        <v>1470</v>
      </c>
      <c r="W481" s="153"/>
      <c r="X481" s="153"/>
      <c r="Y481" s="153"/>
      <c r="Z481" s="153"/>
      <c r="AA481" s="154">
        <v>18612.0</v>
      </c>
      <c r="AB481" s="154">
        <v>93060.0</v>
      </c>
      <c r="AC481" s="24" t="s">
        <v>1589</v>
      </c>
      <c r="AD481" s="17">
        <v>4725.0</v>
      </c>
      <c r="AE481" s="27" t="s">
        <v>1590</v>
      </c>
      <c r="AF481" s="147" t="str">
        <f t="shared" si="1"/>
        <v>Buenos Aires, Argentina</v>
      </c>
      <c r="AG481" s="147">
        <f t="shared" si="2"/>
        <v>4</v>
      </c>
      <c r="AH481" s="155">
        <f t="shared" si="3"/>
        <v>0</v>
      </c>
      <c r="AI481" s="155">
        <f t="shared" si="4"/>
        <v>0</v>
      </c>
      <c r="AJ481" s="154">
        <f t="shared" si="5"/>
        <v>111672</v>
      </c>
      <c r="AK481" s="154">
        <f t="shared" si="6"/>
        <v>111672</v>
      </c>
      <c r="AL481" s="156"/>
      <c r="AM481" s="156"/>
    </row>
    <row r="482">
      <c r="A482" s="147">
        <v>481.0</v>
      </c>
      <c r="B482" s="148">
        <v>44166.0</v>
      </c>
      <c r="C482" s="17">
        <v>122020.0</v>
      </c>
      <c r="D482" s="149" t="s">
        <v>1591</v>
      </c>
      <c r="E482" s="147" t="s">
        <v>38</v>
      </c>
      <c r="F482" s="149" t="s">
        <v>1592</v>
      </c>
      <c r="G482" s="147" t="s">
        <v>64</v>
      </c>
      <c r="H482" s="147" t="s">
        <v>41</v>
      </c>
      <c r="I482" s="147" t="s">
        <v>42</v>
      </c>
      <c r="J482" s="150">
        <v>1.0</v>
      </c>
      <c r="K482" s="150">
        <v>1.0</v>
      </c>
      <c r="L482" s="151"/>
      <c r="M482" s="151"/>
      <c r="N482" s="151"/>
      <c r="O482" s="151"/>
      <c r="P482" s="151"/>
      <c r="Q482" s="152"/>
      <c r="R482" s="152"/>
      <c r="S482" s="147" t="s">
        <v>189</v>
      </c>
      <c r="T482" s="147" t="s">
        <v>66</v>
      </c>
      <c r="U482" s="147" t="s">
        <v>1259</v>
      </c>
      <c r="V482" s="147" t="s">
        <v>1470</v>
      </c>
      <c r="W482" s="153"/>
      <c r="X482" s="153"/>
      <c r="Y482" s="153"/>
      <c r="Z482" s="153"/>
      <c r="AA482" s="154">
        <v>9306.0</v>
      </c>
      <c r="AB482" s="154">
        <v>46530.0</v>
      </c>
      <c r="AC482" s="24" t="s">
        <v>1593</v>
      </c>
      <c r="AD482" s="17">
        <v>4727.0</v>
      </c>
      <c r="AE482" s="27" t="s">
        <v>1594</v>
      </c>
      <c r="AF482" s="147" t="str">
        <f t="shared" si="1"/>
        <v>Buenos Aires, Argentina</v>
      </c>
      <c r="AG482" s="147">
        <f t="shared" si="2"/>
        <v>2</v>
      </c>
      <c r="AH482" s="155">
        <f t="shared" si="3"/>
        <v>0</v>
      </c>
      <c r="AI482" s="155">
        <f t="shared" si="4"/>
        <v>0</v>
      </c>
      <c r="AJ482" s="154">
        <f t="shared" si="5"/>
        <v>55836</v>
      </c>
      <c r="AK482" s="154">
        <f t="shared" si="6"/>
        <v>55836</v>
      </c>
      <c r="AL482" s="156"/>
      <c r="AM482" s="156"/>
    </row>
    <row r="483">
      <c r="A483" s="147">
        <v>482.0</v>
      </c>
      <c r="B483" s="148">
        <v>44166.0</v>
      </c>
      <c r="C483" s="17">
        <v>122020.0</v>
      </c>
      <c r="D483" s="149" t="s">
        <v>1595</v>
      </c>
      <c r="E483" s="147" t="s">
        <v>38</v>
      </c>
      <c r="F483" s="149" t="s">
        <v>1592</v>
      </c>
      <c r="G483" s="147" t="s">
        <v>64</v>
      </c>
      <c r="H483" s="147" t="s">
        <v>41</v>
      </c>
      <c r="I483" s="147" t="s">
        <v>42</v>
      </c>
      <c r="J483" s="150">
        <v>1.0</v>
      </c>
      <c r="K483" s="150">
        <v>1.0</v>
      </c>
      <c r="L483" s="151"/>
      <c r="M483" s="151"/>
      <c r="N483" s="151"/>
      <c r="O483" s="151"/>
      <c r="P483" s="151"/>
      <c r="Q483" s="152"/>
      <c r="R483" s="152"/>
      <c r="S483" s="147" t="s">
        <v>189</v>
      </c>
      <c r="T483" s="147" t="s">
        <v>66</v>
      </c>
      <c r="U483" s="147" t="s">
        <v>1259</v>
      </c>
      <c r="V483" s="147" t="s">
        <v>1470</v>
      </c>
      <c r="W483" s="153"/>
      <c r="X483" s="153"/>
      <c r="Y483" s="153"/>
      <c r="Z483" s="153"/>
      <c r="AA483" s="154">
        <v>9306.0</v>
      </c>
      <c r="AB483" s="154">
        <v>46530.0</v>
      </c>
      <c r="AC483" s="24" t="s">
        <v>1596</v>
      </c>
      <c r="AD483" s="17">
        <v>4729.0</v>
      </c>
      <c r="AE483" s="27" t="s">
        <v>1597</v>
      </c>
      <c r="AF483" s="147" t="str">
        <f t="shared" si="1"/>
        <v>Buenos Aires, Argentina</v>
      </c>
      <c r="AG483" s="147">
        <f t="shared" si="2"/>
        <v>2</v>
      </c>
      <c r="AH483" s="155">
        <f t="shared" si="3"/>
        <v>0</v>
      </c>
      <c r="AI483" s="155">
        <f t="shared" si="4"/>
        <v>0</v>
      </c>
      <c r="AJ483" s="154">
        <f t="shared" si="5"/>
        <v>55836</v>
      </c>
      <c r="AK483" s="154">
        <f t="shared" si="6"/>
        <v>55836</v>
      </c>
      <c r="AL483" s="156"/>
      <c r="AM483" s="156"/>
    </row>
    <row r="484">
      <c r="A484" s="147">
        <v>483.0</v>
      </c>
      <c r="B484" s="148">
        <v>44166.0</v>
      </c>
      <c r="C484" s="17">
        <v>122020.0</v>
      </c>
      <c r="D484" s="149" t="s">
        <v>1598</v>
      </c>
      <c r="E484" s="147" t="s">
        <v>38</v>
      </c>
      <c r="F484" s="149" t="s">
        <v>1427</v>
      </c>
      <c r="G484" s="147" t="s">
        <v>64</v>
      </c>
      <c r="H484" s="147" t="s">
        <v>41</v>
      </c>
      <c r="I484" s="147" t="s">
        <v>643</v>
      </c>
      <c r="J484" s="151"/>
      <c r="K484" s="150">
        <v>2.0</v>
      </c>
      <c r="L484" s="151"/>
      <c r="M484" s="151"/>
      <c r="N484" s="151"/>
      <c r="O484" s="151"/>
      <c r="P484" s="151"/>
      <c r="Q484" s="152"/>
      <c r="R484" s="152"/>
      <c r="S484" s="147" t="s">
        <v>65</v>
      </c>
      <c r="T484" s="147" t="s">
        <v>66</v>
      </c>
      <c r="U484" s="147" t="s">
        <v>67</v>
      </c>
      <c r="V484" s="147" t="s">
        <v>1470</v>
      </c>
      <c r="W484" s="153"/>
      <c r="X484" s="153"/>
      <c r="Y484" s="153"/>
      <c r="Z484" s="153"/>
      <c r="AA484" s="154">
        <v>7400.0</v>
      </c>
      <c r="AB484" s="154">
        <v>37000.0</v>
      </c>
      <c r="AC484" s="24" t="s">
        <v>1599</v>
      </c>
      <c r="AD484" s="17">
        <v>4731.0</v>
      </c>
      <c r="AE484" s="27" t="s">
        <v>1600</v>
      </c>
      <c r="AF484" s="147" t="str">
        <f t="shared" si="1"/>
        <v>Buenos Aires, Argentina</v>
      </c>
      <c r="AG484" s="147">
        <f t="shared" si="2"/>
        <v>2</v>
      </c>
      <c r="AH484" s="155">
        <f t="shared" si="3"/>
        <v>0</v>
      </c>
      <c r="AI484" s="155">
        <f t="shared" si="4"/>
        <v>0</v>
      </c>
      <c r="AJ484" s="154">
        <f t="shared" si="5"/>
        <v>44400</v>
      </c>
      <c r="AK484" s="154">
        <f t="shared" si="6"/>
        <v>44400</v>
      </c>
      <c r="AL484" s="156"/>
      <c r="AM484" s="156"/>
    </row>
    <row r="485">
      <c r="A485" s="147">
        <v>484.0</v>
      </c>
      <c r="B485" s="148">
        <v>44166.0</v>
      </c>
      <c r="C485" s="17">
        <v>122020.0</v>
      </c>
      <c r="D485" s="149" t="s">
        <v>1601</v>
      </c>
      <c r="E485" s="147" t="s">
        <v>38</v>
      </c>
      <c r="F485" s="149" t="s">
        <v>1423</v>
      </c>
      <c r="G485" s="147" t="s">
        <v>40</v>
      </c>
      <c r="H485" s="147" t="s">
        <v>41</v>
      </c>
      <c r="I485" s="147" t="s">
        <v>643</v>
      </c>
      <c r="J485" s="150">
        <v>1.0</v>
      </c>
      <c r="K485" s="151"/>
      <c r="L485" s="151"/>
      <c r="M485" s="151"/>
      <c r="N485" s="151"/>
      <c r="O485" s="151"/>
      <c r="P485" s="151"/>
      <c r="Q485" s="152"/>
      <c r="R485" s="152"/>
      <c r="S485" s="147" t="s">
        <v>141</v>
      </c>
      <c r="T485" s="147" t="s">
        <v>58</v>
      </c>
      <c r="U485" s="147" t="s">
        <v>45</v>
      </c>
      <c r="V485" s="147" t="s">
        <v>1470</v>
      </c>
      <c r="W485" s="153"/>
      <c r="X485" s="153"/>
      <c r="Y485" s="153"/>
      <c r="Z485" s="153"/>
      <c r="AA485" s="154">
        <v>5606.0</v>
      </c>
      <c r="AB485" s="154">
        <v>28030.0</v>
      </c>
      <c r="AC485" s="24" t="s">
        <v>1602</v>
      </c>
      <c r="AD485" s="17">
        <v>4733.0</v>
      </c>
      <c r="AE485" s="27" t="s">
        <v>1603</v>
      </c>
      <c r="AF485" s="147" t="str">
        <f t="shared" si="1"/>
        <v>Córdoba, Argentina</v>
      </c>
      <c r="AG485" s="147">
        <f t="shared" si="2"/>
        <v>1</v>
      </c>
      <c r="AH485" s="155">
        <f t="shared" si="3"/>
        <v>0</v>
      </c>
      <c r="AI485" s="155">
        <f t="shared" si="4"/>
        <v>0</v>
      </c>
      <c r="AJ485" s="154">
        <f t="shared" si="5"/>
        <v>33636</v>
      </c>
      <c r="AK485" s="154">
        <f t="shared" si="6"/>
        <v>33636</v>
      </c>
      <c r="AL485" s="156"/>
      <c r="AM485" s="156"/>
    </row>
    <row r="486">
      <c r="A486" s="147">
        <v>485.0</v>
      </c>
      <c r="B486" s="148">
        <v>44167.0</v>
      </c>
      <c r="C486" s="17">
        <v>122020.0</v>
      </c>
      <c r="D486" s="149" t="s">
        <v>1604</v>
      </c>
      <c r="E486" s="147" t="s">
        <v>38</v>
      </c>
      <c r="F486" s="149" t="s">
        <v>1423</v>
      </c>
      <c r="G486" s="147" t="s">
        <v>64</v>
      </c>
      <c r="H486" s="147" t="s">
        <v>41</v>
      </c>
      <c r="I486" s="147" t="s">
        <v>643</v>
      </c>
      <c r="J486" s="150">
        <v>1.0</v>
      </c>
      <c r="K486" s="151"/>
      <c r="L486" s="151"/>
      <c r="M486" s="151"/>
      <c r="N486" s="151"/>
      <c r="O486" s="151"/>
      <c r="P486" s="151"/>
      <c r="Q486" s="152"/>
      <c r="R486" s="152"/>
      <c r="S486" s="147" t="s">
        <v>43</v>
      </c>
      <c r="T486" s="147" t="s">
        <v>66</v>
      </c>
      <c r="U486" s="147" t="s">
        <v>1259</v>
      </c>
      <c r="V486" s="147" t="s">
        <v>1470</v>
      </c>
      <c r="W486" s="153"/>
      <c r="X486" s="153"/>
      <c r="Y486" s="153"/>
      <c r="Z486" s="153"/>
      <c r="AA486" s="154">
        <v>5606.0</v>
      </c>
      <c r="AB486" s="154">
        <v>28030.0</v>
      </c>
      <c r="AC486" s="24" t="s">
        <v>1605</v>
      </c>
      <c r="AD486" s="17">
        <v>4737.0</v>
      </c>
      <c r="AE486" s="27" t="s">
        <v>1606</v>
      </c>
      <c r="AF486" s="147" t="str">
        <f t="shared" si="1"/>
        <v>Buenos Aires, Argentina</v>
      </c>
      <c r="AG486" s="147">
        <f t="shared" si="2"/>
        <v>1</v>
      </c>
      <c r="AH486" s="155">
        <f t="shared" si="3"/>
        <v>0</v>
      </c>
      <c r="AI486" s="155">
        <f t="shared" si="4"/>
        <v>0</v>
      </c>
      <c r="AJ486" s="154">
        <f t="shared" si="5"/>
        <v>33636</v>
      </c>
      <c r="AK486" s="154">
        <f t="shared" si="6"/>
        <v>33636</v>
      </c>
      <c r="AL486" s="156"/>
      <c r="AM486" s="156"/>
    </row>
    <row r="487">
      <c r="A487" s="147">
        <v>486.0</v>
      </c>
      <c r="B487" s="148">
        <v>44167.0</v>
      </c>
      <c r="C487" s="17">
        <v>122020.0</v>
      </c>
      <c r="D487" s="149" t="s">
        <v>1607</v>
      </c>
      <c r="E487" s="147" t="s">
        <v>38</v>
      </c>
      <c r="F487" s="149" t="s">
        <v>1281</v>
      </c>
      <c r="G487" s="147" t="s">
        <v>64</v>
      </c>
      <c r="H487" s="147" t="s">
        <v>41</v>
      </c>
      <c r="I487" s="147" t="s">
        <v>42</v>
      </c>
      <c r="J487" s="151"/>
      <c r="K487" s="151"/>
      <c r="L487" s="151"/>
      <c r="M487" s="150">
        <v>1.0</v>
      </c>
      <c r="N487" s="151"/>
      <c r="O487" s="151"/>
      <c r="P487" s="151"/>
      <c r="Q487" s="152"/>
      <c r="R487" s="152"/>
      <c r="S487" s="147" t="s">
        <v>114</v>
      </c>
      <c r="T487" s="147" t="s">
        <v>66</v>
      </c>
      <c r="U487" s="147" t="s">
        <v>67</v>
      </c>
      <c r="V487" s="147" t="s">
        <v>1470</v>
      </c>
      <c r="W487" s="153"/>
      <c r="X487" s="153"/>
      <c r="Y487" s="153"/>
      <c r="Z487" s="153"/>
      <c r="AA487" s="154">
        <v>5606.0</v>
      </c>
      <c r="AB487" s="154">
        <v>0.0</v>
      </c>
      <c r="AC487" s="24" t="s">
        <v>1608</v>
      </c>
      <c r="AD487" s="17">
        <v>4471.0</v>
      </c>
      <c r="AE487" s="27" t="s">
        <v>1609</v>
      </c>
      <c r="AF487" s="147" t="str">
        <f t="shared" si="1"/>
        <v>Buenos Aires, Argentina</v>
      </c>
      <c r="AG487" s="147">
        <f t="shared" si="2"/>
        <v>1</v>
      </c>
      <c r="AH487" s="155">
        <f t="shared" si="3"/>
        <v>0</v>
      </c>
      <c r="AI487" s="155">
        <f t="shared" si="4"/>
        <v>0</v>
      </c>
      <c r="AJ487" s="154">
        <f t="shared" si="5"/>
        <v>5606</v>
      </c>
      <c r="AK487" s="154">
        <f t="shared" si="6"/>
        <v>5606</v>
      </c>
      <c r="AL487" s="156"/>
      <c r="AM487" s="156"/>
    </row>
    <row r="488">
      <c r="A488" s="147">
        <v>487.0</v>
      </c>
      <c r="B488" s="148">
        <v>44167.0</v>
      </c>
      <c r="C488" s="17">
        <v>122020.0</v>
      </c>
      <c r="D488" s="149" t="s">
        <v>1610</v>
      </c>
      <c r="E488" s="147" t="s">
        <v>38</v>
      </c>
      <c r="F488" s="149" t="s">
        <v>1427</v>
      </c>
      <c r="G488" s="147" t="s">
        <v>64</v>
      </c>
      <c r="H488" s="147" t="s">
        <v>41</v>
      </c>
      <c r="I488" s="147" t="s">
        <v>643</v>
      </c>
      <c r="J488" s="151"/>
      <c r="K488" s="150">
        <v>2.0</v>
      </c>
      <c r="L488" s="151"/>
      <c r="M488" s="151"/>
      <c r="N488" s="151"/>
      <c r="O488" s="151"/>
      <c r="P488" s="151"/>
      <c r="Q488" s="152"/>
      <c r="R488" s="152"/>
      <c r="S488" s="147" t="s">
        <v>189</v>
      </c>
      <c r="T488" s="147" t="s">
        <v>66</v>
      </c>
      <c r="U488" s="147" t="s">
        <v>1259</v>
      </c>
      <c r="V488" s="147" t="s">
        <v>1470</v>
      </c>
      <c r="W488" s="153"/>
      <c r="X488" s="153"/>
      <c r="Y488" s="153"/>
      <c r="Z488" s="153"/>
      <c r="AA488" s="154">
        <v>7400.0</v>
      </c>
      <c r="AB488" s="154">
        <v>37000.0</v>
      </c>
      <c r="AC488" s="24" t="s">
        <v>1611</v>
      </c>
      <c r="AD488" s="17">
        <v>4739.0</v>
      </c>
      <c r="AE488" s="27" t="s">
        <v>1609</v>
      </c>
      <c r="AF488" s="147" t="str">
        <f t="shared" si="1"/>
        <v>Buenos Aires, Argentina</v>
      </c>
      <c r="AG488" s="147">
        <f t="shared" si="2"/>
        <v>2</v>
      </c>
      <c r="AH488" s="155">
        <f t="shared" si="3"/>
        <v>0</v>
      </c>
      <c r="AI488" s="155">
        <f t="shared" si="4"/>
        <v>0</v>
      </c>
      <c r="AJ488" s="154">
        <f t="shared" si="5"/>
        <v>44400</v>
      </c>
      <c r="AK488" s="154">
        <f t="shared" si="6"/>
        <v>44400</v>
      </c>
      <c r="AL488" s="156"/>
      <c r="AM488" s="156"/>
    </row>
    <row r="489">
      <c r="A489" s="147">
        <v>488.0</v>
      </c>
      <c r="B489" s="148">
        <v>44167.0</v>
      </c>
      <c r="C489" s="17">
        <v>122020.0</v>
      </c>
      <c r="D489" s="149" t="s">
        <v>1612</v>
      </c>
      <c r="E489" s="147" t="s">
        <v>38</v>
      </c>
      <c r="F489" s="149" t="s">
        <v>1459</v>
      </c>
      <c r="G489" s="147" t="s">
        <v>64</v>
      </c>
      <c r="H489" s="147" t="s">
        <v>41</v>
      </c>
      <c r="I489" s="147" t="s">
        <v>643</v>
      </c>
      <c r="J489" s="151"/>
      <c r="K489" s="150">
        <v>3.0</v>
      </c>
      <c r="L489" s="151"/>
      <c r="M489" s="151"/>
      <c r="N489" s="151"/>
      <c r="O489" s="151"/>
      <c r="P489" s="151"/>
      <c r="Q489" s="152"/>
      <c r="R489" s="152"/>
      <c r="S489" s="147" t="s">
        <v>276</v>
      </c>
      <c r="T489" s="147" t="s">
        <v>115</v>
      </c>
      <c r="U489" s="147" t="s">
        <v>1259</v>
      </c>
      <c r="V489" s="147" t="s">
        <v>1470</v>
      </c>
      <c r="W489" s="153"/>
      <c r="X489" s="153"/>
      <c r="Y489" s="153"/>
      <c r="Z489" s="153"/>
      <c r="AA489" s="154">
        <v>11100.0</v>
      </c>
      <c r="AB489" s="154">
        <v>55500.0</v>
      </c>
      <c r="AC489" s="24" t="s">
        <v>1613</v>
      </c>
      <c r="AD489" s="17">
        <v>4741.0</v>
      </c>
      <c r="AE489" s="27" t="s">
        <v>1614</v>
      </c>
      <c r="AF489" s="147" t="str">
        <f t="shared" si="1"/>
        <v>Jujuy, Argentina</v>
      </c>
      <c r="AG489" s="147">
        <f t="shared" si="2"/>
        <v>3</v>
      </c>
      <c r="AH489" s="155">
        <f t="shared" si="3"/>
        <v>0</v>
      </c>
      <c r="AI489" s="155">
        <f t="shared" si="4"/>
        <v>0</v>
      </c>
      <c r="AJ489" s="154">
        <f t="shared" si="5"/>
        <v>66600</v>
      </c>
      <c r="AK489" s="154">
        <f t="shared" si="6"/>
        <v>66600</v>
      </c>
      <c r="AL489" s="156"/>
      <c r="AM489" s="156"/>
    </row>
    <row r="490">
      <c r="A490" s="147">
        <v>489.0</v>
      </c>
      <c r="B490" s="148">
        <v>44167.0</v>
      </c>
      <c r="C490" s="17">
        <v>122020.0</v>
      </c>
      <c r="D490" s="149" t="s">
        <v>1615</v>
      </c>
      <c r="E490" s="147" t="s">
        <v>38</v>
      </c>
      <c r="F490" s="149" t="s">
        <v>1567</v>
      </c>
      <c r="G490" s="147" t="s">
        <v>64</v>
      </c>
      <c r="H490" s="147" t="s">
        <v>41</v>
      </c>
      <c r="I490" s="147" t="s">
        <v>643</v>
      </c>
      <c r="J490" s="150">
        <v>4.0</v>
      </c>
      <c r="K490" s="151"/>
      <c r="L490" s="151"/>
      <c r="M490" s="151"/>
      <c r="N490" s="151"/>
      <c r="O490" s="151"/>
      <c r="P490" s="151"/>
      <c r="Q490" s="152"/>
      <c r="R490" s="152"/>
      <c r="S490" s="147" t="s">
        <v>189</v>
      </c>
      <c r="T490" s="147" t="s">
        <v>73</v>
      </c>
      <c r="U490" s="147" t="s">
        <v>1616</v>
      </c>
      <c r="V490" s="147" t="s">
        <v>1470</v>
      </c>
      <c r="W490" s="153"/>
      <c r="X490" s="153"/>
      <c r="Y490" s="153"/>
      <c r="Z490" s="153"/>
      <c r="AA490" s="154">
        <v>22424.0</v>
      </c>
      <c r="AB490" s="154">
        <v>112120.0</v>
      </c>
      <c r="AC490" s="24" t="s">
        <v>1617</v>
      </c>
      <c r="AD490" s="17">
        <v>4743.0</v>
      </c>
      <c r="AE490" s="27" t="s">
        <v>1618</v>
      </c>
      <c r="AF490" s="147" t="str">
        <f t="shared" si="1"/>
        <v>Tierra de Fuego, Argentina</v>
      </c>
      <c r="AG490" s="147">
        <f t="shared" si="2"/>
        <v>4</v>
      </c>
      <c r="AH490" s="155">
        <f t="shared" si="3"/>
        <v>0</v>
      </c>
      <c r="AI490" s="155">
        <f t="shared" si="4"/>
        <v>0</v>
      </c>
      <c r="AJ490" s="154">
        <f t="shared" si="5"/>
        <v>134544</v>
      </c>
      <c r="AK490" s="154">
        <f t="shared" si="6"/>
        <v>134544</v>
      </c>
      <c r="AL490" s="156"/>
      <c r="AM490" s="156"/>
    </row>
    <row r="491">
      <c r="A491" s="147">
        <v>490.0</v>
      </c>
      <c r="B491" s="148">
        <v>44167.0</v>
      </c>
      <c r="C491" s="17">
        <v>122020.0</v>
      </c>
      <c r="D491" s="149" t="s">
        <v>1619</v>
      </c>
      <c r="E491" s="147" t="s">
        <v>38</v>
      </c>
      <c r="F491" s="149" t="s">
        <v>1423</v>
      </c>
      <c r="G491" s="147" t="s">
        <v>64</v>
      </c>
      <c r="H491" s="147" t="s">
        <v>41</v>
      </c>
      <c r="I491" s="147" t="s">
        <v>42</v>
      </c>
      <c r="J491" s="150">
        <v>1.0</v>
      </c>
      <c r="K491" s="151"/>
      <c r="L491" s="151"/>
      <c r="M491" s="151"/>
      <c r="N491" s="151"/>
      <c r="O491" s="151"/>
      <c r="P491" s="151"/>
      <c r="Q491" s="152"/>
      <c r="R491" s="152"/>
      <c r="S491" s="147" t="s">
        <v>65</v>
      </c>
      <c r="T491" s="147" t="s">
        <v>66</v>
      </c>
      <c r="U491" s="147" t="s">
        <v>1259</v>
      </c>
      <c r="V491" s="147" t="s">
        <v>1470</v>
      </c>
      <c r="W491" s="153"/>
      <c r="X491" s="153"/>
      <c r="Y491" s="153"/>
      <c r="Z491" s="153"/>
      <c r="AA491" s="154">
        <v>5606.0</v>
      </c>
      <c r="AB491" s="154">
        <v>23080.0</v>
      </c>
      <c r="AC491" s="24" t="s">
        <v>1620</v>
      </c>
      <c r="AD491" s="17">
        <v>4745.0</v>
      </c>
      <c r="AE491" s="27" t="s">
        <v>1621</v>
      </c>
      <c r="AF491" s="147" t="str">
        <f t="shared" si="1"/>
        <v>Buenos Aires, Argentina</v>
      </c>
      <c r="AG491" s="147">
        <f t="shared" si="2"/>
        <v>1</v>
      </c>
      <c r="AH491" s="155">
        <f t="shared" si="3"/>
        <v>0</v>
      </c>
      <c r="AI491" s="155">
        <f t="shared" si="4"/>
        <v>0</v>
      </c>
      <c r="AJ491" s="154">
        <f t="shared" si="5"/>
        <v>28686</v>
      </c>
      <c r="AK491" s="154">
        <f t="shared" si="6"/>
        <v>28686</v>
      </c>
      <c r="AL491" s="156"/>
      <c r="AM491" s="156"/>
    </row>
    <row r="492">
      <c r="A492" s="147">
        <v>491.0</v>
      </c>
      <c r="B492" s="148">
        <v>44168.0</v>
      </c>
      <c r="C492" s="17">
        <v>122020.0</v>
      </c>
      <c r="D492" s="149" t="s">
        <v>1622</v>
      </c>
      <c r="E492" s="147" t="s">
        <v>38</v>
      </c>
      <c r="F492" s="149" t="s">
        <v>1474</v>
      </c>
      <c r="G492" s="147" t="s">
        <v>64</v>
      </c>
      <c r="H492" s="147" t="s">
        <v>41</v>
      </c>
      <c r="I492" s="147" t="s">
        <v>643</v>
      </c>
      <c r="J492" s="150">
        <v>3.0</v>
      </c>
      <c r="K492" s="151"/>
      <c r="L492" s="151"/>
      <c r="M492" s="151"/>
      <c r="N492" s="151"/>
      <c r="O492" s="151"/>
      <c r="P492" s="151"/>
      <c r="Q492" s="152"/>
      <c r="R492" s="152"/>
      <c r="S492" s="147" t="s">
        <v>89</v>
      </c>
      <c r="T492" s="147" t="s">
        <v>66</v>
      </c>
      <c r="U492" s="147" t="s">
        <v>67</v>
      </c>
      <c r="V492" s="147" t="s">
        <v>1470</v>
      </c>
      <c r="W492" s="153"/>
      <c r="X492" s="153"/>
      <c r="Y492" s="153"/>
      <c r="Z492" s="153"/>
      <c r="AA492" s="154">
        <v>16818.0</v>
      </c>
      <c r="AB492" s="154">
        <v>84090.0</v>
      </c>
      <c r="AC492" s="24" t="s">
        <v>1623</v>
      </c>
      <c r="AD492" s="17">
        <v>4747.0</v>
      </c>
      <c r="AE492" s="27" t="s">
        <v>1624</v>
      </c>
      <c r="AF492" s="147" t="str">
        <f t="shared" si="1"/>
        <v>Buenos Aires, Argentina</v>
      </c>
      <c r="AG492" s="147">
        <f t="shared" si="2"/>
        <v>3</v>
      </c>
      <c r="AH492" s="155">
        <f t="shared" si="3"/>
        <v>0</v>
      </c>
      <c r="AI492" s="155">
        <f t="shared" si="4"/>
        <v>0</v>
      </c>
      <c r="AJ492" s="154">
        <f t="shared" si="5"/>
        <v>100908</v>
      </c>
      <c r="AK492" s="154">
        <f t="shared" si="6"/>
        <v>100908</v>
      </c>
      <c r="AL492" s="156"/>
      <c r="AM492" s="156"/>
    </row>
    <row r="493">
      <c r="A493" s="147">
        <v>492.0</v>
      </c>
      <c r="B493" s="148">
        <v>44169.0</v>
      </c>
      <c r="C493" s="17">
        <v>122020.0</v>
      </c>
      <c r="D493" s="149" t="s">
        <v>1625</v>
      </c>
      <c r="E493" s="147" t="s">
        <v>38</v>
      </c>
      <c r="F493" s="149" t="s">
        <v>1626</v>
      </c>
      <c r="G493" s="147" t="s">
        <v>64</v>
      </c>
      <c r="H493" s="147" t="s">
        <v>41</v>
      </c>
      <c r="I493" s="147" t="s">
        <v>643</v>
      </c>
      <c r="J493" s="150">
        <v>2.0</v>
      </c>
      <c r="K493" s="151"/>
      <c r="L493" s="151"/>
      <c r="M493" s="151"/>
      <c r="N493" s="151"/>
      <c r="O493" s="151"/>
      <c r="P493" s="151"/>
      <c r="Q493" s="152"/>
      <c r="R493" s="152"/>
      <c r="S493" s="147" t="s">
        <v>65</v>
      </c>
      <c r="T493" s="147" t="s">
        <v>66</v>
      </c>
      <c r="U493" s="147" t="s">
        <v>1259</v>
      </c>
      <c r="V493" s="147" t="s">
        <v>1470</v>
      </c>
      <c r="W493" s="153"/>
      <c r="X493" s="153"/>
      <c r="Y493" s="153"/>
      <c r="Z493" s="153"/>
      <c r="AA493" s="154">
        <v>11212.0</v>
      </c>
      <c r="AB493" s="154">
        <v>56060.0</v>
      </c>
      <c r="AC493" s="24" t="s">
        <v>1627</v>
      </c>
      <c r="AD493" s="17">
        <v>4749.0</v>
      </c>
      <c r="AE493" s="27" t="s">
        <v>1628</v>
      </c>
      <c r="AF493" s="147" t="str">
        <f t="shared" si="1"/>
        <v>Buenos Aires, Argentina</v>
      </c>
      <c r="AG493" s="147">
        <f t="shared" si="2"/>
        <v>2</v>
      </c>
      <c r="AH493" s="155">
        <f t="shared" si="3"/>
        <v>0</v>
      </c>
      <c r="AI493" s="155">
        <f t="shared" si="4"/>
        <v>0</v>
      </c>
      <c r="AJ493" s="154">
        <f t="shared" si="5"/>
        <v>67272</v>
      </c>
      <c r="AK493" s="154">
        <f t="shared" si="6"/>
        <v>67272</v>
      </c>
      <c r="AL493" s="156"/>
      <c r="AM493" s="156"/>
    </row>
    <row r="494">
      <c r="A494" s="147">
        <v>493.0</v>
      </c>
      <c r="B494" s="148">
        <v>44175.0</v>
      </c>
      <c r="C494" s="17">
        <v>122020.0</v>
      </c>
      <c r="D494" s="149" t="s">
        <v>1629</v>
      </c>
      <c r="E494" s="147" t="s">
        <v>38</v>
      </c>
      <c r="F494" s="149" t="s">
        <v>1281</v>
      </c>
      <c r="G494" s="147" t="s">
        <v>64</v>
      </c>
      <c r="H494" s="147" t="s">
        <v>41</v>
      </c>
      <c r="I494" s="147" t="s">
        <v>42</v>
      </c>
      <c r="J494" s="151"/>
      <c r="K494" s="151"/>
      <c r="L494" s="151"/>
      <c r="M494" s="150">
        <v>1.0</v>
      </c>
      <c r="N494" s="151"/>
      <c r="O494" s="151"/>
      <c r="P494" s="151"/>
      <c r="Q494" s="152"/>
      <c r="R494" s="152"/>
      <c r="S494" s="147" t="s">
        <v>105</v>
      </c>
      <c r="T494" s="147" t="s">
        <v>83</v>
      </c>
      <c r="U494" s="147" t="s">
        <v>67</v>
      </c>
      <c r="V494" s="147" t="s">
        <v>1470</v>
      </c>
      <c r="W494" s="153"/>
      <c r="X494" s="153"/>
      <c r="Y494" s="153"/>
      <c r="Z494" s="153"/>
      <c r="AA494" s="154">
        <v>5606.0</v>
      </c>
      <c r="AB494" s="153" t="s">
        <v>926</v>
      </c>
      <c r="AC494" s="24" t="s">
        <v>1630</v>
      </c>
      <c r="AD494" s="17">
        <v>4605.0</v>
      </c>
      <c r="AE494" s="27" t="s">
        <v>1202</v>
      </c>
      <c r="AF494" s="147" t="str">
        <f t="shared" si="1"/>
        <v>Capital Federal, Argentina</v>
      </c>
      <c r="AG494" s="147">
        <f t="shared" si="2"/>
        <v>1</v>
      </c>
      <c r="AH494" s="155">
        <f t="shared" si="3"/>
        <v>0</v>
      </c>
      <c r="AI494" s="155">
        <f t="shared" si="4"/>
        <v>0</v>
      </c>
      <c r="AJ494" s="154">
        <f t="shared" si="5"/>
        <v>5606</v>
      </c>
      <c r="AK494" s="154">
        <f t="shared" si="6"/>
        <v>5606</v>
      </c>
      <c r="AL494" s="156"/>
      <c r="AM494" s="156"/>
    </row>
    <row r="495">
      <c r="A495" s="147">
        <v>494.0</v>
      </c>
      <c r="B495" s="148">
        <v>44175.0</v>
      </c>
      <c r="C495" s="17">
        <v>122020.0</v>
      </c>
      <c r="D495" s="149" t="s">
        <v>1631</v>
      </c>
      <c r="E495" s="147" t="s">
        <v>38</v>
      </c>
      <c r="F495" s="149" t="s">
        <v>1632</v>
      </c>
      <c r="G495" s="147" t="s">
        <v>64</v>
      </c>
      <c r="H495" s="147" t="s">
        <v>41</v>
      </c>
      <c r="I495" s="147" t="s">
        <v>42</v>
      </c>
      <c r="J495" s="151"/>
      <c r="K495" s="151"/>
      <c r="L495" s="150">
        <v>3.0</v>
      </c>
      <c r="M495" s="151"/>
      <c r="N495" s="151"/>
      <c r="O495" s="151"/>
      <c r="P495" s="151"/>
      <c r="Q495" s="152"/>
      <c r="R495" s="152"/>
      <c r="S495" s="147" t="s">
        <v>89</v>
      </c>
      <c r="T495" s="147" t="s">
        <v>66</v>
      </c>
      <c r="U495" s="147" t="s">
        <v>1259</v>
      </c>
      <c r="V495" s="147" t="s">
        <v>1470</v>
      </c>
      <c r="W495" s="153"/>
      <c r="X495" s="153"/>
      <c r="Y495" s="153"/>
      <c r="Z495" s="153"/>
      <c r="AA495" s="154">
        <v>6729.0</v>
      </c>
      <c r="AB495" s="154">
        <v>33645.0</v>
      </c>
      <c r="AC495" s="24" t="s">
        <v>1633</v>
      </c>
      <c r="AD495" s="17">
        <v>4751.0</v>
      </c>
      <c r="AE495" s="27" t="s">
        <v>1634</v>
      </c>
      <c r="AF495" s="147" t="str">
        <f t="shared" si="1"/>
        <v>Buenos Aires, Argentina</v>
      </c>
      <c r="AG495" s="147">
        <f t="shared" si="2"/>
        <v>3</v>
      </c>
      <c r="AH495" s="155">
        <f t="shared" si="3"/>
        <v>0</v>
      </c>
      <c r="AI495" s="155">
        <f t="shared" si="4"/>
        <v>0</v>
      </c>
      <c r="AJ495" s="154">
        <f t="shared" si="5"/>
        <v>40374</v>
      </c>
      <c r="AK495" s="154">
        <f t="shared" si="6"/>
        <v>40374</v>
      </c>
      <c r="AL495" s="156"/>
      <c r="AM495" s="156"/>
    </row>
    <row r="496">
      <c r="A496" s="147">
        <v>495.0</v>
      </c>
      <c r="B496" s="148">
        <v>44175.0</v>
      </c>
      <c r="C496" s="17">
        <v>122020.0</v>
      </c>
      <c r="D496" s="149" t="s">
        <v>1635</v>
      </c>
      <c r="E496" s="147" t="s">
        <v>38</v>
      </c>
      <c r="F496" s="149" t="s">
        <v>1632</v>
      </c>
      <c r="G496" s="147" t="s">
        <v>64</v>
      </c>
      <c r="H496" s="147" t="s">
        <v>41</v>
      </c>
      <c r="I496" s="147" t="s">
        <v>42</v>
      </c>
      <c r="J496" s="151"/>
      <c r="K496" s="151"/>
      <c r="L496" s="150">
        <v>3.0</v>
      </c>
      <c r="M496" s="151"/>
      <c r="N496" s="151"/>
      <c r="O496" s="151"/>
      <c r="P496" s="151"/>
      <c r="Q496" s="152"/>
      <c r="R496" s="152"/>
      <c r="S496" s="147" t="s">
        <v>89</v>
      </c>
      <c r="T496" s="147" t="s">
        <v>66</v>
      </c>
      <c r="U496" s="147" t="s">
        <v>1259</v>
      </c>
      <c r="V496" s="147" t="s">
        <v>1470</v>
      </c>
      <c r="W496" s="153"/>
      <c r="X496" s="153"/>
      <c r="Y496" s="153"/>
      <c r="Z496" s="153"/>
      <c r="AA496" s="154">
        <v>6729.0</v>
      </c>
      <c r="AB496" s="154">
        <v>33645.0</v>
      </c>
      <c r="AC496" s="24" t="s">
        <v>1636</v>
      </c>
      <c r="AD496" s="17">
        <v>4753.0</v>
      </c>
      <c r="AE496" s="27" t="s">
        <v>1637</v>
      </c>
      <c r="AF496" s="147" t="str">
        <f t="shared" si="1"/>
        <v>Buenos Aires, Argentina</v>
      </c>
      <c r="AG496" s="147">
        <f t="shared" si="2"/>
        <v>3</v>
      </c>
      <c r="AH496" s="155">
        <f t="shared" si="3"/>
        <v>0</v>
      </c>
      <c r="AI496" s="155">
        <f t="shared" si="4"/>
        <v>0</v>
      </c>
      <c r="AJ496" s="154">
        <f t="shared" si="5"/>
        <v>40374</v>
      </c>
      <c r="AK496" s="154">
        <f t="shared" si="6"/>
        <v>40374</v>
      </c>
      <c r="AL496" s="156"/>
      <c r="AM496" s="156"/>
    </row>
    <row r="497">
      <c r="A497" s="147">
        <v>496.0</v>
      </c>
      <c r="B497" s="148">
        <v>44175.0</v>
      </c>
      <c r="C497" s="17">
        <v>122020.0</v>
      </c>
      <c r="D497" s="149" t="s">
        <v>358</v>
      </c>
      <c r="E497" s="147" t="s">
        <v>38</v>
      </c>
      <c r="F497" s="149" t="s">
        <v>1423</v>
      </c>
      <c r="G497" s="147" t="s">
        <v>64</v>
      </c>
      <c r="H497" s="147" t="s">
        <v>41</v>
      </c>
      <c r="I497" s="147" t="s">
        <v>42</v>
      </c>
      <c r="J497" s="150">
        <v>1.0</v>
      </c>
      <c r="K497" s="151"/>
      <c r="L497" s="151"/>
      <c r="M497" s="151"/>
      <c r="N497" s="151"/>
      <c r="O497" s="151"/>
      <c r="P497" s="151"/>
      <c r="Q497" s="152"/>
      <c r="R497" s="152"/>
      <c r="S497" s="147" t="s">
        <v>105</v>
      </c>
      <c r="T497" s="147" t="s">
        <v>263</v>
      </c>
      <c r="U497" s="147" t="s">
        <v>1259</v>
      </c>
      <c r="V497" s="147" t="s">
        <v>1470</v>
      </c>
      <c r="W497" s="153"/>
      <c r="X497" s="153"/>
      <c r="Y497" s="153"/>
      <c r="Z497" s="153"/>
      <c r="AA497" s="154">
        <v>5606.0</v>
      </c>
      <c r="AB497" s="154">
        <v>28030.0</v>
      </c>
      <c r="AC497" s="24" t="s">
        <v>1638</v>
      </c>
      <c r="AD497" s="17">
        <v>4755.0</v>
      </c>
      <c r="AE497" s="27" t="s">
        <v>1639</v>
      </c>
      <c r="AF497" s="147" t="str">
        <f t="shared" si="1"/>
        <v>Santa Fé, Argentina</v>
      </c>
      <c r="AG497" s="147">
        <f t="shared" si="2"/>
        <v>1</v>
      </c>
      <c r="AH497" s="155">
        <f t="shared" si="3"/>
        <v>0</v>
      </c>
      <c r="AI497" s="155">
        <f t="shared" si="4"/>
        <v>0</v>
      </c>
      <c r="AJ497" s="154">
        <f t="shared" si="5"/>
        <v>33636</v>
      </c>
      <c r="AK497" s="154">
        <f t="shared" si="6"/>
        <v>33636</v>
      </c>
      <c r="AL497" s="156"/>
      <c r="AM497" s="156"/>
    </row>
    <row r="498">
      <c r="A498" s="147">
        <v>497.0</v>
      </c>
      <c r="B498" s="148">
        <v>44175.0</v>
      </c>
      <c r="C498" s="17">
        <v>122020.0</v>
      </c>
      <c r="D498" s="149" t="s">
        <v>1640</v>
      </c>
      <c r="E498" s="147" t="s">
        <v>38</v>
      </c>
      <c r="F498" s="149" t="s">
        <v>1423</v>
      </c>
      <c r="G498" s="147" t="s">
        <v>64</v>
      </c>
      <c r="H498" s="147" t="s">
        <v>41</v>
      </c>
      <c r="I498" s="147" t="s">
        <v>643</v>
      </c>
      <c r="J498" s="150">
        <v>1.0</v>
      </c>
      <c r="K498" s="151"/>
      <c r="L498" s="151"/>
      <c r="M498" s="151"/>
      <c r="N498" s="151"/>
      <c r="O498" s="151"/>
      <c r="P498" s="151"/>
      <c r="Q498" s="152"/>
      <c r="R498" s="152"/>
      <c r="S498" s="147" t="s">
        <v>189</v>
      </c>
      <c r="T498" s="147" t="s">
        <v>66</v>
      </c>
      <c r="U498" s="147" t="s">
        <v>1259</v>
      </c>
      <c r="V498" s="147" t="s">
        <v>1470</v>
      </c>
      <c r="W498" s="153"/>
      <c r="X498" s="153"/>
      <c r="Y498" s="153"/>
      <c r="Z498" s="153"/>
      <c r="AA498" s="154">
        <v>5606.0</v>
      </c>
      <c r="AB498" s="154">
        <v>28030.0</v>
      </c>
      <c r="AC498" s="24" t="s">
        <v>1641</v>
      </c>
      <c r="AD498" s="17">
        <v>4757.0</v>
      </c>
      <c r="AE498" s="27" t="s">
        <v>1642</v>
      </c>
      <c r="AF498" s="147" t="str">
        <f t="shared" si="1"/>
        <v>Buenos Aires, Argentina</v>
      </c>
      <c r="AG498" s="147">
        <f t="shared" si="2"/>
        <v>1</v>
      </c>
      <c r="AH498" s="155">
        <f t="shared" si="3"/>
        <v>0</v>
      </c>
      <c r="AI498" s="155">
        <f t="shared" si="4"/>
        <v>0</v>
      </c>
      <c r="AJ498" s="154">
        <f t="shared" si="5"/>
        <v>33636</v>
      </c>
      <c r="AK498" s="154">
        <f t="shared" si="6"/>
        <v>33636</v>
      </c>
      <c r="AL498" s="156"/>
      <c r="AM498" s="156"/>
    </row>
    <row r="499">
      <c r="A499" s="147">
        <v>498.0</v>
      </c>
      <c r="B499" s="148">
        <v>44176.0</v>
      </c>
      <c r="C499" s="17">
        <v>122020.0</v>
      </c>
      <c r="D499" s="149" t="s">
        <v>1619</v>
      </c>
      <c r="E499" s="147" t="s">
        <v>38</v>
      </c>
      <c r="F499" s="149" t="s">
        <v>1643</v>
      </c>
      <c r="G499" s="147" t="s">
        <v>64</v>
      </c>
      <c r="H499" s="147" t="s">
        <v>41</v>
      </c>
      <c r="I499" s="147" t="s">
        <v>42</v>
      </c>
      <c r="J499" s="151"/>
      <c r="K499" s="151"/>
      <c r="L499" s="151"/>
      <c r="M499" s="151"/>
      <c r="N499" s="151"/>
      <c r="O499" s="151"/>
      <c r="P499" s="151"/>
      <c r="Q499" s="152"/>
      <c r="R499" s="147">
        <v>3.0</v>
      </c>
      <c r="S499" s="147" t="s">
        <v>65</v>
      </c>
      <c r="T499" s="147" t="s">
        <v>66</v>
      </c>
      <c r="U499" s="147" t="s">
        <v>99</v>
      </c>
      <c r="V499" s="147" t="s">
        <v>1470</v>
      </c>
      <c r="W499" s="153"/>
      <c r="X499" s="153"/>
      <c r="Y499" s="153"/>
      <c r="Z499" s="154">
        <v>33636.0</v>
      </c>
      <c r="AA499" s="153"/>
      <c r="AB499" s="153" t="s">
        <v>926</v>
      </c>
      <c r="AC499" s="24" t="s">
        <v>1644</v>
      </c>
      <c r="AD499" s="17">
        <v>4759.0</v>
      </c>
      <c r="AE499" s="27" t="s">
        <v>1645</v>
      </c>
      <c r="AF499" s="147" t="str">
        <f t="shared" si="1"/>
        <v>Buenos Aires, Argentina</v>
      </c>
      <c r="AG499" s="147">
        <f t="shared" si="2"/>
        <v>0</v>
      </c>
      <c r="AH499" s="155">
        <f t="shared" si="3"/>
        <v>0</v>
      </c>
      <c r="AI499" s="155">
        <f t="shared" si="4"/>
        <v>33636</v>
      </c>
      <c r="AJ499" s="154">
        <f t="shared" si="5"/>
        <v>0</v>
      </c>
      <c r="AK499" s="154">
        <f t="shared" si="6"/>
        <v>33636</v>
      </c>
      <c r="AL499" s="156"/>
      <c r="AM499" s="156"/>
    </row>
    <row r="500">
      <c r="A500" s="147">
        <v>499.0</v>
      </c>
      <c r="B500" s="148">
        <v>44176.0</v>
      </c>
      <c r="C500" s="17">
        <v>122020.0</v>
      </c>
      <c r="D500" s="149" t="s">
        <v>1646</v>
      </c>
      <c r="E500" s="147" t="s">
        <v>38</v>
      </c>
      <c r="F500" s="149" t="s">
        <v>1412</v>
      </c>
      <c r="G500" s="147" t="s">
        <v>40</v>
      </c>
      <c r="H500" s="147" t="s">
        <v>41</v>
      </c>
      <c r="I500" s="147" t="s">
        <v>42</v>
      </c>
      <c r="J500" s="150">
        <v>2.0</v>
      </c>
      <c r="K500" s="151"/>
      <c r="L500" s="151"/>
      <c r="M500" s="151"/>
      <c r="N500" s="151"/>
      <c r="O500" s="151"/>
      <c r="P500" s="151"/>
      <c r="Q500" s="152"/>
      <c r="R500" s="152"/>
      <c r="S500" s="147" t="s">
        <v>114</v>
      </c>
      <c r="T500" s="147" t="s">
        <v>66</v>
      </c>
      <c r="U500" s="147" t="s">
        <v>53</v>
      </c>
      <c r="V500" s="147" t="s">
        <v>1470</v>
      </c>
      <c r="W500" s="153"/>
      <c r="X500" s="153"/>
      <c r="Y500" s="153"/>
      <c r="Z500" s="153"/>
      <c r="AA500" s="154">
        <v>11212.0</v>
      </c>
      <c r="AB500" s="154">
        <v>44848.0</v>
      </c>
      <c r="AC500" s="24" t="s">
        <v>1647</v>
      </c>
      <c r="AD500" s="17">
        <v>4761.0</v>
      </c>
      <c r="AE500" s="27" t="s">
        <v>1648</v>
      </c>
      <c r="AF500" s="147" t="str">
        <f t="shared" si="1"/>
        <v>Buenos Aires, Argentina</v>
      </c>
      <c r="AG500" s="147">
        <f t="shared" si="2"/>
        <v>2</v>
      </c>
      <c r="AH500" s="155">
        <f t="shared" si="3"/>
        <v>0</v>
      </c>
      <c r="AI500" s="155">
        <f t="shared" si="4"/>
        <v>0</v>
      </c>
      <c r="AJ500" s="154">
        <f t="shared" si="5"/>
        <v>56060</v>
      </c>
      <c r="AK500" s="154">
        <f t="shared" si="6"/>
        <v>56060</v>
      </c>
      <c r="AL500" s="156"/>
      <c r="AM500" s="156"/>
    </row>
    <row r="501">
      <c r="A501" s="147">
        <v>500.0</v>
      </c>
      <c r="B501" s="148">
        <v>44176.0</v>
      </c>
      <c r="C501" s="17">
        <v>122020.0</v>
      </c>
      <c r="D501" s="149" t="s">
        <v>1649</v>
      </c>
      <c r="E501" s="147" t="s">
        <v>38</v>
      </c>
      <c r="F501" s="149" t="s">
        <v>1415</v>
      </c>
      <c r="G501" s="147" t="s">
        <v>64</v>
      </c>
      <c r="H501" s="147" t="s">
        <v>41</v>
      </c>
      <c r="I501" s="147" t="s">
        <v>42</v>
      </c>
      <c r="J501" s="151"/>
      <c r="K501" s="150">
        <v>1.0</v>
      </c>
      <c r="L501" s="151"/>
      <c r="M501" s="151"/>
      <c r="N501" s="151"/>
      <c r="O501" s="151"/>
      <c r="P501" s="151"/>
      <c r="Q501" s="152"/>
      <c r="R501" s="152"/>
      <c r="S501" s="147" t="s">
        <v>89</v>
      </c>
      <c r="T501" s="147" t="s">
        <v>66</v>
      </c>
      <c r="U501" s="147" t="s">
        <v>1259</v>
      </c>
      <c r="V501" s="147" t="s">
        <v>1470</v>
      </c>
      <c r="W501" s="153"/>
      <c r="X501" s="153"/>
      <c r="Y501" s="153"/>
      <c r="Z501" s="153"/>
      <c r="AA501" s="154">
        <v>3700.0</v>
      </c>
      <c r="AB501" s="154">
        <v>18500.0</v>
      </c>
      <c r="AC501" s="24" t="s">
        <v>1650</v>
      </c>
      <c r="AD501" s="17">
        <v>4661.0</v>
      </c>
      <c r="AE501" s="27" t="s">
        <v>1651</v>
      </c>
      <c r="AF501" s="147" t="str">
        <f t="shared" si="1"/>
        <v>Buenos Aires, Argentina</v>
      </c>
      <c r="AG501" s="147">
        <f t="shared" si="2"/>
        <v>1</v>
      </c>
      <c r="AH501" s="155">
        <f t="shared" si="3"/>
        <v>0</v>
      </c>
      <c r="AI501" s="155">
        <f t="shared" si="4"/>
        <v>0</v>
      </c>
      <c r="AJ501" s="154">
        <f t="shared" si="5"/>
        <v>22200</v>
      </c>
      <c r="AK501" s="154">
        <f t="shared" si="6"/>
        <v>22200</v>
      </c>
      <c r="AL501" s="156"/>
      <c r="AM501" s="156"/>
    </row>
    <row r="502">
      <c r="A502" s="147">
        <v>501.0</v>
      </c>
      <c r="B502" s="148">
        <v>44176.0</v>
      </c>
      <c r="C502" s="17">
        <v>122020.0</v>
      </c>
      <c r="D502" s="149" t="s">
        <v>1652</v>
      </c>
      <c r="E502" s="147" t="s">
        <v>38</v>
      </c>
      <c r="F502" s="149" t="s">
        <v>1423</v>
      </c>
      <c r="G502" s="147" t="s">
        <v>64</v>
      </c>
      <c r="H502" s="147" t="s">
        <v>41</v>
      </c>
      <c r="I502" s="147" t="s">
        <v>643</v>
      </c>
      <c r="J502" s="150">
        <v>1.0</v>
      </c>
      <c r="K502" s="151"/>
      <c r="L502" s="151"/>
      <c r="M502" s="151"/>
      <c r="N502" s="151"/>
      <c r="O502" s="151"/>
      <c r="P502" s="151"/>
      <c r="Q502" s="152"/>
      <c r="R502" s="152"/>
      <c r="S502" s="147" t="s">
        <v>137</v>
      </c>
      <c r="T502" s="147" t="s">
        <v>66</v>
      </c>
      <c r="U502" s="147" t="s">
        <v>1259</v>
      </c>
      <c r="V502" s="147" t="s">
        <v>1470</v>
      </c>
      <c r="W502" s="153"/>
      <c r="X502" s="153"/>
      <c r="Y502" s="153"/>
      <c r="Z502" s="153"/>
      <c r="AA502" s="154">
        <v>5606.0</v>
      </c>
      <c r="AB502" s="154">
        <v>28030.0</v>
      </c>
      <c r="AC502" s="24" t="s">
        <v>1653</v>
      </c>
      <c r="AD502" s="17">
        <v>4763.0</v>
      </c>
      <c r="AE502" s="27" t="s">
        <v>1654</v>
      </c>
      <c r="AF502" s="147" t="str">
        <f t="shared" si="1"/>
        <v>Buenos Aires, Argentina</v>
      </c>
      <c r="AG502" s="147">
        <f t="shared" si="2"/>
        <v>1</v>
      </c>
      <c r="AH502" s="155">
        <f t="shared" si="3"/>
        <v>0</v>
      </c>
      <c r="AI502" s="155">
        <f t="shared" si="4"/>
        <v>0</v>
      </c>
      <c r="AJ502" s="154">
        <f t="shared" si="5"/>
        <v>33636</v>
      </c>
      <c r="AK502" s="154">
        <f t="shared" si="6"/>
        <v>33636</v>
      </c>
      <c r="AL502" s="156"/>
      <c r="AM502" s="156"/>
    </row>
    <row r="503">
      <c r="A503" s="147">
        <v>502.0</v>
      </c>
      <c r="B503" s="148">
        <v>44179.0</v>
      </c>
      <c r="C503" s="17">
        <v>122020.0</v>
      </c>
      <c r="D503" s="149" t="s">
        <v>1655</v>
      </c>
      <c r="E503" s="147" t="s">
        <v>38</v>
      </c>
      <c r="F503" s="149" t="s">
        <v>1102</v>
      </c>
      <c r="G503" s="147" t="s">
        <v>64</v>
      </c>
      <c r="H503" s="147" t="s">
        <v>41</v>
      </c>
      <c r="I503" s="147" t="s">
        <v>643</v>
      </c>
      <c r="J503" s="151"/>
      <c r="K503" s="151"/>
      <c r="L503" s="151"/>
      <c r="M503" s="150">
        <v>1.0</v>
      </c>
      <c r="N503" s="151"/>
      <c r="O503" s="151"/>
      <c r="P503" s="151"/>
      <c r="Q503" s="152"/>
      <c r="R503" s="152"/>
      <c r="S503" s="147" t="s">
        <v>65</v>
      </c>
      <c r="T503" s="147" t="s">
        <v>66</v>
      </c>
      <c r="U503" s="147" t="s">
        <v>67</v>
      </c>
      <c r="V503" s="147" t="s">
        <v>1470</v>
      </c>
      <c r="W503" s="153"/>
      <c r="X503" s="153"/>
      <c r="Y503" s="153"/>
      <c r="Z503" s="153"/>
      <c r="AA503" s="154">
        <v>5606.0</v>
      </c>
      <c r="AB503" s="154">
        <v>0.0</v>
      </c>
      <c r="AC503" s="24" t="s">
        <v>1656</v>
      </c>
      <c r="AD503" s="17">
        <v>4413.0</v>
      </c>
      <c r="AE503" s="27" t="s">
        <v>1147</v>
      </c>
      <c r="AF503" s="147" t="str">
        <f t="shared" si="1"/>
        <v>Buenos Aires, Argentina</v>
      </c>
      <c r="AG503" s="147">
        <f t="shared" si="2"/>
        <v>1</v>
      </c>
      <c r="AH503" s="155">
        <f t="shared" si="3"/>
        <v>0</v>
      </c>
      <c r="AI503" s="155">
        <f t="shared" si="4"/>
        <v>0</v>
      </c>
      <c r="AJ503" s="154">
        <f t="shared" si="5"/>
        <v>5606</v>
      </c>
      <c r="AK503" s="154">
        <f t="shared" si="6"/>
        <v>5606</v>
      </c>
      <c r="AL503" s="156"/>
      <c r="AM503" s="156"/>
    </row>
    <row r="504">
      <c r="A504" s="147">
        <v>503.0</v>
      </c>
      <c r="B504" s="148">
        <v>44179.0</v>
      </c>
      <c r="C504" s="17">
        <v>122020.0</v>
      </c>
      <c r="D504" s="149" t="s">
        <v>1657</v>
      </c>
      <c r="E504" s="147" t="s">
        <v>38</v>
      </c>
      <c r="F504" s="149" t="s">
        <v>1281</v>
      </c>
      <c r="G504" s="147" t="s">
        <v>64</v>
      </c>
      <c r="H504" s="147" t="s">
        <v>41</v>
      </c>
      <c r="I504" s="147" t="s">
        <v>42</v>
      </c>
      <c r="J504" s="151"/>
      <c r="K504" s="151"/>
      <c r="L504" s="151"/>
      <c r="M504" s="150">
        <v>1.0</v>
      </c>
      <c r="N504" s="151"/>
      <c r="O504" s="151"/>
      <c r="P504" s="151"/>
      <c r="Q504" s="152"/>
      <c r="R504" s="152"/>
      <c r="S504" s="147" t="s">
        <v>276</v>
      </c>
      <c r="T504" s="147" t="s">
        <v>83</v>
      </c>
      <c r="U504" s="147" t="s">
        <v>67</v>
      </c>
      <c r="V504" s="147" t="s">
        <v>1470</v>
      </c>
      <c r="W504" s="153"/>
      <c r="X504" s="153"/>
      <c r="Y504" s="153"/>
      <c r="Z504" s="153"/>
      <c r="AA504" s="154">
        <v>5606.0</v>
      </c>
      <c r="AB504" s="153" t="s">
        <v>926</v>
      </c>
      <c r="AC504" s="24" t="s">
        <v>1658</v>
      </c>
      <c r="AD504" s="17">
        <v>4603.0</v>
      </c>
      <c r="AE504" s="27" t="s">
        <v>1187</v>
      </c>
      <c r="AF504" s="147" t="str">
        <f t="shared" si="1"/>
        <v>Capital Federal, Argentina</v>
      </c>
      <c r="AG504" s="147">
        <f t="shared" si="2"/>
        <v>1</v>
      </c>
      <c r="AH504" s="155">
        <f t="shared" si="3"/>
        <v>0</v>
      </c>
      <c r="AI504" s="155">
        <f t="shared" si="4"/>
        <v>0</v>
      </c>
      <c r="AJ504" s="154">
        <f t="shared" si="5"/>
        <v>5606</v>
      </c>
      <c r="AK504" s="154">
        <f t="shared" si="6"/>
        <v>5606</v>
      </c>
      <c r="AL504" s="156"/>
      <c r="AM504" s="156"/>
    </row>
    <row r="505">
      <c r="A505" s="147">
        <v>504.0</v>
      </c>
      <c r="B505" s="148">
        <v>44179.0</v>
      </c>
      <c r="C505" s="17">
        <v>122020.0</v>
      </c>
      <c r="D505" s="149" t="s">
        <v>1659</v>
      </c>
      <c r="E505" s="147" t="s">
        <v>38</v>
      </c>
      <c r="F505" s="149" t="s">
        <v>1427</v>
      </c>
      <c r="G505" s="147" t="s">
        <v>64</v>
      </c>
      <c r="H505" s="147" t="s">
        <v>41</v>
      </c>
      <c r="I505" s="147" t="s">
        <v>42</v>
      </c>
      <c r="J505" s="151"/>
      <c r="K505" s="150">
        <v>2.0</v>
      </c>
      <c r="L505" s="151"/>
      <c r="M505" s="151"/>
      <c r="N505" s="151"/>
      <c r="O505" s="151"/>
      <c r="P505" s="151"/>
      <c r="Q505" s="152"/>
      <c r="R505" s="152"/>
      <c r="S505" s="147" t="s">
        <v>98</v>
      </c>
      <c r="T505" s="147" t="s">
        <v>73</v>
      </c>
      <c r="U505" s="147" t="s">
        <v>1259</v>
      </c>
      <c r="V505" s="147" t="s">
        <v>1470</v>
      </c>
      <c r="W505" s="153"/>
      <c r="X505" s="153"/>
      <c r="Y505" s="153"/>
      <c r="Z505" s="153"/>
      <c r="AA505" s="154">
        <v>7400.0</v>
      </c>
      <c r="AB505" s="154">
        <v>37000.0</v>
      </c>
      <c r="AC505" s="24" t="s">
        <v>1660</v>
      </c>
      <c r="AD505" s="17">
        <v>4765.0</v>
      </c>
      <c r="AE505" s="27" t="s">
        <v>1661</v>
      </c>
      <c r="AF505" s="147" t="str">
        <f t="shared" si="1"/>
        <v>Tierra de Fuego, Argentina</v>
      </c>
      <c r="AG505" s="147">
        <f t="shared" si="2"/>
        <v>2</v>
      </c>
      <c r="AH505" s="155">
        <f t="shared" si="3"/>
        <v>0</v>
      </c>
      <c r="AI505" s="155">
        <f t="shared" si="4"/>
        <v>0</v>
      </c>
      <c r="AJ505" s="154">
        <f t="shared" si="5"/>
        <v>44400</v>
      </c>
      <c r="AK505" s="154">
        <f t="shared" si="6"/>
        <v>44400</v>
      </c>
      <c r="AL505" s="156"/>
      <c r="AM505" s="156"/>
    </row>
    <row r="506">
      <c r="A506" s="147">
        <v>505.0</v>
      </c>
      <c r="B506" s="148">
        <v>44180.0</v>
      </c>
      <c r="C506" s="17">
        <v>122020.0</v>
      </c>
      <c r="D506" s="149" t="s">
        <v>1662</v>
      </c>
      <c r="E506" s="147" t="s">
        <v>38</v>
      </c>
      <c r="F506" s="149" t="s">
        <v>1102</v>
      </c>
      <c r="G506" s="147" t="s">
        <v>64</v>
      </c>
      <c r="H506" s="147" t="s">
        <v>547</v>
      </c>
      <c r="I506" s="147" t="s">
        <v>42</v>
      </c>
      <c r="J506" s="151"/>
      <c r="K506" s="151"/>
      <c r="L506" s="151"/>
      <c r="M506" s="150">
        <v>1.0</v>
      </c>
      <c r="N506" s="151"/>
      <c r="O506" s="151"/>
      <c r="P506" s="151"/>
      <c r="Q506" s="152"/>
      <c r="R506" s="152"/>
      <c r="S506" s="147" t="s">
        <v>114</v>
      </c>
      <c r="T506" s="147" t="s">
        <v>66</v>
      </c>
      <c r="U506" s="147" t="s">
        <v>67</v>
      </c>
      <c r="V506" s="147" t="s">
        <v>1470</v>
      </c>
      <c r="W506" s="153"/>
      <c r="X506" s="153"/>
      <c r="Y506" s="153"/>
      <c r="Z506" s="153"/>
      <c r="AA506" s="154">
        <v>3364.0</v>
      </c>
      <c r="AB506" s="154">
        <v>0.0</v>
      </c>
      <c r="AC506" s="24" t="s">
        <v>1663</v>
      </c>
      <c r="AD506" s="17">
        <v>4467.0</v>
      </c>
      <c r="AE506" s="27" t="s">
        <v>1215</v>
      </c>
      <c r="AF506" s="147" t="str">
        <f t="shared" si="1"/>
        <v>Buenos Aires, Argentina</v>
      </c>
      <c r="AG506" s="147">
        <f t="shared" si="2"/>
        <v>1</v>
      </c>
      <c r="AH506" s="155">
        <f t="shared" si="3"/>
        <v>0</v>
      </c>
      <c r="AI506" s="155">
        <f t="shared" si="4"/>
        <v>0</v>
      </c>
      <c r="AJ506" s="154">
        <f t="shared" si="5"/>
        <v>3364</v>
      </c>
      <c r="AK506" s="154">
        <f t="shared" si="6"/>
        <v>3364</v>
      </c>
      <c r="AL506" s="156"/>
      <c r="AM506" s="156"/>
    </row>
    <row r="507">
      <c r="A507" s="147">
        <v>506.0</v>
      </c>
      <c r="B507" s="148">
        <v>44181.0</v>
      </c>
      <c r="C507" s="17">
        <v>122020.0</v>
      </c>
      <c r="D507" s="149" t="s">
        <v>1664</v>
      </c>
      <c r="E507" s="147" t="s">
        <v>38</v>
      </c>
      <c r="F507" s="149" t="s">
        <v>1427</v>
      </c>
      <c r="G507" s="147" t="s">
        <v>64</v>
      </c>
      <c r="H507" s="147" t="s">
        <v>41</v>
      </c>
      <c r="I507" s="147" t="s">
        <v>42</v>
      </c>
      <c r="J507" s="151"/>
      <c r="K507" s="150">
        <v>2.0</v>
      </c>
      <c r="L507" s="151"/>
      <c r="M507" s="151"/>
      <c r="N507" s="151"/>
      <c r="O507" s="151"/>
      <c r="P507" s="151"/>
      <c r="Q507" s="152"/>
      <c r="R507" s="152"/>
      <c r="S507" s="147" t="s">
        <v>137</v>
      </c>
      <c r="T507" s="147" t="s">
        <v>66</v>
      </c>
      <c r="U507" s="147" t="s">
        <v>99</v>
      </c>
      <c r="V507" s="147" t="s">
        <v>1470</v>
      </c>
      <c r="W507" s="153"/>
      <c r="X507" s="153"/>
      <c r="Y507" s="153"/>
      <c r="Z507" s="153"/>
      <c r="AA507" s="154">
        <v>7400.0</v>
      </c>
      <c r="AB507" s="154">
        <v>37000.0</v>
      </c>
      <c r="AC507" s="24" t="s">
        <v>1665</v>
      </c>
      <c r="AD507" s="17">
        <v>4771.0</v>
      </c>
      <c r="AE507" s="27" t="s">
        <v>1666</v>
      </c>
      <c r="AF507" s="147" t="str">
        <f t="shared" si="1"/>
        <v>Buenos Aires, Argentina</v>
      </c>
      <c r="AG507" s="147">
        <f t="shared" si="2"/>
        <v>2</v>
      </c>
      <c r="AH507" s="155">
        <f t="shared" si="3"/>
        <v>0</v>
      </c>
      <c r="AI507" s="155">
        <f t="shared" si="4"/>
        <v>0</v>
      </c>
      <c r="AJ507" s="154">
        <f t="shared" si="5"/>
        <v>44400</v>
      </c>
      <c r="AK507" s="154">
        <f t="shared" si="6"/>
        <v>44400</v>
      </c>
      <c r="AL507" s="156"/>
      <c r="AM507" s="156"/>
    </row>
    <row r="508">
      <c r="A508" s="147">
        <v>507.0</v>
      </c>
      <c r="B508" s="148">
        <v>44182.0</v>
      </c>
      <c r="C508" s="17">
        <v>122020.0</v>
      </c>
      <c r="D508" s="149" t="s">
        <v>1667</v>
      </c>
      <c r="E508" s="147" t="s">
        <v>38</v>
      </c>
      <c r="F508" s="149" t="s">
        <v>1415</v>
      </c>
      <c r="G508" s="147" t="s">
        <v>64</v>
      </c>
      <c r="H508" s="147" t="s">
        <v>41</v>
      </c>
      <c r="I508" s="147" t="s">
        <v>42</v>
      </c>
      <c r="J508" s="151"/>
      <c r="K508" s="150">
        <v>1.0</v>
      </c>
      <c r="L508" s="151"/>
      <c r="M508" s="151"/>
      <c r="N508" s="151"/>
      <c r="O508" s="151"/>
      <c r="P508" s="151"/>
      <c r="Q508" s="152"/>
      <c r="R508" s="152"/>
      <c r="S508" s="147" t="s">
        <v>51</v>
      </c>
      <c r="T508" s="147" t="s">
        <v>66</v>
      </c>
      <c r="U508" s="147" t="s">
        <v>1259</v>
      </c>
      <c r="V508" s="147" t="s">
        <v>1470</v>
      </c>
      <c r="W508" s="153"/>
      <c r="X508" s="153"/>
      <c r="Y508" s="153"/>
      <c r="Z508" s="153"/>
      <c r="AA508" s="154">
        <v>3700.0</v>
      </c>
      <c r="AB508" s="154">
        <v>18500.0</v>
      </c>
      <c r="AC508" s="24" t="s">
        <v>1668</v>
      </c>
      <c r="AD508" s="17">
        <v>4773.0</v>
      </c>
      <c r="AE508" s="27" t="s">
        <v>1669</v>
      </c>
      <c r="AF508" s="147" t="str">
        <f t="shared" si="1"/>
        <v>Buenos Aires, Argentina</v>
      </c>
      <c r="AG508" s="147">
        <f t="shared" si="2"/>
        <v>1</v>
      </c>
      <c r="AH508" s="155">
        <f t="shared" si="3"/>
        <v>0</v>
      </c>
      <c r="AI508" s="155">
        <f t="shared" si="4"/>
        <v>0</v>
      </c>
      <c r="AJ508" s="154">
        <f t="shared" si="5"/>
        <v>22200</v>
      </c>
      <c r="AK508" s="154">
        <f t="shared" si="6"/>
        <v>22200</v>
      </c>
      <c r="AL508" s="156"/>
      <c r="AM508" s="156"/>
    </row>
    <row r="509">
      <c r="A509" s="147">
        <v>508.0</v>
      </c>
      <c r="B509" s="148">
        <v>44182.0</v>
      </c>
      <c r="C509" s="17">
        <v>122020.0</v>
      </c>
      <c r="D509" s="149" t="s">
        <v>1670</v>
      </c>
      <c r="E509" s="147" t="s">
        <v>38</v>
      </c>
      <c r="F509" s="149" t="s">
        <v>1671</v>
      </c>
      <c r="G509" s="147" t="s">
        <v>64</v>
      </c>
      <c r="H509" s="147" t="s">
        <v>41</v>
      </c>
      <c r="I509" s="147" t="s">
        <v>643</v>
      </c>
      <c r="J509" s="150">
        <v>1.0</v>
      </c>
      <c r="K509" s="150">
        <v>1.0</v>
      </c>
      <c r="L509" s="151"/>
      <c r="M509" s="151"/>
      <c r="N509" s="151"/>
      <c r="O509" s="151"/>
      <c r="P509" s="151"/>
      <c r="Q509" s="152"/>
      <c r="R509" s="152"/>
      <c r="S509" s="147" t="s">
        <v>65</v>
      </c>
      <c r="T509" s="147" t="s">
        <v>66</v>
      </c>
      <c r="U509" s="147" t="s">
        <v>67</v>
      </c>
      <c r="V509" s="147" t="s">
        <v>1470</v>
      </c>
      <c r="W509" s="153"/>
      <c r="X509" s="153"/>
      <c r="Y509" s="153"/>
      <c r="Z509" s="153"/>
      <c r="AA509" s="154">
        <v>9306.0</v>
      </c>
      <c r="AB509" s="154">
        <v>46530.0</v>
      </c>
      <c r="AC509" s="24" t="s">
        <v>1672</v>
      </c>
      <c r="AD509" s="17">
        <v>4775.0</v>
      </c>
      <c r="AE509" s="27" t="s">
        <v>1673</v>
      </c>
      <c r="AF509" s="147" t="str">
        <f t="shared" si="1"/>
        <v>Buenos Aires, Argentina</v>
      </c>
      <c r="AG509" s="147">
        <f t="shared" si="2"/>
        <v>2</v>
      </c>
      <c r="AH509" s="155">
        <f t="shared" si="3"/>
        <v>0</v>
      </c>
      <c r="AI509" s="155">
        <f t="shared" si="4"/>
        <v>0</v>
      </c>
      <c r="AJ509" s="154">
        <f t="shared" si="5"/>
        <v>55836</v>
      </c>
      <c r="AK509" s="154">
        <f t="shared" si="6"/>
        <v>55836</v>
      </c>
      <c r="AL509" s="156"/>
      <c r="AM509" s="156"/>
    </row>
    <row r="510">
      <c r="A510" s="147">
        <v>509.0</v>
      </c>
      <c r="B510" s="148">
        <v>44183.0</v>
      </c>
      <c r="C510" s="17">
        <v>122020.0</v>
      </c>
      <c r="D510" s="149" t="s">
        <v>1674</v>
      </c>
      <c r="E510" s="147" t="s">
        <v>38</v>
      </c>
      <c r="F510" s="149" t="s">
        <v>1427</v>
      </c>
      <c r="G510" s="147" t="s">
        <v>64</v>
      </c>
      <c r="H510" s="147" t="s">
        <v>41</v>
      </c>
      <c r="I510" s="147" t="s">
        <v>643</v>
      </c>
      <c r="J510" s="151"/>
      <c r="K510" s="150">
        <v>2.0</v>
      </c>
      <c r="L510" s="151"/>
      <c r="M510" s="151"/>
      <c r="N510" s="151"/>
      <c r="O510" s="151"/>
      <c r="P510" s="151"/>
      <c r="Q510" s="152"/>
      <c r="R510" s="152"/>
      <c r="S510" s="147" t="s">
        <v>189</v>
      </c>
      <c r="T510" s="147" t="s">
        <v>73</v>
      </c>
      <c r="U510" s="147" t="s">
        <v>1259</v>
      </c>
      <c r="V510" s="147" t="s">
        <v>1470</v>
      </c>
      <c r="W510" s="153"/>
      <c r="X510" s="153"/>
      <c r="Y510" s="153"/>
      <c r="Z510" s="153"/>
      <c r="AA510" s="154">
        <v>7400.0</v>
      </c>
      <c r="AB510" s="154">
        <v>37000.0</v>
      </c>
      <c r="AC510" s="24" t="s">
        <v>1675</v>
      </c>
      <c r="AD510" s="17">
        <v>4777.0</v>
      </c>
      <c r="AE510" s="27" t="s">
        <v>1676</v>
      </c>
      <c r="AF510" s="147" t="str">
        <f t="shared" si="1"/>
        <v>Tierra de Fuego, Argentina</v>
      </c>
      <c r="AG510" s="147">
        <f t="shared" si="2"/>
        <v>2</v>
      </c>
      <c r="AH510" s="155">
        <f t="shared" si="3"/>
        <v>0</v>
      </c>
      <c r="AI510" s="155">
        <f t="shared" si="4"/>
        <v>0</v>
      </c>
      <c r="AJ510" s="154">
        <f t="shared" si="5"/>
        <v>44400</v>
      </c>
      <c r="AK510" s="154">
        <f t="shared" si="6"/>
        <v>44400</v>
      </c>
      <c r="AL510" s="156"/>
      <c r="AM510" s="156"/>
    </row>
    <row r="511">
      <c r="A511" s="147">
        <v>510.0</v>
      </c>
      <c r="B511" s="148">
        <v>44183.0</v>
      </c>
      <c r="C511" s="17">
        <v>122020.0</v>
      </c>
      <c r="D511" s="149" t="s">
        <v>1270</v>
      </c>
      <c r="E511" s="147" t="s">
        <v>38</v>
      </c>
      <c r="F511" s="149" t="s">
        <v>1281</v>
      </c>
      <c r="G511" s="147" t="s">
        <v>64</v>
      </c>
      <c r="H511" s="147" t="s">
        <v>547</v>
      </c>
      <c r="I511" s="147" t="s">
        <v>42</v>
      </c>
      <c r="J511" s="151"/>
      <c r="K511" s="151"/>
      <c r="L511" s="151"/>
      <c r="M511" s="150">
        <v>1.0</v>
      </c>
      <c r="N511" s="151"/>
      <c r="O511" s="151"/>
      <c r="P511" s="151"/>
      <c r="Q511" s="152"/>
      <c r="R511" s="152"/>
      <c r="S511" s="147" t="s">
        <v>114</v>
      </c>
      <c r="T511" s="147" t="s">
        <v>66</v>
      </c>
      <c r="U511" s="147" t="s">
        <v>67</v>
      </c>
      <c r="V511" s="147" t="s">
        <v>1470</v>
      </c>
      <c r="W511" s="153"/>
      <c r="X511" s="153"/>
      <c r="Y511" s="153"/>
      <c r="Z511" s="153"/>
      <c r="AA511" s="154">
        <v>3364.0</v>
      </c>
      <c r="AB511" s="154">
        <v>0.0</v>
      </c>
      <c r="AC511" s="24" t="s">
        <v>1677</v>
      </c>
      <c r="AD511" s="17">
        <v>4509.0</v>
      </c>
      <c r="AE511" s="27" t="s">
        <v>1272</v>
      </c>
      <c r="AF511" s="147" t="str">
        <f t="shared" si="1"/>
        <v>Buenos Aires, Argentina</v>
      </c>
      <c r="AG511" s="147">
        <f t="shared" si="2"/>
        <v>1</v>
      </c>
      <c r="AH511" s="155">
        <f t="shared" si="3"/>
        <v>0</v>
      </c>
      <c r="AI511" s="155">
        <f t="shared" si="4"/>
        <v>0</v>
      </c>
      <c r="AJ511" s="154">
        <f t="shared" si="5"/>
        <v>3364</v>
      </c>
      <c r="AK511" s="154">
        <f t="shared" si="6"/>
        <v>3364</v>
      </c>
      <c r="AL511" s="156"/>
      <c r="AM511" s="156"/>
    </row>
    <row r="512">
      <c r="A512" s="147">
        <v>511.0</v>
      </c>
      <c r="B512" s="148">
        <v>44183.0</v>
      </c>
      <c r="C512" s="17">
        <v>122020.0</v>
      </c>
      <c r="D512" s="149" t="s">
        <v>1678</v>
      </c>
      <c r="E512" s="147" t="s">
        <v>38</v>
      </c>
      <c r="F512" s="149" t="s">
        <v>1423</v>
      </c>
      <c r="G512" s="147" t="s">
        <v>64</v>
      </c>
      <c r="H512" s="147" t="s">
        <v>41</v>
      </c>
      <c r="I512" s="147" t="s">
        <v>643</v>
      </c>
      <c r="J512" s="150">
        <v>1.0</v>
      </c>
      <c r="K512" s="151"/>
      <c r="L512" s="151"/>
      <c r="M512" s="151"/>
      <c r="N512" s="151"/>
      <c r="O512" s="151"/>
      <c r="P512" s="151"/>
      <c r="Q512" s="152"/>
      <c r="R512" s="152"/>
      <c r="S512" s="147" t="s">
        <v>98</v>
      </c>
      <c r="T512" s="147" t="s">
        <v>73</v>
      </c>
      <c r="U512" s="147" t="s">
        <v>1259</v>
      </c>
      <c r="V512" s="147" t="s">
        <v>1470</v>
      </c>
      <c r="W512" s="153"/>
      <c r="X512" s="153"/>
      <c r="Y512" s="153"/>
      <c r="Z512" s="153"/>
      <c r="AA512" s="154">
        <v>5606.0</v>
      </c>
      <c r="AB512" s="154">
        <v>28030.0</v>
      </c>
      <c r="AC512" s="24" t="s">
        <v>1679</v>
      </c>
      <c r="AD512" s="17">
        <v>4781.0</v>
      </c>
      <c r="AE512" s="27" t="s">
        <v>1680</v>
      </c>
      <c r="AF512" s="147" t="str">
        <f t="shared" si="1"/>
        <v>Tierra de Fuego, Argentina</v>
      </c>
      <c r="AG512" s="147">
        <f t="shared" si="2"/>
        <v>1</v>
      </c>
      <c r="AH512" s="155">
        <f t="shared" si="3"/>
        <v>0</v>
      </c>
      <c r="AI512" s="155">
        <f t="shared" si="4"/>
        <v>0</v>
      </c>
      <c r="AJ512" s="154">
        <f t="shared" si="5"/>
        <v>33636</v>
      </c>
      <c r="AK512" s="154">
        <f t="shared" si="6"/>
        <v>33636</v>
      </c>
      <c r="AL512" s="156"/>
      <c r="AM512" s="156"/>
    </row>
    <row r="513">
      <c r="A513" s="147">
        <v>512.0</v>
      </c>
      <c r="B513" s="148">
        <v>44183.0</v>
      </c>
      <c r="C513" s="17">
        <v>122020.0</v>
      </c>
      <c r="D513" s="149" t="s">
        <v>1681</v>
      </c>
      <c r="E513" s="147" t="s">
        <v>38</v>
      </c>
      <c r="F513" s="149" t="s">
        <v>1415</v>
      </c>
      <c r="G513" s="147" t="s">
        <v>64</v>
      </c>
      <c r="H513" s="147" t="s">
        <v>41</v>
      </c>
      <c r="I513" s="147" t="s">
        <v>643</v>
      </c>
      <c r="J513" s="151"/>
      <c r="K513" s="150">
        <v>1.0</v>
      </c>
      <c r="L513" s="151"/>
      <c r="M513" s="151"/>
      <c r="N513" s="151"/>
      <c r="O513" s="151"/>
      <c r="P513" s="151"/>
      <c r="Q513" s="152"/>
      <c r="R513" s="152"/>
      <c r="S513" s="147" t="s">
        <v>51</v>
      </c>
      <c r="T513" s="147" t="s">
        <v>83</v>
      </c>
      <c r="U513" s="147" t="s">
        <v>1259</v>
      </c>
      <c r="V513" s="147" t="s">
        <v>1470</v>
      </c>
      <c r="W513" s="153"/>
      <c r="X513" s="153"/>
      <c r="Y513" s="153"/>
      <c r="Z513" s="153"/>
      <c r="AA513" s="154">
        <v>3700.0</v>
      </c>
      <c r="AB513" s="154">
        <v>18500.0</v>
      </c>
      <c r="AC513" s="24" t="s">
        <v>1682</v>
      </c>
      <c r="AD513" s="17">
        <v>4783.0</v>
      </c>
      <c r="AE513" s="27" t="s">
        <v>1683</v>
      </c>
      <c r="AF513" s="147" t="str">
        <f t="shared" si="1"/>
        <v>Capital Federal, Argentina</v>
      </c>
      <c r="AG513" s="147">
        <f t="shared" si="2"/>
        <v>1</v>
      </c>
      <c r="AH513" s="155">
        <f t="shared" si="3"/>
        <v>0</v>
      </c>
      <c r="AI513" s="155">
        <f t="shared" si="4"/>
        <v>0</v>
      </c>
      <c r="AJ513" s="154">
        <f t="shared" si="5"/>
        <v>22200</v>
      </c>
      <c r="AK513" s="154">
        <f t="shared" si="6"/>
        <v>22200</v>
      </c>
      <c r="AL513" s="156"/>
      <c r="AM513" s="156"/>
    </row>
    <row r="514">
      <c r="A514" s="147">
        <v>513.0</v>
      </c>
      <c r="B514" s="148">
        <v>44186.0</v>
      </c>
      <c r="C514" s="17">
        <v>122020.0</v>
      </c>
      <c r="D514" s="149" t="s">
        <v>1684</v>
      </c>
      <c r="E514" s="147" t="s">
        <v>1685</v>
      </c>
      <c r="F514" s="149" t="s">
        <v>1423</v>
      </c>
      <c r="G514" s="147" t="s">
        <v>64</v>
      </c>
      <c r="H514" s="147" t="s">
        <v>41</v>
      </c>
      <c r="I514" s="147" t="s">
        <v>643</v>
      </c>
      <c r="J514" s="150">
        <v>1.0</v>
      </c>
      <c r="K514" s="151"/>
      <c r="L514" s="151"/>
      <c r="M514" s="151"/>
      <c r="N514" s="151"/>
      <c r="O514" s="151"/>
      <c r="P514" s="151"/>
      <c r="Q514" s="152"/>
      <c r="R514" s="152"/>
      <c r="S514" s="147" t="s">
        <v>65</v>
      </c>
      <c r="T514" s="147" t="s">
        <v>66</v>
      </c>
      <c r="U514" s="147" t="s">
        <v>1259</v>
      </c>
      <c r="V514" s="147" t="s">
        <v>1470</v>
      </c>
      <c r="W514" s="153"/>
      <c r="X514" s="153"/>
      <c r="Y514" s="153"/>
      <c r="Z514" s="153"/>
      <c r="AA514" s="154">
        <v>5606.0</v>
      </c>
      <c r="AB514" s="154">
        <v>28030.0</v>
      </c>
      <c r="AC514" s="24" t="s">
        <v>1686</v>
      </c>
      <c r="AD514" s="17">
        <v>4785.0</v>
      </c>
      <c r="AE514" s="27" t="s">
        <v>1687</v>
      </c>
      <c r="AF514" s="147" t="str">
        <f t="shared" si="1"/>
        <v>Buenos Aires, Argentina</v>
      </c>
      <c r="AG514" s="147">
        <f t="shared" si="2"/>
        <v>1</v>
      </c>
      <c r="AH514" s="155">
        <f t="shared" si="3"/>
        <v>0</v>
      </c>
      <c r="AI514" s="155">
        <f t="shared" si="4"/>
        <v>0</v>
      </c>
      <c r="AJ514" s="154">
        <f t="shared" si="5"/>
        <v>33636</v>
      </c>
      <c r="AK514" s="154">
        <f t="shared" si="6"/>
        <v>33636</v>
      </c>
      <c r="AL514" s="156"/>
      <c r="AM514" s="156"/>
    </row>
    <row r="515">
      <c r="A515" s="147">
        <v>514.0</v>
      </c>
      <c r="B515" s="148">
        <v>44187.0</v>
      </c>
      <c r="C515" s="17">
        <v>122020.0</v>
      </c>
      <c r="D515" s="149" t="s">
        <v>1389</v>
      </c>
      <c r="E515" s="147" t="s">
        <v>38</v>
      </c>
      <c r="F515" s="149" t="s">
        <v>1357</v>
      </c>
      <c r="G515" s="147" t="s">
        <v>64</v>
      </c>
      <c r="H515" s="147" t="s">
        <v>41</v>
      </c>
      <c r="I515" s="147" t="s">
        <v>643</v>
      </c>
      <c r="J515" s="151"/>
      <c r="K515" s="151"/>
      <c r="L515" s="151"/>
      <c r="M515" s="151"/>
      <c r="N515" s="151"/>
      <c r="O515" s="151"/>
      <c r="P515" s="150">
        <v>1.0</v>
      </c>
      <c r="Q515" s="152"/>
      <c r="R515" s="152"/>
      <c r="S515" s="147" t="s">
        <v>65</v>
      </c>
      <c r="T515" s="147" t="s">
        <v>83</v>
      </c>
      <c r="U515" s="147" t="s">
        <v>67</v>
      </c>
      <c r="V515" s="147" t="s">
        <v>1470</v>
      </c>
      <c r="W515" s="153"/>
      <c r="X515" s="153"/>
      <c r="Y515" s="153"/>
      <c r="Z515" s="153"/>
      <c r="AA515" s="154">
        <v>2243.0</v>
      </c>
      <c r="AB515" s="154">
        <v>11215.0</v>
      </c>
      <c r="AC515" s="24" t="s">
        <v>1688</v>
      </c>
      <c r="AD515" s="17">
        <v>4787.0</v>
      </c>
      <c r="AE515" s="27" t="s">
        <v>1689</v>
      </c>
      <c r="AF515" s="147" t="str">
        <f t="shared" si="1"/>
        <v>Capital Federal, Argentina</v>
      </c>
      <c r="AG515" s="147">
        <f t="shared" si="2"/>
        <v>1</v>
      </c>
      <c r="AH515" s="155">
        <f t="shared" si="3"/>
        <v>0</v>
      </c>
      <c r="AI515" s="155">
        <f t="shared" si="4"/>
        <v>0</v>
      </c>
      <c r="AJ515" s="154">
        <f t="shared" si="5"/>
        <v>13458</v>
      </c>
      <c r="AK515" s="154">
        <f t="shared" si="6"/>
        <v>13458</v>
      </c>
      <c r="AL515" s="156"/>
      <c r="AM515" s="156"/>
    </row>
    <row r="516">
      <c r="A516" s="147">
        <v>515.0</v>
      </c>
      <c r="B516" s="148">
        <v>44187.0</v>
      </c>
      <c r="C516" s="17">
        <v>122020.0</v>
      </c>
      <c r="D516" s="149" t="s">
        <v>1690</v>
      </c>
      <c r="E516" s="147" t="s">
        <v>38</v>
      </c>
      <c r="F516" s="149" t="s">
        <v>1412</v>
      </c>
      <c r="G516" s="147" t="s">
        <v>64</v>
      </c>
      <c r="H516" s="147" t="s">
        <v>41</v>
      </c>
      <c r="I516" s="147" t="s">
        <v>643</v>
      </c>
      <c r="J516" s="150">
        <v>2.0</v>
      </c>
      <c r="K516" s="151"/>
      <c r="L516" s="151"/>
      <c r="M516" s="151"/>
      <c r="N516" s="151"/>
      <c r="O516" s="151"/>
      <c r="P516" s="151"/>
      <c r="Q516" s="152"/>
      <c r="R516" s="152"/>
      <c r="S516" s="147" t="s">
        <v>82</v>
      </c>
      <c r="T516" s="147" t="s">
        <v>66</v>
      </c>
      <c r="U516" s="147" t="s">
        <v>1259</v>
      </c>
      <c r="V516" s="147" t="s">
        <v>1470</v>
      </c>
      <c r="W516" s="153"/>
      <c r="X516" s="153"/>
      <c r="Y516" s="153"/>
      <c r="Z516" s="153"/>
      <c r="AA516" s="154">
        <v>11212.0</v>
      </c>
      <c r="AB516" s="154">
        <v>56060.0</v>
      </c>
      <c r="AC516" s="24" t="s">
        <v>1691</v>
      </c>
      <c r="AD516" s="17">
        <v>4789.0</v>
      </c>
      <c r="AE516" s="27" t="s">
        <v>1692</v>
      </c>
      <c r="AF516" s="147" t="str">
        <f t="shared" si="1"/>
        <v>Buenos Aires, Argentina</v>
      </c>
      <c r="AG516" s="147">
        <f t="shared" si="2"/>
        <v>2</v>
      </c>
      <c r="AH516" s="155">
        <f t="shared" si="3"/>
        <v>0</v>
      </c>
      <c r="AI516" s="155">
        <f t="shared" si="4"/>
        <v>0</v>
      </c>
      <c r="AJ516" s="154">
        <f t="shared" si="5"/>
        <v>67272</v>
      </c>
      <c r="AK516" s="154">
        <f t="shared" si="6"/>
        <v>67272</v>
      </c>
      <c r="AL516" s="156"/>
      <c r="AM516" s="156"/>
    </row>
    <row r="517">
      <c r="A517" s="147">
        <v>516.0</v>
      </c>
      <c r="B517" s="148">
        <v>44187.0</v>
      </c>
      <c r="C517" s="17">
        <v>122020.0</v>
      </c>
      <c r="D517" s="149" t="s">
        <v>1693</v>
      </c>
      <c r="E517" s="147" t="s">
        <v>38</v>
      </c>
      <c r="F517" s="149" t="s">
        <v>1423</v>
      </c>
      <c r="G517" s="147" t="s">
        <v>64</v>
      </c>
      <c r="H517" s="147" t="s">
        <v>41</v>
      </c>
      <c r="I517" s="147" t="s">
        <v>643</v>
      </c>
      <c r="J517" s="150">
        <v>1.0</v>
      </c>
      <c r="K517" s="151"/>
      <c r="L517" s="151"/>
      <c r="M517" s="151"/>
      <c r="N517" s="151"/>
      <c r="O517" s="151"/>
      <c r="P517" s="151"/>
      <c r="Q517" s="152"/>
      <c r="R517" s="152"/>
      <c r="S517" s="147" t="s">
        <v>204</v>
      </c>
      <c r="T517" s="147" t="s">
        <v>66</v>
      </c>
      <c r="U517" s="147" t="s">
        <v>1259</v>
      </c>
      <c r="V517" s="147" t="s">
        <v>1470</v>
      </c>
      <c r="W517" s="153"/>
      <c r="X517" s="153"/>
      <c r="Y517" s="153"/>
      <c r="Z517" s="153"/>
      <c r="AA517" s="154">
        <v>5606.0</v>
      </c>
      <c r="AB517" s="154">
        <v>28030.0</v>
      </c>
      <c r="AC517" s="24" t="s">
        <v>1694</v>
      </c>
      <c r="AD517" s="17">
        <v>4791.0</v>
      </c>
      <c r="AE517" s="27" t="s">
        <v>1695</v>
      </c>
      <c r="AF517" s="147" t="str">
        <f t="shared" si="1"/>
        <v>Buenos Aires, Argentina</v>
      </c>
      <c r="AG517" s="147">
        <f t="shared" si="2"/>
        <v>1</v>
      </c>
      <c r="AH517" s="155">
        <f t="shared" si="3"/>
        <v>0</v>
      </c>
      <c r="AI517" s="155">
        <f t="shared" si="4"/>
        <v>0</v>
      </c>
      <c r="AJ517" s="154">
        <f t="shared" si="5"/>
        <v>33636</v>
      </c>
      <c r="AK517" s="154">
        <f t="shared" si="6"/>
        <v>33636</v>
      </c>
      <c r="AL517" s="156"/>
      <c r="AM517" s="156"/>
    </row>
    <row r="518">
      <c r="A518" s="147">
        <v>517.0</v>
      </c>
      <c r="B518" s="148">
        <v>44188.0</v>
      </c>
      <c r="C518" s="17">
        <v>122020.0</v>
      </c>
      <c r="D518" s="149" t="s">
        <v>1696</v>
      </c>
      <c r="E518" s="147" t="s">
        <v>38</v>
      </c>
      <c r="F518" s="149" t="s">
        <v>1427</v>
      </c>
      <c r="G518" s="147" t="s">
        <v>64</v>
      </c>
      <c r="H518" s="147" t="s">
        <v>41</v>
      </c>
      <c r="I518" s="147" t="s">
        <v>42</v>
      </c>
      <c r="J518" s="151"/>
      <c r="K518" s="150">
        <v>2.0</v>
      </c>
      <c r="L518" s="151"/>
      <c r="M518" s="151"/>
      <c r="N518" s="151"/>
      <c r="O518" s="151"/>
      <c r="P518" s="151"/>
      <c r="Q518" s="152"/>
      <c r="R518" s="152"/>
      <c r="S518" s="147" t="s">
        <v>137</v>
      </c>
      <c r="T518" s="147" t="s">
        <v>497</v>
      </c>
      <c r="U518" s="147" t="s">
        <v>67</v>
      </c>
      <c r="V518" s="147" t="s">
        <v>1470</v>
      </c>
      <c r="W518" s="153"/>
      <c r="X518" s="153"/>
      <c r="Y518" s="153"/>
      <c r="Z518" s="153"/>
      <c r="AA518" s="154">
        <v>7400.0</v>
      </c>
      <c r="AB518" s="154">
        <v>37000.0</v>
      </c>
      <c r="AC518" s="24" t="s">
        <v>1697</v>
      </c>
      <c r="AD518" s="17">
        <v>4793.0</v>
      </c>
      <c r="AE518" s="27" t="s">
        <v>1698</v>
      </c>
      <c r="AF518" s="147" t="str">
        <f t="shared" si="1"/>
        <v>Tucumán, Argentina</v>
      </c>
      <c r="AG518" s="147">
        <f t="shared" si="2"/>
        <v>2</v>
      </c>
      <c r="AH518" s="155">
        <f t="shared" si="3"/>
        <v>0</v>
      </c>
      <c r="AI518" s="155">
        <f t="shared" si="4"/>
        <v>0</v>
      </c>
      <c r="AJ518" s="154">
        <f t="shared" si="5"/>
        <v>44400</v>
      </c>
      <c r="AK518" s="154">
        <f t="shared" si="6"/>
        <v>44400</v>
      </c>
      <c r="AL518" s="156"/>
      <c r="AM518" s="156"/>
    </row>
    <row r="519">
      <c r="A519" s="147">
        <v>518.0</v>
      </c>
      <c r="B519" s="148">
        <v>44188.0</v>
      </c>
      <c r="C519" s="17">
        <v>122020.0</v>
      </c>
      <c r="D519" s="149" t="s">
        <v>1696</v>
      </c>
      <c r="E519" s="147" t="s">
        <v>38</v>
      </c>
      <c r="F519" s="149" t="s">
        <v>1699</v>
      </c>
      <c r="G519" s="147" t="s">
        <v>64</v>
      </c>
      <c r="H519" s="147" t="s">
        <v>41</v>
      </c>
      <c r="I519" s="147" t="s">
        <v>42</v>
      </c>
      <c r="J519" s="151"/>
      <c r="K519" s="151"/>
      <c r="L519" s="151"/>
      <c r="M519" s="151"/>
      <c r="N519" s="151"/>
      <c r="O519" s="151"/>
      <c r="P519" s="151"/>
      <c r="Q519" s="152"/>
      <c r="R519" s="147">
        <v>3.0</v>
      </c>
      <c r="S519" s="147" t="s">
        <v>137</v>
      </c>
      <c r="T519" s="147" t="s">
        <v>497</v>
      </c>
      <c r="U519" s="147" t="s">
        <v>67</v>
      </c>
      <c r="V519" s="147" t="s">
        <v>1470</v>
      </c>
      <c r="W519" s="153"/>
      <c r="X519" s="153"/>
      <c r="Y519" s="153"/>
      <c r="Z519" s="154">
        <v>13455.0</v>
      </c>
      <c r="AA519" s="153"/>
      <c r="AB519" s="153" t="s">
        <v>926</v>
      </c>
      <c r="AC519" s="24" t="s">
        <v>1697</v>
      </c>
      <c r="AD519" s="17">
        <v>4793.0</v>
      </c>
      <c r="AE519" s="27" t="s">
        <v>1700</v>
      </c>
      <c r="AF519" s="147" t="str">
        <f t="shared" si="1"/>
        <v>Tucumán, Argentina</v>
      </c>
      <c r="AG519" s="147">
        <f t="shared" si="2"/>
        <v>0</v>
      </c>
      <c r="AH519" s="155">
        <f t="shared" si="3"/>
        <v>0</v>
      </c>
      <c r="AI519" s="155">
        <f t="shared" si="4"/>
        <v>13455</v>
      </c>
      <c r="AJ519" s="154">
        <f t="shared" si="5"/>
        <v>0</v>
      </c>
      <c r="AK519" s="154">
        <f t="shared" si="6"/>
        <v>13455</v>
      </c>
      <c r="AL519" s="156"/>
      <c r="AM519" s="156"/>
    </row>
    <row r="520">
      <c r="A520" s="147">
        <v>519.0</v>
      </c>
      <c r="B520" s="148">
        <v>44188.0</v>
      </c>
      <c r="C520" s="17">
        <v>122020.0</v>
      </c>
      <c r="D520" s="149" t="s">
        <v>1701</v>
      </c>
      <c r="E520" s="147" t="s">
        <v>38</v>
      </c>
      <c r="F520" s="149" t="s">
        <v>1427</v>
      </c>
      <c r="G520" s="147" t="s">
        <v>64</v>
      </c>
      <c r="H520" s="147" t="s">
        <v>41</v>
      </c>
      <c r="I520" s="147" t="s">
        <v>643</v>
      </c>
      <c r="J520" s="151"/>
      <c r="K520" s="150">
        <v>2.0</v>
      </c>
      <c r="L520" s="151"/>
      <c r="M520" s="151"/>
      <c r="N520" s="151"/>
      <c r="O520" s="151"/>
      <c r="P520" s="151"/>
      <c r="Q520" s="152"/>
      <c r="R520" s="152"/>
      <c r="S520" s="147" t="s">
        <v>65</v>
      </c>
      <c r="T520" s="147" t="s">
        <v>66</v>
      </c>
      <c r="U520" s="147" t="s">
        <v>1259</v>
      </c>
      <c r="V520" s="147" t="s">
        <v>1470</v>
      </c>
      <c r="W520" s="153"/>
      <c r="X520" s="153"/>
      <c r="Y520" s="153"/>
      <c r="Z520" s="153"/>
      <c r="AA520" s="154">
        <v>7400.0</v>
      </c>
      <c r="AB520" s="154">
        <v>37000.0</v>
      </c>
      <c r="AC520" s="24" t="s">
        <v>1702</v>
      </c>
      <c r="AD520" s="17">
        <v>4795.0</v>
      </c>
      <c r="AE520" s="27" t="s">
        <v>1703</v>
      </c>
      <c r="AF520" s="147" t="str">
        <f t="shared" si="1"/>
        <v>Buenos Aires, Argentina</v>
      </c>
      <c r="AG520" s="147">
        <f t="shared" si="2"/>
        <v>2</v>
      </c>
      <c r="AH520" s="155">
        <f t="shared" si="3"/>
        <v>0</v>
      </c>
      <c r="AI520" s="155">
        <f t="shared" si="4"/>
        <v>0</v>
      </c>
      <c r="AJ520" s="154">
        <f t="shared" si="5"/>
        <v>44400</v>
      </c>
      <c r="AK520" s="154">
        <f t="shared" si="6"/>
        <v>44400</v>
      </c>
      <c r="AL520" s="156"/>
      <c r="AM520" s="156"/>
    </row>
    <row r="521">
      <c r="A521" s="147">
        <v>520.0</v>
      </c>
      <c r="B521" s="148">
        <v>44188.0</v>
      </c>
      <c r="C521" s="17">
        <v>122020.0</v>
      </c>
      <c r="D521" s="149" t="s">
        <v>1704</v>
      </c>
      <c r="E521" s="147" t="s">
        <v>38</v>
      </c>
      <c r="F521" s="149" t="s">
        <v>1705</v>
      </c>
      <c r="G521" s="147" t="s">
        <v>40</v>
      </c>
      <c r="H521" s="147" t="s">
        <v>547</v>
      </c>
      <c r="I521" s="147" t="s">
        <v>42</v>
      </c>
      <c r="J521" s="150">
        <v>1.0</v>
      </c>
      <c r="K521" s="150">
        <v>1.0</v>
      </c>
      <c r="L521" s="151"/>
      <c r="M521" s="150">
        <v>1.0</v>
      </c>
      <c r="N521" s="151"/>
      <c r="O521" s="151"/>
      <c r="P521" s="151"/>
      <c r="Q521" s="152"/>
      <c r="R521" s="152"/>
      <c r="S521" s="147" t="s">
        <v>114</v>
      </c>
      <c r="T521" s="147" t="s">
        <v>66</v>
      </c>
      <c r="U521" s="147" t="s">
        <v>342</v>
      </c>
      <c r="V521" s="147" t="s">
        <v>1470</v>
      </c>
      <c r="W521" s="153"/>
      <c r="X521" s="153"/>
      <c r="Y521" s="153"/>
      <c r="Z521" s="153"/>
      <c r="AA521" s="154">
        <v>8971.0</v>
      </c>
      <c r="AB521" s="154">
        <v>17942.0</v>
      </c>
      <c r="AC521" s="24" t="s">
        <v>1706</v>
      </c>
      <c r="AD521" s="17">
        <v>33165.0</v>
      </c>
      <c r="AE521" s="27" t="s">
        <v>1707</v>
      </c>
      <c r="AF521" s="147" t="str">
        <f t="shared" si="1"/>
        <v>Buenos Aires, Argentina</v>
      </c>
      <c r="AG521" s="147">
        <f t="shared" si="2"/>
        <v>3</v>
      </c>
      <c r="AH521" s="155">
        <f t="shared" si="3"/>
        <v>0</v>
      </c>
      <c r="AI521" s="155">
        <f t="shared" si="4"/>
        <v>0</v>
      </c>
      <c r="AJ521" s="154">
        <f t="shared" si="5"/>
        <v>26913</v>
      </c>
      <c r="AK521" s="154">
        <f t="shared" si="6"/>
        <v>26913</v>
      </c>
      <c r="AL521" s="156"/>
      <c r="AM521" s="156"/>
    </row>
    <row r="522">
      <c r="A522" s="147">
        <v>521.0</v>
      </c>
      <c r="B522" s="148">
        <v>44188.0</v>
      </c>
      <c r="C522" s="17">
        <v>122020.0</v>
      </c>
      <c r="D522" s="149" t="s">
        <v>1708</v>
      </c>
      <c r="E522" s="147" t="s">
        <v>38</v>
      </c>
      <c r="F522" s="149" t="s">
        <v>1709</v>
      </c>
      <c r="G522" s="147" t="s">
        <v>64</v>
      </c>
      <c r="H522" s="147" t="s">
        <v>41</v>
      </c>
      <c r="I522" s="147" t="s">
        <v>643</v>
      </c>
      <c r="J522" s="150">
        <v>1.0</v>
      </c>
      <c r="K522" s="150">
        <v>3.0</v>
      </c>
      <c r="L522" s="151"/>
      <c r="M522" s="151"/>
      <c r="N522" s="151"/>
      <c r="O522" s="151"/>
      <c r="P522" s="151"/>
      <c r="Q522" s="152"/>
      <c r="R522" s="152"/>
      <c r="S522" s="147" t="s">
        <v>65</v>
      </c>
      <c r="T522" s="147" t="s">
        <v>66</v>
      </c>
      <c r="U522" s="147" t="s">
        <v>1259</v>
      </c>
      <c r="V522" s="147" t="s">
        <v>1470</v>
      </c>
      <c r="W522" s="153"/>
      <c r="X522" s="153"/>
      <c r="Y522" s="153"/>
      <c r="Z522" s="153"/>
      <c r="AA522" s="154">
        <v>15035.0</v>
      </c>
      <c r="AB522" s="154">
        <v>835300.0</v>
      </c>
      <c r="AC522" s="24" t="s">
        <v>1710</v>
      </c>
      <c r="AD522" s="17">
        <v>4799.0</v>
      </c>
      <c r="AE522" s="27" t="s">
        <v>1711</v>
      </c>
      <c r="AF522" s="147" t="str">
        <f t="shared" si="1"/>
        <v>Buenos Aires, Argentina</v>
      </c>
      <c r="AG522" s="147">
        <f t="shared" si="2"/>
        <v>4</v>
      </c>
      <c r="AH522" s="155">
        <f t="shared" si="3"/>
        <v>0</v>
      </c>
      <c r="AI522" s="155">
        <f t="shared" si="4"/>
        <v>0</v>
      </c>
      <c r="AJ522" s="154">
        <f t="shared" si="5"/>
        <v>850335</v>
      </c>
      <c r="AK522" s="154">
        <f t="shared" si="6"/>
        <v>850335</v>
      </c>
      <c r="AL522" s="156"/>
      <c r="AM522" s="156"/>
    </row>
    <row r="523">
      <c r="A523" s="147">
        <v>522.0</v>
      </c>
      <c r="B523" s="148">
        <v>44193.0</v>
      </c>
      <c r="C523" s="17">
        <v>122020.0</v>
      </c>
      <c r="D523" s="149" t="s">
        <v>1712</v>
      </c>
      <c r="E523" s="147">
        <v>3.071036435E10</v>
      </c>
      <c r="F523" s="149" t="s">
        <v>1459</v>
      </c>
      <c r="G523" s="147" t="s">
        <v>64</v>
      </c>
      <c r="H523" s="147" t="s">
        <v>41</v>
      </c>
      <c r="I523" s="147" t="s">
        <v>643</v>
      </c>
      <c r="J523" s="151"/>
      <c r="K523" s="150">
        <v>3.0</v>
      </c>
      <c r="L523" s="151"/>
      <c r="M523" s="151"/>
      <c r="N523" s="151"/>
      <c r="O523" s="151"/>
      <c r="P523" s="151"/>
      <c r="Q523" s="152"/>
      <c r="R523" s="152"/>
      <c r="S523" s="147" t="s">
        <v>65</v>
      </c>
      <c r="T523" s="147" t="s">
        <v>66</v>
      </c>
      <c r="U523" s="147" t="s">
        <v>1259</v>
      </c>
      <c r="V523" s="147" t="s">
        <v>1470</v>
      </c>
      <c r="W523" s="153"/>
      <c r="X523" s="153"/>
      <c r="Y523" s="153"/>
      <c r="Z523" s="153"/>
      <c r="AA523" s="154">
        <v>9990.0</v>
      </c>
      <c r="AB523" s="154">
        <v>55500.0</v>
      </c>
      <c r="AC523" s="24" t="s">
        <v>1713</v>
      </c>
      <c r="AD523" s="17">
        <v>4801.0</v>
      </c>
      <c r="AE523" s="27" t="s">
        <v>1714</v>
      </c>
      <c r="AF523" s="147" t="str">
        <f t="shared" si="1"/>
        <v>Buenos Aires, Argentina</v>
      </c>
      <c r="AG523" s="147">
        <f t="shared" si="2"/>
        <v>3</v>
      </c>
      <c r="AH523" s="155">
        <f t="shared" si="3"/>
        <v>0</v>
      </c>
      <c r="AI523" s="155">
        <f t="shared" si="4"/>
        <v>0</v>
      </c>
      <c r="AJ523" s="154">
        <f t="shared" si="5"/>
        <v>65490</v>
      </c>
      <c r="AK523" s="154">
        <f t="shared" si="6"/>
        <v>65490</v>
      </c>
      <c r="AL523" s="156"/>
      <c r="AM523" s="156"/>
    </row>
    <row r="524">
      <c r="A524" s="147">
        <v>523.0</v>
      </c>
      <c r="B524" s="148">
        <v>44193.0</v>
      </c>
      <c r="C524" s="17">
        <v>122020.0</v>
      </c>
      <c r="D524" s="149" t="s">
        <v>795</v>
      </c>
      <c r="E524" s="147" t="s">
        <v>796</v>
      </c>
      <c r="F524" s="149" t="s">
        <v>1415</v>
      </c>
      <c r="G524" s="147" t="s">
        <v>64</v>
      </c>
      <c r="H524" s="147" t="s">
        <v>41</v>
      </c>
      <c r="I524" s="147" t="s">
        <v>42</v>
      </c>
      <c r="J524" s="151"/>
      <c r="K524" s="150">
        <v>1.0</v>
      </c>
      <c r="L524" s="151"/>
      <c r="M524" s="151"/>
      <c r="N524" s="151"/>
      <c r="O524" s="151"/>
      <c r="P524" s="151"/>
      <c r="Q524" s="152"/>
      <c r="R524" s="152"/>
      <c r="S524" s="147" t="s">
        <v>98</v>
      </c>
      <c r="T524" s="147" t="s">
        <v>66</v>
      </c>
      <c r="U524" s="147" t="s">
        <v>67</v>
      </c>
      <c r="V524" s="147" t="s">
        <v>1470</v>
      </c>
      <c r="W524" s="153"/>
      <c r="X524" s="153"/>
      <c r="Y524" s="153"/>
      <c r="Z524" s="153"/>
      <c r="AA524" s="154">
        <v>3700.0</v>
      </c>
      <c r="AB524" s="154">
        <v>18500.0</v>
      </c>
      <c r="AC524" s="24" t="s">
        <v>1715</v>
      </c>
      <c r="AD524" s="17">
        <v>4803.0</v>
      </c>
      <c r="AE524" s="27" t="s">
        <v>1716</v>
      </c>
      <c r="AF524" s="147" t="str">
        <f t="shared" si="1"/>
        <v>Buenos Aires, Argentina</v>
      </c>
      <c r="AG524" s="147">
        <f t="shared" si="2"/>
        <v>1</v>
      </c>
      <c r="AH524" s="155">
        <f t="shared" si="3"/>
        <v>0</v>
      </c>
      <c r="AI524" s="155">
        <f t="shared" si="4"/>
        <v>0</v>
      </c>
      <c r="AJ524" s="154">
        <f t="shared" si="5"/>
        <v>22200</v>
      </c>
      <c r="AK524" s="154">
        <f t="shared" si="6"/>
        <v>22200</v>
      </c>
      <c r="AL524" s="156"/>
      <c r="AM524" s="156"/>
    </row>
    <row r="525">
      <c r="A525" s="147">
        <v>524.0</v>
      </c>
      <c r="B525" s="148">
        <v>44193.0</v>
      </c>
      <c r="C525" s="17">
        <v>122020.0</v>
      </c>
      <c r="D525" s="149" t="s">
        <v>1717</v>
      </c>
      <c r="E525" s="147" t="s">
        <v>38</v>
      </c>
      <c r="F525" s="149" t="s">
        <v>1423</v>
      </c>
      <c r="G525" s="147" t="s">
        <v>64</v>
      </c>
      <c r="H525" s="147" t="s">
        <v>547</v>
      </c>
      <c r="I525" s="147" t="s">
        <v>42</v>
      </c>
      <c r="J525" s="150">
        <v>1.0</v>
      </c>
      <c r="K525" s="151"/>
      <c r="L525" s="151"/>
      <c r="M525" s="151"/>
      <c r="N525" s="151"/>
      <c r="O525" s="151"/>
      <c r="P525" s="151"/>
      <c r="Q525" s="152"/>
      <c r="R525" s="152"/>
      <c r="S525" s="147" t="s">
        <v>189</v>
      </c>
      <c r="T525" s="147" t="s">
        <v>263</v>
      </c>
      <c r="U525" s="147" t="s">
        <v>1259</v>
      </c>
      <c r="V525" s="147" t="s">
        <v>1470</v>
      </c>
      <c r="W525" s="153"/>
      <c r="X525" s="153"/>
      <c r="Y525" s="153"/>
      <c r="Z525" s="153"/>
      <c r="AA525" s="154">
        <v>3364.0</v>
      </c>
      <c r="AB525" s="154">
        <v>16820.0</v>
      </c>
      <c r="AC525" s="24" t="s">
        <v>1718</v>
      </c>
      <c r="AD525" s="17">
        <v>4805.0</v>
      </c>
      <c r="AE525" s="27" t="s">
        <v>1719</v>
      </c>
      <c r="AF525" s="147" t="str">
        <f t="shared" si="1"/>
        <v>Santa Fé, Argentina</v>
      </c>
      <c r="AG525" s="147">
        <f t="shared" si="2"/>
        <v>1</v>
      </c>
      <c r="AH525" s="155">
        <f t="shared" si="3"/>
        <v>0</v>
      </c>
      <c r="AI525" s="155">
        <f t="shared" si="4"/>
        <v>0</v>
      </c>
      <c r="AJ525" s="154">
        <f t="shared" si="5"/>
        <v>20184</v>
      </c>
      <c r="AK525" s="154">
        <f t="shared" si="6"/>
        <v>20184</v>
      </c>
      <c r="AL525" s="156"/>
      <c r="AM525" s="156"/>
    </row>
    <row r="526">
      <c r="A526" s="147">
        <v>525.0</v>
      </c>
      <c r="B526" s="148">
        <v>44194.0</v>
      </c>
      <c r="C526" s="17">
        <v>122020.0</v>
      </c>
      <c r="D526" s="149" t="s">
        <v>1720</v>
      </c>
      <c r="E526" s="147" t="s">
        <v>38</v>
      </c>
      <c r="F526" s="149" t="s">
        <v>1721</v>
      </c>
      <c r="G526" s="147" t="s">
        <v>40</v>
      </c>
      <c r="H526" s="147" t="s">
        <v>41</v>
      </c>
      <c r="I526" s="147" t="s">
        <v>643</v>
      </c>
      <c r="J526" s="150">
        <v>6.0</v>
      </c>
      <c r="K526" s="150">
        <v>3.0</v>
      </c>
      <c r="L526" s="151"/>
      <c r="M526" s="150">
        <v>1.0</v>
      </c>
      <c r="N526" s="151"/>
      <c r="O526" s="151"/>
      <c r="P526" s="151"/>
      <c r="Q526" s="152"/>
      <c r="R526" s="147">
        <v>20.0</v>
      </c>
      <c r="S526" s="147" t="s">
        <v>65</v>
      </c>
      <c r="T526" s="147" t="s">
        <v>267</v>
      </c>
      <c r="U526" s="147" t="s">
        <v>342</v>
      </c>
      <c r="V526" s="147" t="s">
        <v>1470</v>
      </c>
      <c r="W526" s="153"/>
      <c r="X526" s="153"/>
      <c r="Y526" s="153"/>
      <c r="Z526" s="153"/>
      <c r="AA526" s="154">
        <v>50342.0</v>
      </c>
      <c r="AB526" s="154">
        <v>363830.0</v>
      </c>
      <c r="AC526" s="24" t="s">
        <v>1722</v>
      </c>
      <c r="AD526" s="17">
        <v>4807.0</v>
      </c>
      <c r="AE526" s="27" t="s">
        <v>1723</v>
      </c>
      <c r="AF526" s="147" t="str">
        <f t="shared" si="1"/>
        <v>Entre Ríos, Argentina</v>
      </c>
      <c r="AG526" s="147">
        <f t="shared" si="2"/>
        <v>10</v>
      </c>
      <c r="AH526" s="155">
        <f t="shared" si="3"/>
        <v>0</v>
      </c>
      <c r="AI526" s="155">
        <f t="shared" si="4"/>
        <v>0</v>
      </c>
      <c r="AJ526" s="154">
        <f t="shared" si="5"/>
        <v>414172</v>
      </c>
      <c r="AK526" s="154">
        <f t="shared" si="6"/>
        <v>414172</v>
      </c>
      <c r="AL526" s="156"/>
      <c r="AM526" s="156"/>
    </row>
    <row r="527">
      <c r="A527" s="147">
        <v>526.0</v>
      </c>
      <c r="B527" s="148">
        <v>44194.0</v>
      </c>
      <c r="C527" s="17">
        <v>122020.0</v>
      </c>
      <c r="D527" s="149" t="s">
        <v>1724</v>
      </c>
      <c r="E527" s="147" t="s">
        <v>38</v>
      </c>
      <c r="F527" s="149" t="s">
        <v>1412</v>
      </c>
      <c r="G527" s="147" t="s">
        <v>64</v>
      </c>
      <c r="H527" s="147" t="s">
        <v>41</v>
      </c>
      <c r="I527" s="147" t="s">
        <v>42</v>
      </c>
      <c r="J527" s="150">
        <v>2.0</v>
      </c>
      <c r="K527" s="151"/>
      <c r="L527" s="151"/>
      <c r="M527" s="151"/>
      <c r="N527" s="151"/>
      <c r="O527" s="151"/>
      <c r="P527" s="151"/>
      <c r="Q527" s="152"/>
      <c r="R527" s="152"/>
      <c r="S527" s="147" t="s">
        <v>189</v>
      </c>
      <c r="T527" s="147" t="s">
        <v>66</v>
      </c>
      <c r="U527" s="147" t="s">
        <v>67</v>
      </c>
      <c r="V527" s="147" t="s">
        <v>1470</v>
      </c>
      <c r="W527" s="153"/>
      <c r="X527" s="153"/>
      <c r="Y527" s="153"/>
      <c r="Z527" s="153"/>
      <c r="AA527" s="154">
        <v>11212.0</v>
      </c>
      <c r="AB527" s="154">
        <v>56060.0</v>
      </c>
      <c r="AC527" s="24" t="s">
        <v>1725</v>
      </c>
      <c r="AD527" s="17">
        <v>4809.0</v>
      </c>
      <c r="AE527" s="27" t="s">
        <v>1726</v>
      </c>
      <c r="AF527" s="147" t="str">
        <f t="shared" si="1"/>
        <v>Buenos Aires, Argentina</v>
      </c>
      <c r="AG527" s="147">
        <f t="shared" si="2"/>
        <v>2</v>
      </c>
      <c r="AH527" s="155">
        <f t="shared" si="3"/>
        <v>0</v>
      </c>
      <c r="AI527" s="155">
        <f t="shared" si="4"/>
        <v>0</v>
      </c>
      <c r="AJ527" s="154">
        <f t="shared" si="5"/>
        <v>67272</v>
      </c>
      <c r="AK527" s="154">
        <f t="shared" si="6"/>
        <v>67272</v>
      </c>
      <c r="AL527" s="156"/>
      <c r="AM527" s="156"/>
    </row>
    <row r="528">
      <c r="A528" s="147">
        <v>527.0</v>
      </c>
      <c r="B528" s="148">
        <v>44194.0</v>
      </c>
      <c r="C528" s="17">
        <v>122020.0</v>
      </c>
      <c r="D528" s="149" t="s">
        <v>1727</v>
      </c>
      <c r="E528" s="147" t="s">
        <v>38</v>
      </c>
      <c r="F528" s="149" t="s">
        <v>1728</v>
      </c>
      <c r="G528" s="147" t="s">
        <v>40</v>
      </c>
      <c r="H528" s="147" t="s">
        <v>41</v>
      </c>
      <c r="I528" s="147" t="s">
        <v>42</v>
      </c>
      <c r="J528" s="150">
        <v>4.0</v>
      </c>
      <c r="K528" s="150">
        <v>6.0</v>
      </c>
      <c r="L528" s="151"/>
      <c r="M528" s="151"/>
      <c r="N528" s="151"/>
      <c r="O528" s="151"/>
      <c r="P528" s="151"/>
      <c r="Q528" s="152"/>
      <c r="R528" s="152"/>
      <c r="S528" s="147" t="s">
        <v>105</v>
      </c>
      <c r="T528" s="147" t="s">
        <v>66</v>
      </c>
      <c r="U528" s="147" t="s">
        <v>342</v>
      </c>
      <c r="V528" s="147" t="s">
        <v>1470</v>
      </c>
      <c r="W528" s="153"/>
      <c r="X528" s="153"/>
      <c r="Y528" s="153"/>
      <c r="Z528" s="153"/>
      <c r="AA528" s="154">
        <v>44624.0</v>
      </c>
      <c r="AB528" s="154">
        <v>200920.0</v>
      </c>
      <c r="AC528" s="24" t="s">
        <v>1729</v>
      </c>
      <c r="AD528" s="17">
        <v>4811.0</v>
      </c>
      <c r="AE528" s="27" t="s">
        <v>1730</v>
      </c>
      <c r="AF528" s="147" t="str">
        <f t="shared" si="1"/>
        <v>Buenos Aires, Argentina</v>
      </c>
      <c r="AG528" s="147">
        <f t="shared" si="2"/>
        <v>10</v>
      </c>
      <c r="AH528" s="155">
        <f t="shared" si="3"/>
        <v>0</v>
      </c>
      <c r="AI528" s="155">
        <f t="shared" si="4"/>
        <v>0</v>
      </c>
      <c r="AJ528" s="154">
        <f t="shared" si="5"/>
        <v>245544</v>
      </c>
      <c r="AK528" s="154">
        <f t="shared" si="6"/>
        <v>245544</v>
      </c>
      <c r="AL528" s="156"/>
      <c r="AM528" s="156"/>
    </row>
    <row r="529">
      <c r="A529" s="147">
        <v>528.0</v>
      </c>
      <c r="B529" s="148">
        <v>44194.0</v>
      </c>
      <c r="C529" s="17">
        <v>122020.0</v>
      </c>
      <c r="D529" s="149" t="s">
        <v>1731</v>
      </c>
      <c r="E529" s="147" t="s">
        <v>38</v>
      </c>
      <c r="F529" s="149" t="s">
        <v>1415</v>
      </c>
      <c r="G529" s="147" t="s">
        <v>64</v>
      </c>
      <c r="H529" s="147" t="s">
        <v>41</v>
      </c>
      <c r="I529" s="147" t="s">
        <v>42</v>
      </c>
      <c r="J529" s="151"/>
      <c r="K529" s="150">
        <v>1.0</v>
      </c>
      <c r="L529" s="151"/>
      <c r="M529" s="151"/>
      <c r="N529" s="151"/>
      <c r="O529" s="151"/>
      <c r="P529" s="151"/>
      <c r="Q529" s="152"/>
      <c r="R529" s="152"/>
      <c r="S529" s="147" t="s">
        <v>189</v>
      </c>
      <c r="T529" s="147" t="s">
        <v>66</v>
      </c>
      <c r="U529" s="147" t="s">
        <v>67</v>
      </c>
      <c r="V529" s="147" t="s">
        <v>1470</v>
      </c>
      <c r="W529" s="153"/>
      <c r="X529" s="153"/>
      <c r="Y529" s="153"/>
      <c r="Z529" s="153"/>
      <c r="AA529" s="154">
        <v>3700.0</v>
      </c>
      <c r="AB529" s="154">
        <v>18500.0</v>
      </c>
      <c r="AC529" s="24" t="s">
        <v>1732</v>
      </c>
      <c r="AD529" s="17">
        <v>4813.0</v>
      </c>
      <c r="AE529" s="27" t="s">
        <v>1733</v>
      </c>
      <c r="AF529" s="147" t="str">
        <f t="shared" si="1"/>
        <v>Buenos Aires, Argentina</v>
      </c>
      <c r="AG529" s="147">
        <f t="shared" si="2"/>
        <v>1</v>
      </c>
      <c r="AH529" s="155">
        <f t="shared" si="3"/>
        <v>0</v>
      </c>
      <c r="AI529" s="155">
        <f t="shared" si="4"/>
        <v>0</v>
      </c>
      <c r="AJ529" s="154">
        <f t="shared" si="5"/>
        <v>22200</v>
      </c>
      <c r="AK529" s="154">
        <f t="shared" si="6"/>
        <v>22200</v>
      </c>
      <c r="AL529" s="156"/>
      <c r="AM529" s="156"/>
    </row>
    <row r="530">
      <c r="A530" s="147">
        <v>529.0</v>
      </c>
      <c r="B530" s="148">
        <v>44195.0</v>
      </c>
      <c r="C530" s="17">
        <v>122020.0</v>
      </c>
      <c r="D530" s="149" t="s">
        <v>1734</v>
      </c>
      <c r="E530" s="147" t="s">
        <v>38</v>
      </c>
      <c r="F530" s="149" t="s">
        <v>1281</v>
      </c>
      <c r="G530" s="147" t="s">
        <v>64</v>
      </c>
      <c r="H530" s="147" t="s">
        <v>41</v>
      </c>
      <c r="I530" s="147" t="s">
        <v>42</v>
      </c>
      <c r="J530" s="151"/>
      <c r="K530" s="151"/>
      <c r="L530" s="151"/>
      <c r="M530" s="150">
        <v>1.0</v>
      </c>
      <c r="N530" s="151"/>
      <c r="O530" s="151"/>
      <c r="P530" s="151"/>
      <c r="Q530" s="152"/>
      <c r="R530" s="152"/>
      <c r="S530" s="147" t="s">
        <v>105</v>
      </c>
      <c r="T530" s="147" t="s">
        <v>66</v>
      </c>
      <c r="U530" s="147" t="s">
        <v>67</v>
      </c>
      <c r="V530" s="147" t="s">
        <v>1470</v>
      </c>
      <c r="W530" s="153"/>
      <c r="X530" s="153"/>
      <c r="Y530" s="153"/>
      <c r="Z530" s="153"/>
      <c r="AA530" s="154">
        <v>5606.0</v>
      </c>
      <c r="AB530" s="154">
        <v>0.0</v>
      </c>
      <c r="AC530" s="24" t="s">
        <v>1735</v>
      </c>
      <c r="AD530" s="17">
        <v>4527.0</v>
      </c>
      <c r="AE530" s="27" t="s">
        <v>1306</v>
      </c>
      <c r="AF530" s="147" t="str">
        <f t="shared" si="1"/>
        <v>Buenos Aires, Argentina</v>
      </c>
      <c r="AG530" s="147">
        <f t="shared" si="2"/>
        <v>1</v>
      </c>
      <c r="AH530" s="155">
        <f t="shared" si="3"/>
        <v>0</v>
      </c>
      <c r="AI530" s="155">
        <f t="shared" si="4"/>
        <v>0</v>
      </c>
      <c r="AJ530" s="154">
        <f t="shared" si="5"/>
        <v>5606</v>
      </c>
      <c r="AK530" s="154">
        <f t="shared" si="6"/>
        <v>5606</v>
      </c>
      <c r="AL530" s="156"/>
      <c r="AM530" s="156"/>
    </row>
    <row r="531">
      <c r="A531" s="147">
        <v>530.0</v>
      </c>
      <c r="B531" s="148">
        <v>44195.0</v>
      </c>
      <c r="C531" s="17">
        <v>122020.0</v>
      </c>
      <c r="D531" s="149" t="s">
        <v>1674</v>
      </c>
      <c r="E531" s="147" t="s">
        <v>38</v>
      </c>
      <c r="F531" s="149" t="s">
        <v>1507</v>
      </c>
      <c r="G531" s="147" t="s">
        <v>64</v>
      </c>
      <c r="H531" s="147" t="s">
        <v>41</v>
      </c>
      <c r="I531" s="147" t="s">
        <v>643</v>
      </c>
      <c r="J531" s="151"/>
      <c r="K531" s="151"/>
      <c r="L531" s="150">
        <v>1.0</v>
      </c>
      <c r="M531" s="151"/>
      <c r="N531" s="151"/>
      <c r="O531" s="151"/>
      <c r="P531" s="151"/>
      <c r="Q531" s="152"/>
      <c r="R531" s="152"/>
      <c r="S531" s="147" t="s">
        <v>189</v>
      </c>
      <c r="T531" s="147" t="s">
        <v>73</v>
      </c>
      <c r="U531" s="147" t="s">
        <v>67</v>
      </c>
      <c r="V531" s="147" t="s">
        <v>1470</v>
      </c>
      <c r="W531" s="153"/>
      <c r="X531" s="153"/>
      <c r="Y531" s="153"/>
      <c r="Z531" s="153"/>
      <c r="AA531" s="154">
        <v>2314.0</v>
      </c>
      <c r="AB531" s="154">
        <v>11570.0</v>
      </c>
      <c r="AC531" s="24" t="s">
        <v>1736</v>
      </c>
      <c r="AD531" s="17">
        <v>4815.0</v>
      </c>
      <c r="AE531" s="27" t="s">
        <v>1737</v>
      </c>
      <c r="AF531" s="147" t="str">
        <f t="shared" si="1"/>
        <v>Tierra de Fuego, Argentina</v>
      </c>
      <c r="AG531" s="147">
        <f t="shared" si="2"/>
        <v>1</v>
      </c>
      <c r="AH531" s="155">
        <f t="shared" si="3"/>
        <v>0</v>
      </c>
      <c r="AI531" s="155">
        <f t="shared" si="4"/>
        <v>0</v>
      </c>
      <c r="AJ531" s="154">
        <f t="shared" si="5"/>
        <v>13884</v>
      </c>
      <c r="AK531" s="154">
        <f t="shared" si="6"/>
        <v>13884</v>
      </c>
      <c r="AL531" s="156"/>
      <c r="AM531" s="156"/>
    </row>
    <row r="532">
      <c r="A532" s="193">
        <v>531.0</v>
      </c>
      <c r="B532" s="194">
        <v>44201.0</v>
      </c>
      <c r="C532" s="195" t="str">
        <f t="shared" ref="C532:C872" si="7">IF(B532&lt;&gt;"",CONCATENATE(MONTH(B532),YEAR(B532)),0)</f>
        <v>12021</v>
      </c>
      <c r="D532" s="196" t="s">
        <v>1738</v>
      </c>
      <c r="E532" s="193" t="s">
        <v>1739</v>
      </c>
      <c r="F532" s="196" t="s">
        <v>1592</v>
      </c>
      <c r="G532" s="193" t="s">
        <v>64</v>
      </c>
      <c r="H532" s="193" t="s">
        <v>41</v>
      </c>
      <c r="I532" s="193" t="s">
        <v>42</v>
      </c>
      <c r="J532" s="197">
        <v>1.0</v>
      </c>
      <c r="K532" s="197">
        <v>1.0</v>
      </c>
      <c r="L532" s="108"/>
      <c r="M532" s="108"/>
      <c r="N532" s="108"/>
      <c r="O532" s="108"/>
      <c r="P532" s="108"/>
      <c r="Q532" s="109"/>
      <c r="R532" s="109"/>
      <c r="S532" s="193" t="s">
        <v>105</v>
      </c>
      <c r="T532" s="193" t="s">
        <v>83</v>
      </c>
      <c r="U532" s="193" t="s">
        <v>67</v>
      </c>
      <c r="V532" s="193" t="s">
        <v>59</v>
      </c>
      <c r="W532" s="110"/>
      <c r="X532" s="110"/>
      <c r="Y532" s="110"/>
      <c r="Z532" s="110"/>
      <c r="AA532" s="198">
        <v>9603.0</v>
      </c>
      <c r="AB532" s="198">
        <v>48015.0</v>
      </c>
      <c r="AC532" s="24" t="s">
        <v>1740</v>
      </c>
      <c r="AD532" s="195">
        <v>4819.0</v>
      </c>
      <c r="AE532" s="199" t="s">
        <v>1741</v>
      </c>
      <c r="AF532" s="193" t="str">
        <f t="shared" si="1"/>
        <v>Capital Federal, Argentina</v>
      </c>
      <c r="AG532" s="193">
        <f t="shared" si="2"/>
        <v>2</v>
      </c>
      <c r="AH532" s="200">
        <f t="shared" si="3"/>
        <v>0</v>
      </c>
      <c r="AI532" s="200">
        <f t="shared" si="4"/>
        <v>0</v>
      </c>
      <c r="AJ532" s="198">
        <f t="shared" si="5"/>
        <v>57618</v>
      </c>
      <c r="AK532" s="198">
        <f t="shared" si="6"/>
        <v>57618</v>
      </c>
      <c r="AL532" s="113"/>
      <c r="AM532" s="113"/>
    </row>
    <row r="533">
      <c r="A533" s="193">
        <v>532.0</v>
      </c>
      <c r="B533" s="194">
        <v>44203.0</v>
      </c>
      <c r="C533" s="195" t="str">
        <f t="shared" si="7"/>
        <v>12021</v>
      </c>
      <c r="D533" s="196" t="s">
        <v>1491</v>
      </c>
      <c r="E533" s="193" t="s">
        <v>1742</v>
      </c>
      <c r="F533" s="196" t="s">
        <v>1415</v>
      </c>
      <c r="G533" s="193" t="s">
        <v>64</v>
      </c>
      <c r="H533" s="193" t="s">
        <v>41</v>
      </c>
      <c r="I533" s="193" t="s">
        <v>42</v>
      </c>
      <c r="J533" s="108"/>
      <c r="K533" s="197">
        <v>1.0</v>
      </c>
      <c r="L533" s="108"/>
      <c r="M533" s="108"/>
      <c r="N533" s="108"/>
      <c r="O533" s="108"/>
      <c r="P533" s="108"/>
      <c r="Q533" s="109"/>
      <c r="R533" s="109"/>
      <c r="S533" s="193" t="s">
        <v>98</v>
      </c>
      <c r="T533" s="193" t="s">
        <v>66</v>
      </c>
      <c r="U533" s="193" t="s">
        <v>99</v>
      </c>
      <c r="V533" s="193" t="s">
        <v>78</v>
      </c>
      <c r="W533" s="110"/>
      <c r="X533" s="110"/>
      <c r="Y533" s="110"/>
      <c r="Z533" s="110"/>
      <c r="AA533" s="198">
        <v>3818.0</v>
      </c>
      <c r="AB533" s="198">
        <v>19090.0</v>
      </c>
      <c r="AC533" s="24" t="s">
        <v>1743</v>
      </c>
      <c r="AD533" s="195">
        <v>4821.0</v>
      </c>
      <c r="AE533" s="199" t="s">
        <v>1744</v>
      </c>
      <c r="AF533" s="193" t="str">
        <f t="shared" si="1"/>
        <v>Buenos Aires, Argentina</v>
      </c>
      <c r="AG533" s="193">
        <f t="shared" si="2"/>
        <v>1</v>
      </c>
      <c r="AH533" s="200">
        <f t="shared" si="3"/>
        <v>0</v>
      </c>
      <c r="AI533" s="200">
        <f t="shared" si="4"/>
        <v>0</v>
      </c>
      <c r="AJ533" s="198">
        <f t="shared" si="5"/>
        <v>22908</v>
      </c>
      <c r="AK533" s="198">
        <f t="shared" si="6"/>
        <v>22908</v>
      </c>
      <c r="AL533" s="113"/>
      <c r="AM533" s="113"/>
    </row>
    <row r="534">
      <c r="A534" s="193">
        <v>533.0</v>
      </c>
      <c r="B534" s="194">
        <v>44204.0</v>
      </c>
      <c r="C534" s="195" t="str">
        <f t="shared" si="7"/>
        <v>12021</v>
      </c>
      <c r="D534" s="196" t="s">
        <v>1745</v>
      </c>
      <c r="E534" s="193" t="s">
        <v>1746</v>
      </c>
      <c r="F534" s="196" t="s">
        <v>1747</v>
      </c>
      <c r="G534" s="193" t="s">
        <v>64</v>
      </c>
      <c r="H534" s="193" t="s">
        <v>41</v>
      </c>
      <c r="I534" s="193" t="s">
        <v>42</v>
      </c>
      <c r="J534" s="197">
        <v>1.0</v>
      </c>
      <c r="K534" s="197">
        <v>3.0</v>
      </c>
      <c r="L534" s="108"/>
      <c r="M534" s="197">
        <v>1.0</v>
      </c>
      <c r="N534" s="108"/>
      <c r="O534" s="108"/>
      <c r="P534" s="108"/>
      <c r="Q534" s="109"/>
      <c r="R534" s="109"/>
      <c r="S534" s="193" t="s">
        <v>114</v>
      </c>
      <c r="T534" s="193" t="s">
        <v>66</v>
      </c>
      <c r="U534" s="193" t="s">
        <v>67</v>
      </c>
      <c r="V534" s="193" t="s">
        <v>78</v>
      </c>
      <c r="W534" s="110"/>
      <c r="X534" s="110"/>
      <c r="Y534" s="110"/>
      <c r="Z534" s="110"/>
      <c r="AA534" s="198">
        <v>23024.0</v>
      </c>
      <c r="AB534" s="198">
        <v>92096.0</v>
      </c>
      <c r="AC534" s="24" t="s">
        <v>1748</v>
      </c>
      <c r="AD534" s="195">
        <v>4823.0</v>
      </c>
      <c r="AE534" s="199" t="s">
        <v>1749</v>
      </c>
      <c r="AF534" s="193" t="str">
        <f t="shared" si="1"/>
        <v>Buenos Aires, Argentina</v>
      </c>
      <c r="AG534" s="193">
        <f t="shared" si="2"/>
        <v>5</v>
      </c>
      <c r="AH534" s="200">
        <f t="shared" si="3"/>
        <v>0</v>
      </c>
      <c r="AI534" s="200">
        <f t="shared" si="4"/>
        <v>0</v>
      </c>
      <c r="AJ534" s="198">
        <f t="shared" si="5"/>
        <v>115120</v>
      </c>
      <c r="AK534" s="198">
        <f t="shared" si="6"/>
        <v>115120</v>
      </c>
      <c r="AL534" s="113"/>
      <c r="AM534" s="113"/>
    </row>
    <row r="535">
      <c r="A535" s="193">
        <v>534.0</v>
      </c>
      <c r="B535" s="194">
        <v>44204.0</v>
      </c>
      <c r="C535" s="195" t="str">
        <f t="shared" si="7"/>
        <v>12021</v>
      </c>
      <c r="D535" s="196" t="s">
        <v>1750</v>
      </c>
      <c r="E535" s="193" t="s">
        <v>1751</v>
      </c>
      <c r="F535" s="196" t="s">
        <v>1412</v>
      </c>
      <c r="G535" s="193" t="s">
        <v>64</v>
      </c>
      <c r="H535" s="193" t="s">
        <v>41</v>
      </c>
      <c r="I535" s="193" t="s">
        <v>643</v>
      </c>
      <c r="J535" s="197">
        <v>2.0</v>
      </c>
      <c r="K535" s="108"/>
      <c r="L535" s="108"/>
      <c r="M535" s="108"/>
      <c r="N535" s="108"/>
      <c r="O535" s="108"/>
      <c r="P535" s="108"/>
      <c r="Q535" s="109"/>
      <c r="R535" s="109"/>
      <c r="S535" s="193" t="s">
        <v>65</v>
      </c>
      <c r="T535" s="193" t="s">
        <v>66</v>
      </c>
      <c r="U535" s="193" t="s">
        <v>1259</v>
      </c>
      <c r="V535" s="193" t="s">
        <v>1470</v>
      </c>
      <c r="W535" s="110"/>
      <c r="X535" s="110"/>
      <c r="Y535" s="110"/>
      <c r="Z535" s="110"/>
      <c r="AA535" s="198">
        <v>11570.0</v>
      </c>
      <c r="AB535" s="198">
        <v>57850.0</v>
      </c>
      <c r="AC535" s="24" t="s">
        <v>1752</v>
      </c>
      <c r="AD535" s="195">
        <v>4825.0</v>
      </c>
      <c r="AE535" s="199" t="s">
        <v>1753</v>
      </c>
      <c r="AF535" s="193" t="str">
        <f t="shared" si="1"/>
        <v>Buenos Aires, Argentina</v>
      </c>
      <c r="AG535" s="193">
        <f t="shared" si="2"/>
        <v>2</v>
      </c>
      <c r="AH535" s="200">
        <f t="shared" si="3"/>
        <v>0</v>
      </c>
      <c r="AI535" s="200">
        <f t="shared" si="4"/>
        <v>0</v>
      </c>
      <c r="AJ535" s="198">
        <f t="shared" si="5"/>
        <v>69420</v>
      </c>
      <c r="AK535" s="198">
        <f t="shared" si="6"/>
        <v>69420</v>
      </c>
      <c r="AL535" s="113"/>
      <c r="AM535" s="113"/>
    </row>
    <row r="536">
      <c r="A536" s="193">
        <v>535.0</v>
      </c>
      <c r="B536" s="194">
        <v>44204.0</v>
      </c>
      <c r="C536" s="195" t="str">
        <f t="shared" si="7"/>
        <v>12021</v>
      </c>
      <c r="D536" s="196" t="s">
        <v>1610</v>
      </c>
      <c r="E536" s="193" t="s">
        <v>1754</v>
      </c>
      <c r="F536" s="196" t="s">
        <v>1423</v>
      </c>
      <c r="G536" s="193" t="s">
        <v>64</v>
      </c>
      <c r="H536" s="193" t="s">
        <v>41</v>
      </c>
      <c r="I536" s="193" t="s">
        <v>643</v>
      </c>
      <c r="J536" s="197">
        <v>1.0</v>
      </c>
      <c r="K536" s="108"/>
      <c r="L536" s="108"/>
      <c r="M536" s="108"/>
      <c r="N536" s="108"/>
      <c r="O536" s="108"/>
      <c r="P536" s="108"/>
      <c r="Q536" s="109"/>
      <c r="R536" s="109"/>
      <c r="S536" s="193" t="s">
        <v>189</v>
      </c>
      <c r="T536" s="193" t="s">
        <v>66</v>
      </c>
      <c r="U536" s="193" t="s">
        <v>67</v>
      </c>
      <c r="V536" s="193" t="s">
        <v>84</v>
      </c>
      <c r="W536" s="110"/>
      <c r="X536" s="110"/>
      <c r="Y536" s="110"/>
      <c r="Z536" s="110"/>
      <c r="AA536" s="198">
        <v>5785.0</v>
      </c>
      <c r="AB536" s="198">
        <v>28925.0</v>
      </c>
      <c r="AC536" s="24" t="s">
        <v>1755</v>
      </c>
      <c r="AD536" s="201">
        <v>4827.0</v>
      </c>
      <c r="AE536" s="202" t="s">
        <v>1756</v>
      </c>
      <c r="AF536" s="193" t="str">
        <f t="shared" si="1"/>
        <v>Buenos Aires, Argentina</v>
      </c>
      <c r="AG536" s="193">
        <f t="shared" si="2"/>
        <v>1</v>
      </c>
      <c r="AH536" s="200">
        <f t="shared" si="3"/>
        <v>0</v>
      </c>
      <c r="AI536" s="200">
        <f t="shared" si="4"/>
        <v>0</v>
      </c>
      <c r="AJ536" s="198">
        <f t="shared" si="5"/>
        <v>34710</v>
      </c>
      <c r="AK536" s="198">
        <f t="shared" si="6"/>
        <v>34710</v>
      </c>
      <c r="AL536" s="113"/>
      <c r="AM536" s="113"/>
    </row>
    <row r="537">
      <c r="A537" s="193">
        <v>536.0</v>
      </c>
      <c r="B537" s="194">
        <v>44207.0</v>
      </c>
      <c r="C537" s="195" t="str">
        <f t="shared" si="7"/>
        <v>12021</v>
      </c>
      <c r="D537" s="196" t="s">
        <v>1757</v>
      </c>
      <c r="E537" s="193" t="s">
        <v>1758</v>
      </c>
      <c r="F537" s="196" t="s">
        <v>1423</v>
      </c>
      <c r="G537" s="193" t="s">
        <v>64</v>
      </c>
      <c r="H537" s="193" t="s">
        <v>41</v>
      </c>
      <c r="I537" s="193" t="s">
        <v>42</v>
      </c>
      <c r="J537" s="197">
        <v>1.0</v>
      </c>
      <c r="K537" s="108"/>
      <c r="L537" s="108"/>
      <c r="M537" s="108"/>
      <c r="N537" s="108"/>
      <c r="O537" s="108"/>
      <c r="P537" s="108"/>
      <c r="Q537" s="109"/>
      <c r="R537" s="109"/>
      <c r="S537" s="193" t="s">
        <v>98</v>
      </c>
      <c r="T537" s="193" t="s">
        <v>539</v>
      </c>
      <c r="U537" s="193" t="s">
        <v>67</v>
      </c>
      <c r="V537" s="193" t="s">
        <v>59</v>
      </c>
      <c r="W537" s="110"/>
      <c r="X537" s="110"/>
      <c r="Y537" s="110"/>
      <c r="Z537" s="110"/>
      <c r="AA537" s="198">
        <v>5785.0</v>
      </c>
      <c r="AB537" s="198">
        <v>28925.0</v>
      </c>
      <c r="AC537" s="24" t="s">
        <v>1759</v>
      </c>
      <c r="AD537" s="201">
        <v>4829.0</v>
      </c>
      <c r="AE537" s="199" t="s">
        <v>1760</v>
      </c>
      <c r="AF537" s="193" t="str">
        <f t="shared" si="1"/>
        <v>Misiones, Argentina</v>
      </c>
      <c r="AG537" s="193">
        <f t="shared" si="2"/>
        <v>1</v>
      </c>
      <c r="AH537" s="200">
        <f t="shared" si="3"/>
        <v>0</v>
      </c>
      <c r="AI537" s="200">
        <f t="shared" si="4"/>
        <v>0</v>
      </c>
      <c r="AJ537" s="198">
        <f t="shared" si="5"/>
        <v>34710</v>
      </c>
      <c r="AK537" s="198">
        <f t="shared" si="6"/>
        <v>34710</v>
      </c>
      <c r="AL537" s="113"/>
      <c r="AM537" s="113"/>
    </row>
    <row r="538">
      <c r="A538" s="193">
        <v>537.0</v>
      </c>
      <c r="B538" s="194">
        <v>44207.0</v>
      </c>
      <c r="C538" s="195" t="str">
        <f t="shared" si="7"/>
        <v>12021</v>
      </c>
      <c r="D538" s="196" t="s">
        <v>1761</v>
      </c>
      <c r="E538" s="193" t="s">
        <v>1762</v>
      </c>
      <c r="F538" s="196" t="s">
        <v>1423</v>
      </c>
      <c r="G538" s="193" t="s">
        <v>64</v>
      </c>
      <c r="H538" s="193" t="s">
        <v>41</v>
      </c>
      <c r="I538" s="193" t="s">
        <v>643</v>
      </c>
      <c r="J538" s="197">
        <v>1.0</v>
      </c>
      <c r="K538" s="108"/>
      <c r="L538" s="108"/>
      <c r="M538" s="108"/>
      <c r="N538" s="108"/>
      <c r="O538" s="108"/>
      <c r="P538" s="108"/>
      <c r="Q538" s="109"/>
      <c r="R538" s="109"/>
      <c r="S538" s="193" t="s">
        <v>65</v>
      </c>
      <c r="T538" s="193" t="s">
        <v>83</v>
      </c>
      <c r="U538" s="193" t="s">
        <v>67</v>
      </c>
      <c r="V538" s="193" t="s">
        <v>84</v>
      </c>
      <c r="W538" s="110"/>
      <c r="X538" s="110"/>
      <c r="Y538" s="110"/>
      <c r="Z538" s="110"/>
      <c r="AA538" s="198">
        <v>5785.0</v>
      </c>
      <c r="AB538" s="198">
        <v>28925.0</v>
      </c>
      <c r="AC538" s="24" t="s">
        <v>1763</v>
      </c>
      <c r="AD538" s="201">
        <v>4831.0</v>
      </c>
      <c r="AE538" s="202" t="s">
        <v>1764</v>
      </c>
      <c r="AF538" s="193" t="str">
        <f t="shared" si="1"/>
        <v>Capital Federal, Argentina</v>
      </c>
      <c r="AG538" s="193">
        <f t="shared" si="2"/>
        <v>1</v>
      </c>
      <c r="AH538" s="200">
        <f t="shared" si="3"/>
        <v>0</v>
      </c>
      <c r="AI538" s="200">
        <f t="shared" si="4"/>
        <v>0</v>
      </c>
      <c r="AJ538" s="198">
        <f t="shared" si="5"/>
        <v>34710</v>
      </c>
      <c r="AK538" s="198">
        <f t="shared" si="6"/>
        <v>34710</v>
      </c>
      <c r="AL538" s="113"/>
      <c r="AM538" s="113"/>
    </row>
    <row r="539">
      <c r="A539" s="193">
        <v>538.0</v>
      </c>
      <c r="B539" s="194">
        <v>44208.0</v>
      </c>
      <c r="C539" s="195" t="str">
        <f t="shared" si="7"/>
        <v>12021</v>
      </c>
      <c r="D539" s="196" t="s">
        <v>1765</v>
      </c>
      <c r="E539" s="193" t="s">
        <v>1766</v>
      </c>
      <c r="F539" s="196" t="s">
        <v>1415</v>
      </c>
      <c r="G539" s="193" t="s">
        <v>64</v>
      </c>
      <c r="H539" s="193" t="s">
        <v>41</v>
      </c>
      <c r="I539" s="193" t="s">
        <v>42</v>
      </c>
      <c r="J539" s="108"/>
      <c r="K539" s="197">
        <v>1.0</v>
      </c>
      <c r="L539" s="108"/>
      <c r="M539" s="108"/>
      <c r="N539" s="108"/>
      <c r="O539" s="108"/>
      <c r="P539" s="108"/>
      <c r="Q539" s="109"/>
      <c r="R539" s="109"/>
      <c r="S539" s="193" t="s">
        <v>43</v>
      </c>
      <c r="T539" s="193" t="s">
        <v>638</v>
      </c>
      <c r="U539" s="193" t="s">
        <v>67</v>
      </c>
      <c r="V539" s="193" t="s">
        <v>217</v>
      </c>
      <c r="W539" s="110"/>
      <c r="X539" s="110"/>
      <c r="Y539" s="110"/>
      <c r="Z539" s="110"/>
      <c r="AA539" s="198">
        <v>3818.0</v>
      </c>
      <c r="AB539" s="198">
        <v>19090.0</v>
      </c>
      <c r="AC539" s="24" t="s">
        <v>1767</v>
      </c>
      <c r="AD539" s="201">
        <v>4833.0</v>
      </c>
      <c r="AE539" s="202" t="s">
        <v>1768</v>
      </c>
      <c r="AF539" s="193" t="str">
        <f t="shared" si="1"/>
        <v>Chaco, Argentina</v>
      </c>
      <c r="AG539" s="193">
        <f t="shared" si="2"/>
        <v>1</v>
      </c>
      <c r="AH539" s="200">
        <f t="shared" si="3"/>
        <v>0</v>
      </c>
      <c r="AI539" s="200">
        <f t="shared" si="4"/>
        <v>0</v>
      </c>
      <c r="AJ539" s="198">
        <f t="shared" si="5"/>
        <v>22908</v>
      </c>
      <c r="AK539" s="198">
        <f t="shared" si="6"/>
        <v>22908</v>
      </c>
      <c r="AL539" s="113"/>
      <c r="AM539" s="113"/>
    </row>
    <row r="540">
      <c r="A540" s="193">
        <v>539.0</v>
      </c>
      <c r="B540" s="194">
        <v>44211.0</v>
      </c>
      <c r="C540" s="195" t="str">
        <f t="shared" si="7"/>
        <v>12021</v>
      </c>
      <c r="D540" s="196" t="s">
        <v>1769</v>
      </c>
      <c r="E540" s="193" t="s">
        <v>1770</v>
      </c>
      <c r="F540" s="196" t="s">
        <v>1281</v>
      </c>
      <c r="G540" s="193" t="s">
        <v>64</v>
      </c>
      <c r="H540" s="193" t="s">
        <v>41</v>
      </c>
      <c r="I540" s="193" t="s">
        <v>42</v>
      </c>
      <c r="J540" s="108"/>
      <c r="K540" s="108"/>
      <c r="L540" s="108"/>
      <c r="M540" s="197">
        <v>1.0</v>
      </c>
      <c r="N540" s="108"/>
      <c r="O540" s="108"/>
      <c r="P540" s="108"/>
      <c r="Q540" s="109"/>
      <c r="R540" s="109"/>
      <c r="S540" s="193" t="s">
        <v>65</v>
      </c>
      <c r="T540" s="193" t="s">
        <v>66</v>
      </c>
      <c r="U540" s="193" t="s">
        <v>67</v>
      </c>
      <c r="V540" s="193" t="s">
        <v>59</v>
      </c>
      <c r="W540" s="110"/>
      <c r="X540" s="110"/>
      <c r="Y540" s="110"/>
      <c r="Z540" s="110"/>
      <c r="AA540" s="198">
        <v>5785.0</v>
      </c>
      <c r="AB540" s="198">
        <v>0.0</v>
      </c>
      <c r="AC540" s="24" t="s">
        <v>1771</v>
      </c>
      <c r="AD540" s="201">
        <v>4595.0</v>
      </c>
      <c r="AE540" s="202" t="s">
        <v>1334</v>
      </c>
      <c r="AF540" s="193" t="str">
        <f t="shared" si="1"/>
        <v>Buenos Aires, Argentina</v>
      </c>
      <c r="AG540" s="193">
        <f t="shared" si="2"/>
        <v>1</v>
      </c>
      <c r="AH540" s="200">
        <f t="shared" si="3"/>
        <v>0</v>
      </c>
      <c r="AI540" s="200">
        <f t="shared" si="4"/>
        <v>0</v>
      </c>
      <c r="AJ540" s="198">
        <f t="shared" si="5"/>
        <v>5785</v>
      </c>
      <c r="AK540" s="198">
        <f t="shared" si="6"/>
        <v>5785</v>
      </c>
      <c r="AL540" s="113"/>
      <c r="AM540" s="113"/>
    </row>
    <row r="541">
      <c r="A541" s="193">
        <v>540.0</v>
      </c>
      <c r="B541" s="194">
        <v>44211.0</v>
      </c>
      <c r="C541" s="195" t="str">
        <f t="shared" si="7"/>
        <v>12021</v>
      </c>
      <c r="D541" s="196" t="s">
        <v>1772</v>
      </c>
      <c r="E541" s="193" t="s">
        <v>1773</v>
      </c>
      <c r="F541" s="196" t="s">
        <v>1774</v>
      </c>
      <c r="G541" s="193" t="s">
        <v>64</v>
      </c>
      <c r="H541" s="193" t="s">
        <v>41</v>
      </c>
      <c r="I541" s="193" t="s">
        <v>42</v>
      </c>
      <c r="J541" s="108"/>
      <c r="K541" s="108"/>
      <c r="L541" s="108"/>
      <c r="M541" s="108"/>
      <c r="N541" s="108"/>
      <c r="O541" s="108"/>
      <c r="P541" s="108"/>
      <c r="Q541" s="109"/>
      <c r="R541" s="193">
        <v>3.0</v>
      </c>
      <c r="S541" s="193" t="s">
        <v>137</v>
      </c>
      <c r="T541" s="193" t="s">
        <v>83</v>
      </c>
      <c r="U541" s="193" t="s">
        <v>67</v>
      </c>
      <c r="V541" s="193" t="s">
        <v>59</v>
      </c>
      <c r="W541" s="110"/>
      <c r="X541" s="110"/>
      <c r="Y541" s="110"/>
      <c r="Z541" s="198">
        <v>13884.0</v>
      </c>
      <c r="AA541" s="198">
        <v>0.0</v>
      </c>
      <c r="AB541" s="198">
        <v>0.0</v>
      </c>
      <c r="AC541" s="24" t="s">
        <v>1775</v>
      </c>
      <c r="AD541" s="201">
        <v>4835.0</v>
      </c>
      <c r="AE541" s="202" t="s">
        <v>1776</v>
      </c>
      <c r="AF541" s="193" t="str">
        <f t="shared" si="1"/>
        <v>Capital Federal, Argentina</v>
      </c>
      <c r="AG541" s="193">
        <f t="shared" si="2"/>
        <v>0</v>
      </c>
      <c r="AH541" s="200">
        <f t="shared" si="3"/>
        <v>0</v>
      </c>
      <c r="AI541" s="200">
        <f t="shared" si="4"/>
        <v>13884</v>
      </c>
      <c r="AJ541" s="198">
        <f t="shared" si="5"/>
        <v>0</v>
      </c>
      <c r="AK541" s="198">
        <f t="shared" si="6"/>
        <v>13884</v>
      </c>
      <c r="AL541" s="113"/>
      <c r="AM541" s="113"/>
    </row>
    <row r="542">
      <c r="A542" s="193">
        <v>541.0</v>
      </c>
      <c r="B542" s="194">
        <v>44215.0</v>
      </c>
      <c r="C542" s="195" t="str">
        <f t="shared" si="7"/>
        <v>12021</v>
      </c>
      <c r="D542" s="196" t="s">
        <v>1777</v>
      </c>
      <c r="E542" s="193" t="s">
        <v>1778</v>
      </c>
      <c r="F542" s="196" t="s">
        <v>1281</v>
      </c>
      <c r="G542" s="193" t="s">
        <v>64</v>
      </c>
      <c r="H542" s="193" t="s">
        <v>41</v>
      </c>
      <c r="I542" s="193" t="s">
        <v>42</v>
      </c>
      <c r="J542" s="108"/>
      <c r="K542" s="108"/>
      <c r="L542" s="108"/>
      <c r="M542" s="197">
        <v>1.0</v>
      </c>
      <c r="N542" s="108"/>
      <c r="O542" s="108"/>
      <c r="P542" s="108"/>
      <c r="Q542" s="109"/>
      <c r="R542" s="109"/>
      <c r="S542" s="193" t="s">
        <v>114</v>
      </c>
      <c r="T542" s="193" t="s">
        <v>83</v>
      </c>
      <c r="U542" s="193" t="s">
        <v>67</v>
      </c>
      <c r="V542" s="193" t="s">
        <v>59</v>
      </c>
      <c r="W542" s="110"/>
      <c r="X542" s="110"/>
      <c r="Y542" s="110"/>
      <c r="Z542" s="110"/>
      <c r="AA542" s="198">
        <v>5785.0</v>
      </c>
      <c r="AB542" s="198">
        <v>0.0</v>
      </c>
      <c r="AC542" s="24" t="s">
        <v>1779</v>
      </c>
      <c r="AD542" s="201">
        <v>4597.0</v>
      </c>
      <c r="AE542" s="202" t="s">
        <v>1310</v>
      </c>
      <c r="AF542" s="193" t="str">
        <f t="shared" si="1"/>
        <v>Capital Federal, Argentina</v>
      </c>
      <c r="AG542" s="193">
        <f t="shared" si="2"/>
        <v>1</v>
      </c>
      <c r="AH542" s="200">
        <f t="shared" si="3"/>
        <v>0</v>
      </c>
      <c r="AI542" s="200">
        <f t="shared" si="4"/>
        <v>0</v>
      </c>
      <c r="AJ542" s="198">
        <f t="shared" si="5"/>
        <v>5785</v>
      </c>
      <c r="AK542" s="198">
        <f t="shared" si="6"/>
        <v>5785</v>
      </c>
      <c r="AL542" s="113"/>
      <c r="AM542" s="113"/>
    </row>
    <row r="543">
      <c r="A543" s="193">
        <v>542.0</v>
      </c>
      <c r="B543" s="194">
        <v>44216.0</v>
      </c>
      <c r="C543" s="195" t="str">
        <f t="shared" si="7"/>
        <v>12021</v>
      </c>
      <c r="D543" s="196" t="s">
        <v>1780</v>
      </c>
      <c r="E543" s="193" t="s">
        <v>1221</v>
      </c>
      <c r="F543" s="196" t="s">
        <v>1423</v>
      </c>
      <c r="G543" s="193" t="s">
        <v>40</v>
      </c>
      <c r="H543" s="193" t="s">
        <v>41</v>
      </c>
      <c r="I543" s="193" t="s">
        <v>42</v>
      </c>
      <c r="J543" s="197">
        <v>1.0</v>
      </c>
      <c r="K543" s="108"/>
      <c r="L543" s="108"/>
      <c r="M543" s="108"/>
      <c r="N543" s="108"/>
      <c r="O543" s="108"/>
      <c r="P543" s="108"/>
      <c r="Q543" s="109"/>
      <c r="R543" s="109"/>
      <c r="S543" s="193" t="s">
        <v>109</v>
      </c>
      <c r="T543" s="193" t="s">
        <v>263</v>
      </c>
      <c r="U543" s="193" t="s">
        <v>342</v>
      </c>
      <c r="V543" s="193" t="s">
        <v>217</v>
      </c>
      <c r="W543" s="110"/>
      <c r="X543" s="110"/>
      <c r="Y543" s="110"/>
      <c r="Z543" s="110"/>
      <c r="AA543" s="198">
        <v>5785.0</v>
      </c>
      <c r="AB543" s="198">
        <v>23140.0</v>
      </c>
      <c r="AC543" s="24" t="s">
        <v>1781</v>
      </c>
      <c r="AD543" s="201">
        <v>4837.0</v>
      </c>
      <c r="AE543" s="202" t="s">
        <v>1782</v>
      </c>
      <c r="AF543" s="193" t="str">
        <f t="shared" si="1"/>
        <v>Santa Fé, Argentina</v>
      </c>
      <c r="AG543" s="193">
        <f t="shared" si="2"/>
        <v>1</v>
      </c>
      <c r="AH543" s="200">
        <f t="shared" si="3"/>
        <v>0</v>
      </c>
      <c r="AI543" s="200">
        <f t="shared" si="4"/>
        <v>0</v>
      </c>
      <c r="AJ543" s="198">
        <f t="shared" si="5"/>
        <v>28925</v>
      </c>
      <c r="AK543" s="198">
        <f t="shared" si="6"/>
        <v>28925</v>
      </c>
      <c r="AL543" s="113"/>
      <c r="AM543" s="113"/>
    </row>
    <row r="544">
      <c r="A544" s="193">
        <v>543.0</v>
      </c>
      <c r="B544" s="194">
        <v>44216.0</v>
      </c>
      <c r="C544" s="195" t="str">
        <f t="shared" si="7"/>
        <v>12021</v>
      </c>
      <c r="D544" s="196" t="s">
        <v>1783</v>
      </c>
      <c r="E544" s="193" t="s">
        <v>1784</v>
      </c>
      <c r="F544" s="196" t="s">
        <v>1427</v>
      </c>
      <c r="G544" s="193" t="s">
        <v>64</v>
      </c>
      <c r="H544" s="193" t="s">
        <v>41</v>
      </c>
      <c r="I544" s="193" t="s">
        <v>643</v>
      </c>
      <c r="J544" s="108"/>
      <c r="K544" s="197">
        <v>2.0</v>
      </c>
      <c r="L544" s="108"/>
      <c r="M544" s="108"/>
      <c r="N544" s="108"/>
      <c r="O544" s="108"/>
      <c r="P544" s="108"/>
      <c r="Q544" s="109"/>
      <c r="R544" s="109"/>
      <c r="S544" s="193" t="s">
        <v>65</v>
      </c>
      <c r="T544" s="193" t="s">
        <v>66</v>
      </c>
      <c r="U544" s="193" t="s">
        <v>67</v>
      </c>
      <c r="V544" s="193" t="s">
        <v>84</v>
      </c>
      <c r="W544" s="110"/>
      <c r="X544" s="110"/>
      <c r="Y544" s="110"/>
      <c r="Z544" s="110"/>
      <c r="AA544" s="198">
        <v>6872.0</v>
      </c>
      <c r="AB544" s="198">
        <v>38180.0</v>
      </c>
      <c r="AC544" s="24" t="s">
        <v>1785</v>
      </c>
      <c r="AD544" s="201">
        <v>4839.0</v>
      </c>
      <c r="AE544" s="202" t="s">
        <v>1786</v>
      </c>
      <c r="AF544" s="193" t="str">
        <f t="shared" si="1"/>
        <v>Buenos Aires, Argentina</v>
      </c>
      <c r="AG544" s="193">
        <f t="shared" si="2"/>
        <v>2</v>
      </c>
      <c r="AH544" s="200">
        <f t="shared" si="3"/>
        <v>0</v>
      </c>
      <c r="AI544" s="200">
        <f t="shared" si="4"/>
        <v>0</v>
      </c>
      <c r="AJ544" s="198">
        <f t="shared" si="5"/>
        <v>45052</v>
      </c>
      <c r="AK544" s="198">
        <f t="shared" si="6"/>
        <v>45052</v>
      </c>
      <c r="AL544" s="113"/>
      <c r="AM544" s="113"/>
    </row>
    <row r="545">
      <c r="A545" s="193">
        <v>544.0</v>
      </c>
      <c r="B545" s="194">
        <v>44218.0</v>
      </c>
      <c r="C545" s="195" t="str">
        <f t="shared" si="7"/>
        <v>12021</v>
      </c>
      <c r="D545" s="196" t="s">
        <v>1787</v>
      </c>
      <c r="E545" s="104" t="s">
        <v>1788</v>
      </c>
      <c r="F545" s="196" t="s">
        <v>13</v>
      </c>
      <c r="G545" s="193" t="s">
        <v>64</v>
      </c>
      <c r="H545" s="193" t="s">
        <v>41</v>
      </c>
      <c r="I545" s="193" t="s">
        <v>643</v>
      </c>
      <c r="J545" s="108"/>
      <c r="K545" s="108"/>
      <c r="L545" s="108"/>
      <c r="M545" s="108"/>
      <c r="N545" s="197">
        <v>1.0</v>
      </c>
      <c r="O545" s="108"/>
      <c r="P545" s="108"/>
      <c r="Q545" s="109"/>
      <c r="R545" s="109"/>
      <c r="S545" s="193" t="s">
        <v>89</v>
      </c>
      <c r="T545" s="193" t="s">
        <v>66</v>
      </c>
      <c r="U545" s="193" t="s">
        <v>342</v>
      </c>
      <c r="V545" s="193" t="s">
        <v>988</v>
      </c>
      <c r="W545" s="110"/>
      <c r="X545" s="110"/>
      <c r="Y545" s="110"/>
      <c r="Z545" s="110"/>
      <c r="AA545" s="198">
        <v>5785.0</v>
      </c>
      <c r="AB545" s="198">
        <v>0.0</v>
      </c>
      <c r="AC545" s="24" t="s">
        <v>1366</v>
      </c>
      <c r="AD545" s="195">
        <v>4557.0</v>
      </c>
      <c r="AE545" s="199" t="s">
        <v>1367</v>
      </c>
      <c r="AF545" s="193" t="str">
        <f t="shared" si="1"/>
        <v>Buenos Aires, Argentina</v>
      </c>
      <c r="AG545" s="193">
        <f t="shared" si="2"/>
        <v>1</v>
      </c>
      <c r="AH545" s="200">
        <f t="shared" si="3"/>
        <v>0</v>
      </c>
      <c r="AI545" s="200">
        <f t="shared" si="4"/>
        <v>0</v>
      </c>
      <c r="AJ545" s="198">
        <f t="shared" si="5"/>
        <v>5785</v>
      </c>
      <c r="AK545" s="198">
        <f t="shared" si="6"/>
        <v>5785</v>
      </c>
      <c r="AL545" s="113"/>
      <c r="AM545" s="113"/>
    </row>
    <row r="546">
      <c r="A546" s="193">
        <v>545.0</v>
      </c>
      <c r="B546" s="194">
        <v>44223.0</v>
      </c>
      <c r="C546" s="195" t="str">
        <f t="shared" si="7"/>
        <v>12021</v>
      </c>
      <c r="D546" s="196" t="s">
        <v>1383</v>
      </c>
      <c r="E546" s="193" t="s">
        <v>1789</v>
      </c>
      <c r="F546" s="196" t="s">
        <v>12</v>
      </c>
      <c r="G546" s="193" t="s">
        <v>64</v>
      </c>
      <c r="H546" s="193" t="s">
        <v>547</v>
      </c>
      <c r="I546" s="193" t="s">
        <v>42</v>
      </c>
      <c r="J546" s="108"/>
      <c r="K546" s="108"/>
      <c r="L546" s="108"/>
      <c r="M546" s="197">
        <v>1.0</v>
      </c>
      <c r="N546" s="108"/>
      <c r="O546" s="108"/>
      <c r="P546" s="108"/>
      <c r="Q546" s="109"/>
      <c r="R546" s="109"/>
      <c r="S546" s="193" t="s">
        <v>105</v>
      </c>
      <c r="T546" s="193" t="s">
        <v>66</v>
      </c>
      <c r="U546" s="193" t="s">
        <v>67</v>
      </c>
      <c r="V546" s="193" t="s">
        <v>78</v>
      </c>
      <c r="W546" s="110"/>
      <c r="X546" s="110"/>
      <c r="Y546" s="110"/>
      <c r="Z546" s="110"/>
      <c r="AA546" s="198">
        <v>5785.0</v>
      </c>
      <c r="AB546" s="198">
        <v>0.0</v>
      </c>
      <c r="AC546" s="24" t="s">
        <v>1790</v>
      </c>
      <c r="AD546" s="201">
        <v>4583.0</v>
      </c>
      <c r="AE546" s="202" t="s">
        <v>1385</v>
      </c>
      <c r="AF546" s="193" t="str">
        <f t="shared" si="1"/>
        <v>Buenos Aires, Argentina</v>
      </c>
      <c r="AG546" s="193">
        <f t="shared" si="2"/>
        <v>1</v>
      </c>
      <c r="AH546" s="200">
        <f t="shared" si="3"/>
        <v>0</v>
      </c>
      <c r="AI546" s="200">
        <f t="shared" si="4"/>
        <v>0</v>
      </c>
      <c r="AJ546" s="198">
        <f t="shared" si="5"/>
        <v>5785</v>
      </c>
      <c r="AK546" s="198">
        <f t="shared" si="6"/>
        <v>5785</v>
      </c>
      <c r="AL546" s="113"/>
      <c r="AM546" s="113"/>
    </row>
    <row r="547">
      <c r="A547" s="193">
        <v>546.0</v>
      </c>
      <c r="B547" s="194">
        <v>44223.0</v>
      </c>
      <c r="C547" s="195" t="str">
        <f t="shared" si="7"/>
        <v>12021</v>
      </c>
      <c r="D547" s="196" t="s">
        <v>1791</v>
      </c>
      <c r="E547" s="193" t="s">
        <v>1792</v>
      </c>
      <c r="F547" s="196" t="s">
        <v>1474</v>
      </c>
      <c r="G547" s="193" t="s">
        <v>64</v>
      </c>
      <c r="H547" s="193" t="s">
        <v>41</v>
      </c>
      <c r="I547" s="193" t="s">
        <v>643</v>
      </c>
      <c r="J547" s="197">
        <v>3.0</v>
      </c>
      <c r="K547" s="108"/>
      <c r="L547" s="108"/>
      <c r="M547" s="108"/>
      <c r="N547" s="108"/>
      <c r="O547" s="108"/>
      <c r="P547" s="108"/>
      <c r="Q547" s="109"/>
      <c r="R547" s="109"/>
      <c r="S547" s="193" t="s">
        <v>72</v>
      </c>
      <c r="T547" s="193" t="s">
        <v>83</v>
      </c>
      <c r="U547" s="193" t="s">
        <v>67</v>
      </c>
      <c r="V547" s="193" t="s">
        <v>84</v>
      </c>
      <c r="W547" s="110"/>
      <c r="X547" s="110"/>
      <c r="Y547" s="110"/>
      <c r="Z547" s="110"/>
      <c r="AA547" s="198">
        <v>17355.0</v>
      </c>
      <c r="AB547" s="198">
        <v>86775.0</v>
      </c>
      <c r="AC547" s="24" t="s">
        <v>1793</v>
      </c>
      <c r="AD547" s="201">
        <v>4843.0</v>
      </c>
      <c r="AE547" s="202" t="s">
        <v>1794</v>
      </c>
      <c r="AF547" s="193" t="str">
        <f t="shared" si="1"/>
        <v>Capital Federal, Argentina</v>
      </c>
      <c r="AG547" s="193">
        <f t="shared" si="2"/>
        <v>3</v>
      </c>
      <c r="AH547" s="200">
        <f t="shared" si="3"/>
        <v>0</v>
      </c>
      <c r="AI547" s="200">
        <f t="shared" si="4"/>
        <v>0</v>
      </c>
      <c r="AJ547" s="198">
        <f t="shared" si="5"/>
        <v>104130</v>
      </c>
      <c r="AK547" s="198">
        <f t="shared" si="6"/>
        <v>104130</v>
      </c>
      <c r="AL547" s="113"/>
      <c r="AM547" s="113"/>
    </row>
    <row r="548">
      <c r="A548" s="193">
        <v>547.0</v>
      </c>
      <c r="B548" s="194">
        <v>44223.0</v>
      </c>
      <c r="C548" s="195" t="str">
        <f t="shared" si="7"/>
        <v>12021</v>
      </c>
      <c r="D548" s="196" t="s">
        <v>1795</v>
      </c>
      <c r="E548" s="193" t="s">
        <v>1796</v>
      </c>
      <c r="F548" s="196" t="s">
        <v>1797</v>
      </c>
      <c r="G548" s="193" t="s">
        <v>40</v>
      </c>
      <c r="H548" s="193" t="s">
        <v>41</v>
      </c>
      <c r="I548" s="193" t="s">
        <v>42</v>
      </c>
      <c r="J548" s="197">
        <v>1.0</v>
      </c>
      <c r="K548" s="197">
        <v>1.0</v>
      </c>
      <c r="L548" s="108"/>
      <c r="M548" s="197">
        <v>1.0</v>
      </c>
      <c r="N548" s="108"/>
      <c r="O548" s="108"/>
      <c r="P548" s="108"/>
      <c r="Q548" s="109"/>
      <c r="R548" s="109"/>
      <c r="S548" s="193" t="s">
        <v>43</v>
      </c>
      <c r="T548" s="193" t="s">
        <v>66</v>
      </c>
      <c r="U548" s="193" t="s">
        <v>342</v>
      </c>
      <c r="V548" s="193" t="s">
        <v>217</v>
      </c>
      <c r="W548" s="110"/>
      <c r="X548" s="110"/>
      <c r="Y548" s="110"/>
      <c r="Z548" s="110"/>
      <c r="AA548" s="198">
        <v>15388.0</v>
      </c>
      <c r="AB548" s="198">
        <v>61552.0</v>
      </c>
      <c r="AC548" s="24" t="s">
        <v>1798</v>
      </c>
      <c r="AD548" s="201">
        <v>4845.0</v>
      </c>
      <c r="AE548" s="202" t="s">
        <v>1799</v>
      </c>
      <c r="AF548" s="193" t="str">
        <f t="shared" si="1"/>
        <v>Buenos Aires, Argentina</v>
      </c>
      <c r="AG548" s="193">
        <f t="shared" si="2"/>
        <v>3</v>
      </c>
      <c r="AH548" s="200">
        <f t="shared" si="3"/>
        <v>0</v>
      </c>
      <c r="AI548" s="200">
        <f t="shared" si="4"/>
        <v>0</v>
      </c>
      <c r="AJ548" s="198">
        <f t="shared" si="5"/>
        <v>76940</v>
      </c>
      <c r="AK548" s="198">
        <f t="shared" si="6"/>
        <v>76940</v>
      </c>
      <c r="AL548" s="113"/>
      <c r="AM548" s="113"/>
    </row>
    <row r="549">
      <c r="A549" s="193">
        <v>548.0</v>
      </c>
      <c r="B549" s="194">
        <v>44224.0</v>
      </c>
      <c r="C549" s="195" t="str">
        <f t="shared" si="7"/>
        <v>12021</v>
      </c>
      <c r="D549" s="196" t="s">
        <v>1800</v>
      </c>
      <c r="E549" s="104" t="s">
        <v>1801</v>
      </c>
      <c r="F549" s="196" t="s">
        <v>1802</v>
      </c>
      <c r="G549" s="193" t="s">
        <v>64</v>
      </c>
      <c r="H549" s="193" t="s">
        <v>41</v>
      </c>
      <c r="I549" s="193" t="s">
        <v>643</v>
      </c>
      <c r="J549" s="197">
        <v>4.0</v>
      </c>
      <c r="K549" s="197">
        <v>1.0</v>
      </c>
      <c r="L549" s="108"/>
      <c r="M549" s="197">
        <v>1.0</v>
      </c>
      <c r="N549" s="108"/>
      <c r="O549" s="108"/>
      <c r="P549" s="108"/>
      <c r="Q549" s="109"/>
      <c r="R549" s="109"/>
      <c r="S549" s="193" t="s">
        <v>963</v>
      </c>
      <c r="T549" s="193" t="s">
        <v>66</v>
      </c>
      <c r="U549" s="193" t="s">
        <v>67</v>
      </c>
      <c r="V549" s="193" t="s">
        <v>1470</v>
      </c>
      <c r="W549" s="110"/>
      <c r="X549" s="110"/>
      <c r="Y549" s="110"/>
      <c r="Z549" s="110"/>
      <c r="AA549" s="198">
        <v>32743.0</v>
      </c>
      <c r="AB549" s="198">
        <v>0.0</v>
      </c>
      <c r="AC549" s="24" t="s">
        <v>1803</v>
      </c>
      <c r="AD549" s="201">
        <v>4847.0</v>
      </c>
      <c r="AE549" s="202" t="s">
        <v>1804</v>
      </c>
      <c r="AF549" s="193" t="str">
        <f t="shared" si="1"/>
        <v>Buenos Aires, Argentina</v>
      </c>
      <c r="AG549" s="193">
        <f t="shared" si="2"/>
        <v>6</v>
      </c>
      <c r="AH549" s="200">
        <f t="shared" si="3"/>
        <v>0</v>
      </c>
      <c r="AI549" s="200">
        <f t="shared" si="4"/>
        <v>0</v>
      </c>
      <c r="AJ549" s="198">
        <f t="shared" si="5"/>
        <v>32743</v>
      </c>
      <c r="AK549" s="198">
        <f t="shared" si="6"/>
        <v>32743</v>
      </c>
      <c r="AL549" s="113"/>
      <c r="AM549" s="113"/>
    </row>
    <row r="550">
      <c r="A550" s="193">
        <v>549.0</v>
      </c>
      <c r="B550" s="194">
        <v>44225.0</v>
      </c>
      <c r="C550" s="195" t="str">
        <f t="shared" si="7"/>
        <v>12021</v>
      </c>
      <c r="D550" s="196" t="s">
        <v>1805</v>
      </c>
      <c r="E550" s="193" t="s">
        <v>1806</v>
      </c>
      <c r="F550" s="196" t="s">
        <v>1797</v>
      </c>
      <c r="G550" s="193" t="s">
        <v>40</v>
      </c>
      <c r="H550" s="193" t="s">
        <v>547</v>
      </c>
      <c r="I550" s="193" t="s">
        <v>42</v>
      </c>
      <c r="J550" s="197">
        <v>1.0</v>
      </c>
      <c r="K550" s="197">
        <v>1.0</v>
      </c>
      <c r="L550" s="108"/>
      <c r="M550" s="197">
        <v>1.0</v>
      </c>
      <c r="N550" s="108"/>
      <c r="O550" s="108"/>
      <c r="P550" s="108"/>
      <c r="Q550" s="109"/>
      <c r="R550" s="109"/>
      <c r="S550" s="193" t="s">
        <v>907</v>
      </c>
      <c r="T550" s="193" t="s">
        <v>263</v>
      </c>
      <c r="U550" s="193" t="s">
        <v>45</v>
      </c>
      <c r="V550" s="193" t="s">
        <v>217</v>
      </c>
      <c r="W550" s="110"/>
      <c r="X550" s="110"/>
      <c r="Y550" s="110"/>
      <c r="Z550" s="110"/>
      <c r="AA550" s="198">
        <v>9256.0</v>
      </c>
      <c r="AB550" s="198">
        <v>23140.0</v>
      </c>
      <c r="AC550" s="24" t="s">
        <v>1807</v>
      </c>
      <c r="AD550" s="201">
        <v>4849.0</v>
      </c>
      <c r="AE550" s="202" t="s">
        <v>1808</v>
      </c>
      <c r="AF550" s="193" t="str">
        <f t="shared" si="1"/>
        <v>Santa Fé, Argentina</v>
      </c>
      <c r="AG550" s="193">
        <f t="shared" si="2"/>
        <v>3</v>
      </c>
      <c r="AH550" s="200">
        <f t="shared" si="3"/>
        <v>0</v>
      </c>
      <c r="AI550" s="200">
        <f t="shared" si="4"/>
        <v>0</v>
      </c>
      <c r="AJ550" s="198">
        <f t="shared" si="5"/>
        <v>32396</v>
      </c>
      <c r="AK550" s="198">
        <f t="shared" si="6"/>
        <v>32396</v>
      </c>
      <c r="AL550" s="113"/>
      <c r="AM550" s="113"/>
    </row>
    <row r="551">
      <c r="A551" s="193">
        <v>550.0</v>
      </c>
      <c r="B551" s="194">
        <v>44225.0</v>
      </c>
      <c r="C551" s="195" t="str">
        <f t="shared" si="7"/>
        <v>12021</v>
      </c>
      <c r="D551" s="196" t="s">
        <v>1809</v>
      </c>
      <c r="E551" s="193" t="s">
        <v>1810</v>
      </c>
      <c r="F551" s="196" t="s">
        <v>1415</v>
      </c>
      <c r="G551" s="193" t="s">
        <v>64</v>
      </c>
      <c r="H551" s="193" t="s">
        <v>41</v>
      </c>
      <c r="I551" s="193" t="s">
        <v>643</v>
      </c>
      <c r="J551" s="108"/>
      <c r="K551" s="197">
        <v>1.0</v>
      </c>
      <c r="L551" s="108"/>
      <c r="M551" s="108"/>
      <c r="N551" s="108"/>
      <c r="O551" s="108"/>
      <c r="P551" s="108"/>
      <c r="Q551" s="109"/>
      <c r="R551" s="109"/>
      <c r="S551" s="193" t="s">
        <v>65</v>
      </c>
      <c r="T551" s="193" t="s">
        <v>66</v>
      </c>
      <c r="U551" s="193" t="s">
        <v>67</v>
      </c>
      <c r="V551" s="193" t="s">
        <v>84</v>
      </c>
      <c r="W551" s="110"/>
      <c r="X551" s="110"/>
      <c r="Y551" s="110"/>
      <c r="Z551" s="110"/>
      <c r="AA551" s="198">
        <v>3818.0</v>
      </c>
      <c r="AB551" s="198">
        <v>19090.0</v>
      </c>
      <c r="AC551" s="24" t="s">
        <v>1811</v>
      </c>
      <c r="AD551" s="201">
        <v>4851.0</v>
      </c>
      <c r="AE551" s="202" t="s">
        <v>1812</v>
      </c>
      <c r="AF551" s="193" t="str">
        <f t="shared" si="1"/>
        <v>Buenos Aires, Argentina</v>
      </c>
      <c r="AG551" s="193">
        <f t="shared" si="2"/>
        <v>1</v>
      </c>
      <c r="AH551" s="200">
        <f t="shared" si="3"/>
        <v>0</v>
      </c>
      <c r="AI551" s="200">
        <f t="shared" si="4"/>
        <v>0</v>
      </c>
      <c r="AJ551" s="198">
        <f t="shared" si="5"/>
        <v>22908</v>
      </c>
      <c r="AK551" s="198">
        <f t="shared" si="6"/>
        <v>22908</v>
      </c>
      <c r="AL551" s="113"/>
      <c r="AM551" s="113"/>
    </row>
    <row r="552">
      <c r="A552" s="193">
        <v>551.0</v>
      </c>
      <c r="B552" s="194">
        <v>44225.0</v>
      </c>
      <c r="C552" s="195" t="str">
        <f t="shared" si="7"/>
        <v>12021</v>
      </c>
      <c r="D552" s="196" t="s">
        <v>1813</v>
      </c>
      <c r="E552" s="193" t="s">
        <v>1814</v>
      </c>
      <c r="F552" s="196" t="s">
        <v>1815</v>
      </c>
      <c r="G552" s="193" t="s">
        <v>40</v>
      </c>
      <c r="H552" s="193" t="s">
        <v>547</v>
      </c>
      <c r="I552" s="193" t="s">
        <v>42</v>
      </c>
      <c r="J552" s="197">
        <v>1.0</v>
      </c>
      <c r="K552" s="108"/>
      <c r="L552" s="108"/>
      <c r="M552" s="197">
        <v>1.0</v>
      </c>
      <c r="N552" s="108"/>
      <c r="O552" s="108"/>
      <c r="P552" s="108"/>
      <c r="Q552" s="109"/>
      <c r="R552" s="109"/>
      <c r="S552" s="193" t="s">
        <v>167</v>
      </c>
      <c r="T552" s="193" t="s">
        <v>66</v>
      </c>
      <c r="U552" s="193" t="s">
        <v>163</v>
      </c>
      <c r="V552" s="193" t="s">
        <v>59</v>
      </c>
      <c r="W552" s="110"/>
      <c r="X552" s="110"/>
      <c r="Y552" s="110"/>
      <c r="Z552" s="110"/>
      <c r="AA552" s="198">
        <v>6942.0</v>
      </c>
      <c r="AB552" s="198">
        <v>20826.0</v>
      </c>
      <c r="AC552" s="24" t="s">
        <v>1816</v>
      </c>
      <c r="AD552" s="201">
        <v>4853.0</v>
      </c>
      <c r="AE552" s="202" t="s">
        <v>1817</v>
      </c>
      <c r="AF552" s="193" t="str">
        <f t="shared" si="1"/>
        <v>Buenos Aires, Argentina</v>
      </c>
      <c r="AG552" s="193">
        <f t="shared" si="2"/>
        <v>2</v>
      </c>
      <c r="AH552" s="200">
        <f t="shared" si="3"/>
        <v>0</v>
      </c>
      <c r="AI552" s="200">
        <f t="shared" si="4"/>
        <v>0</v>
      </c>
      <c r="AJ552" s="198">
        <f t="shared" si="5"/>
        <v>27768</v>
      </c>
      <c r="AK552" s="198">
        <f t="shared" si="6"/>
        <v>27768</v>
      </c>
      <c r="AL552" s="113"/>
      <c r="AM552" s="113"/>
    </row>
    <row r="553">
      <c r="A553" s="193">
        <v>552.0</v>
      </c>
      <c r="B553" s="194">
        <v>44225.0</v>
      </c>
      <c r="C553" s="195" t="str">
        <f t="shared" si="7"/>
        <v>12021</v>
      </c>
      <c r="D553" s="196" t="s">
        <v>1818</v>
      </c>
      <c r="E553" s="193">
        <v>2.0245493046E10</v>
      </c>
      <c r="F553" s="196" t="s">
        <v>1423</v>
      </c>
      <c r="G553" s="193" t="s">
        <v>40</v>
      </c>
      <c r="H553" s="193" t="s">
        <v>41</v>
      </c>
      <c r="I553" s="193" t="s">
        <v>42</v>
      </c>
      <c r="J553" s="197">
        <v>1.0</v>
      </c>
      <c r="K553" s="108"/>
      <c r="L553" s="108"/>
      <c r="M553" s="108"/>
      <c r="N553" s="108"/>
      <c r="O553" s="108"/>
      <c r="P553" s="108"/>
      <c r="Q553" s="109"/>
      <c r="R553" s="109"/>
      <c r="S553" s="193" t="s">
        <v>114</v>
      </c>
      <c r="T553" s="193" t="s">
        <v>83</v>
      </c>
      <c r="U553" s="193" t="s">
        <v>45</v>
      </c>
      <c r="V553" s="193" t="s">
        <v>59</v>
      </c>
      <c r="W553" s="110"/>
      <c r="X553" s="110"/>
      <c r="Y553" s="110"/>
      <c r="Z553" s="110"/>
      <c r="AA553" s="198">
        <v>5785.0</v>
      </c>
      <c r="AB553" s="198">
        <v>23140.0</v>
      </c>
      <c r="AC553" s="24" t="s">
        <v>1819</v>
      </c>
      <c r="AD553" s="201">
        <v>4857.0</v>
      </c>
      <c r="AE553" s="202" t="s">
        <v>1820</v>
      </c>
      <c r="AF553" s="193" t="str">
        <f t="shared" si="1"/>
        <v>Capital Federal, Argentina</v>
      </c>
      <c r="AG553" s="193">
        <f t="shared" si="2"/>
        <v>1</v>
      </c>
      <c r="AH553" s="200">
        <f t="shared" si="3"/>
        <v>0</v>
      </c>
      <c r="AI553" s="200">
        <f t="shared" si="4"/>
        <v>0</v>
      </c>
      <c r="AJ553" s="198">
        <f t="shared" si="5"/>
        <v>28925</v>
      </c>
      <c r="AK553" s="198">
        <f t="shared" si="6"/>
        <v>28925</v>
      </c>
      <c r="AL553" s="113"/>
      <c r="AM553" s="113"/>
    </row>
    <row r="554">
      <c r="A554" s="193">
        <v>553.0</v>
      </c>
      <c r="B554" s="194">
        <v>44225.0</v>
      </c>
      <c r="C554" s="195" t="str">
        <f t="shared" si="7"/>
        <v>12021</v>
      </c>
      <c r="D554" s="196" t="s">
        <v>1821</v>
      </c>
      <c r="E554" s="193" t="s">
        <v>1822</v>
      </c>
      <c r="F554" s="196" t="s">
        <v>1423</v>
      </c>
      <c r="G554" s="193" t="s">
        <v>64</v>
      </c>
      <c r="H554" s="193" t="s">
        <v>41</v>
      </c>
      <c r="I554" s="193" t="s">
        <v>643</v>
      </c>
      <c r="J554" s="197">
        <v>1.0</v>
      </c>
      <c r="K554" s="108"/>
      <c r="L554" s="108"/>
      <c r="M554" s="108"/>
      <c r="N554" s="108"/>
      <c r="O554" s="108"/>
      <c r="P554" s="108"/>
      <c r="Q554" s="109"/>
      <c r="R554" s="109"/>
      <c r="S554" s="193" t="s">
        <v>65</v>
      </c>
      <c r="T554" s="193" t="s">
        <v>66</v>
      </c>
      <c r="U554" s="193" t="s">
        <v>1259</v>
      </c>
      <c r="V554" s="193" t="s">
        <v>1470</v>
      </c>
      <c r="W554" s="110"/>
      <c r="X554" s="110"/>
      <c r="Y554" s="110"/>
      <c r="Z554" s="110"/>
      <c r="AA554" s="198">
        <v>5785.0</v>
      </c>
      <c r="AB554" s="198">
        <v>28925.0</v>
      </c>
      <c r="AC554" s="24" t="s">
        <v>1823</v>
      </c>
      <c r="AD554" s="201">
        <v>4861.0</v>
      </c>
      <c r="AE554" s="202" t="s">
        <v>1824</v>
      </c>
      <c r="AF554" s="193" t="str">
        <f t="shared" si="1"/>
        <v>Buenos Aires, Argentina</v>
      </c>
      <c r="AG554" s="193">
        <f t="shared" si="2"/>
        <v>1</v>
      </c>
      <c r="AH554" s="200">
        <f t="shared" si="3"/>
        <v>0</v>
      </c>
      <c r="AI554" s="200">
        <f t="shared" si="4"/>
        <v>0</v>
      </c>
      <c r="AJ554" s="198">
        <f t="shared" si="5"/>
        <v>34710</v>
      </c>
      <c r="AK554" s="198">
        <f t="shared" si="6"/>
        <v>34710</v>
      </c>
      <c r="AL554" s="113"/>
      <c r="AM554" s="113"/>
    </row>
    <row r="555">
      <c r="A555" s="193">
        <v>554.0</v>
      </c>
      <c r="B555" s="194">
        <v>44225.0</v>
      </c>
      <c r="C555" s="195" t="str">
        <f t="shared" si="7"/>
        <v>12021</v>
      </c>
      <c r="D555" s="196" t="s">
        <v>1825</v>
      </c>
      <c r="E555" s="193" t="s">
        <v>1826</v>
      </c>
      <c r="F555" s="196" t="s">
        <v>1797</v>
      </c>
      <c r="G555" s="193" t="s">
        <v>64</v>
      </c>
      <c r="H555" s="193" t="s">
        <v>41</v>
      </c>
      <c r="I555" s="193" t="s">
        <v>643</v>
      </c>
      <c r="J555" s="197">
        <v>1.0</v>
      </c>
      <c r="K555" s="197">
        <v>1.0</v>
      </c>
      <c r="L555" s="108"/>
      <c r="M555" s="197">
        <v>1.0</v>
      </c>
      <c r="N555" s="108"/>
      <c r="O555" s="108"/>
      <c r="P555" s="108"/>
      <c r="Q555" s="109"/>
      <c r="R555" s="109"/>
      <c r="S555" s="193" t="s">
        <v>65</v>
      </c>
      <c r="T555" s="193" t="s">
        <v>66</v>
      </c>
      <c r="U555" s="193" t="s">
        <v>1259</v>
      </c>
      <c r="V555" s="193" t="s">
        <v>1470</v>
      </c>
      <c r="W555" s="110"/>
      <c r="X555" s="110"/>
      <c r="Y555" s="110"/>
      <c r="Z555" s="110"/>
      <c r="AA555" s="198">
        <v>15388.0</v>
      </c>
      <c r="AB555" s="198">
        <v>76940.0</v>
      </c>
      <c r="AC555" s="24" t="s">
        <v>1827</v>
      </c>
      <c r="AD555" s="201">
        <v>4863.0</v>
      </c>
      <c r="AE555" s="202" t="s">
        <v>1828</v>
      </c>
      <c r="AF555" s="193" t="str">
        <f t="shared" si="1"/>
        <v>Buenos Aires, Argentina</v>
      </c>
      <c r="AG555" s="193">
        <f t="shared" si="2"/>
        <v>3</v>
      </c>
      <c r="AH555" s="200">
        <f t="shared" si="3"/>
        <v>0</v>
      </c>
      <c r="AI555" s="200">
        <f t="shared" si="4"/>
        <v>0</v>
      </c>
      <c r="AJ555" s="198">
        <f t="shared" si="5"/>
        <v>92328</v>
      </c>
      <c r="AK555" s="198">
        <f t="shared" si="6"/>
        <v>92328</v>
      </c>
      <c r="AL555" s="113"/>
      <c r="AM555" s="113"/>
    </row>
    <row r="556">
      <c r="A556" s="203">
        <v>555.0</v>
      </c>
      <c r="B556" s="204">
        <v>44229.0</v>
      </c>
      <c r="C556" s="195" t="str">
        <f t="shared" si="7"/>
        <v>22021</v>
      </c>
      <c r="D556" s="205" t="s">
        <v>1270</v>
      </c>
      <c r="E556" s="203" t="s">
        <v>1829</v>
      </c>
      <c r="F556" s="205" t="s">
        <v>1415</v>
      </c>
      <c r="G556" s="203" t="s">
        <v>64</v>
      </c>
      <c r="H556" s="203" t="s">
        <v>547</v>
      </c>
      <c r="I556" s="203" t="s">
        <v>42</v>
      </c>
      <c r="J556" s="117"/>
      <c r="K556" s="206">
        <v>1.0</v>
      </c>
      <c r="L556" s="117"/>
      <c r="M556" s="117"/>
      <c r="N556" s="117"/>
      <c r="O556" s="117"/>
      <c r="P556" s="117"/>
      <c r="Q556" s="119"/>
      <c r="R556" s="119"/>
      <c r="S556" s="203" t="s">
        <v>114</v>
      </c>
      <c r="T556" s="203" t="s">
        <v>66</v>
      </c>
      <c r="U556" s="203" t="s">
        <v>67</v>
      </c>
      <c r="V556" s="203" t="s">
        <v>78</v>
      </c>
      <c r="W556" s="121"/>
      <c r="X556" s="121"/>
      <c r="Y556" s="121"/>
      <c r="Z556" s="121"/>
      <c r="AA556" s="207">
        <v>2392.0</v>
      </c>
      <c r="AB556" s="207">
        <v>5980.0</v>
      </c>
      <c r="AC556" s="24" t="s">
        <v>1830</v>
      </c>
      <c r="AD556" s="201">
        <v>4865.0</v>
      </c>
      <c r="AE556" s="202" t="s">
        <v>1831</v>
      </c>
      <c r="AF556" s="203" t="str">
        <f t="shared" si="1"/>
        <v>Buenos Aires, Argentina</v>
      </c>
      <c r="AG556" s="203">
        <f t="shared" si="2"/>
        <v>1</v>
      </c>
      <c r="AH556" s="208">
        <f t="shared" si="3"/>
        <v>0</v>
      </c>
      <c r="AI556" s="208">
        <f t="shared" si="4"/>
        <v>0</v>
      </c>
      <c r="AJ556" s="207">
        <f t="shared" si="5"/>
        <v>8372</v>
      </c>
      <c r="AK556" s="207">
        <f t="shared" si="6"/>
        <v>8372</v>
      </c>
      <c r="AL556" s="123"/>
      <c r="AM556" s="123"/>
    </row>
    <row r="557">
      <c r="A557" s="203">
        <v>556.0</v>
      </c>
      <c r="B557" s="204">
        <v>44229.0</v>
      </c>
      <c r="C557" s="195" t="str">
        <f t="shared" si="7"/>
        <v>22021</v>
      </c>
      <c r="D557" s="205" t="s">
        <v>1832</v>
      </c>
      <c r="E557" s="203" t="s">
        <v>1833</v>
      </c>
      <c r="F557" s="205" t="s">
        <v>1474</v>
      </c>
      <c r="G557" s="203" t="s">
        <v>64</v>
      </c>
      <c r="H557" s="203" t="s">
        <v>41</v>
      </c>
      <c r="I557" s="203" t="s">
        <v>643</v>
      </c>
      <c r="J557" s="206">
        <v>3.0</v>
      </c>
      <c r="K557" s="117"/>
      <c r="L557" s="117"/>
      <c r="M557" s="117"/>
      <c r="N557" s="117"/>
      <c r="O557" s="117"/>
      <c r="P557" s="117"/>
      <c r="Q557" s="119"/>
      <c r="R557" s="119"/>
      <c r="S557" s="203" t="s">
        <v>189</v>
      </c>
      <c r="T557" s="203" t="s">
        <v>44</v>
      </c>
      <c r="U557" s="203" t="s">
        <v>1259</v>
      </c>
      <c r="V557" s="203" t="s">
        <v>1470</v>
      </c>
      <c r="W557" s="121"/>
      <c r="X557" s="121"/>
      <c r="Y557" s="121"/>
      <c r="Z557" s="121"/>
      <c r="AA557" s="207">
        <v>17940.0</v>
      </c>
      <c r="AB557" s="207">
        <v>89700.0</v>
      </c>
      <c r="AC557" s="24" t="s">
        <v>1834</v>
      </c>
      <c r="AD557" s="201">
        <v>4867.0</v>
      </c>
      <c r="AE557" s="202" t="s">
        <v>1835</v>
      </c>
      <c r="AF557" s="203" t="str">
        <f t="shared" si="1"/>
        <v>Mendoza, Argentina</v>
      </c>
      <c r="AG557" s="203">
        <f t="shared" si="2"/>
        <v>3</v>
      </c>
      <c r="AH557" s="208">
        <f t="shared" si="3"/>
        <v>0</v>
      </c>
      <c r="AI557" s="208">
        <f t="shared" si="4"/>
        <v>0</v>
      </c>
      <c r="AJ557" s="207">
        <f t="shared" si="5"/>
        <v>107640</v>
      </c>
      <c r="AK557" s="207">
        <f t="shared" si="6"/>
        <v>107640</v>
      </c>
      <c r="AL557" s="123"/>
      <c r="AM557" s="123"/>
    </row>
    <row r="558">
      <c r="A558" s="203">
        <v>557.0</v>
      </c>
      <c r="B558" s="204">
        <v>44230.0</v>
      </c>
      <c r="C558" s="195" t="str">
        <f t="shared" si="7"/>
        <v>22021</v>
      </c>
      <c r="D558" s="205" t="s">
        <v>1836</v>
      </c>
      <c r="E558" s="203" t="s">
        <v>1837</v>
      </c>
      <c r="F558" s="205" t="s">
        <v>1423</v>
      </c>
      <c r="G558" s="203" t="s">
        <v>40</v>
      </c>
      <c r="H558" s="203" t="s">
        <v>547</v>
      </c>
      <c r="I558" s="203" t="s">
        <v>42</v>
      </c>
      <c r="J558" s="206">
        <v>1.0</v>
      </c>
      <c r="K558" s="117"/>
      <c r="L558" s="117"/>
      <c r="M558" s="117"/>
      <c r="N558" s="117"/>
      <c r="O558" s="117"/>
      <c r="P558" s="117"/>
      <c r="Q558" s="119"/>
      <c r="R558" s="119"/>
      <c r="S558" s="203" t="s">
        <v>43</v>
      </c>
      <c r="T558" s="203" t="s">
        <v>73</v>
      </c>
      <c r="U558" s="203" t="s">
        <v>342</v>
      </c>
      <c r="V558" s="203" t="s">
        <v>78</v>
      </c>
      <c r="W558" s="121"/>
      <c r="X558" s="121"/>
      <c r="Y558" s="121"/>
      <c r="Z558" s="121"/>
      <c r="AA558" s="207">
        <v>3588.0</v>
      </c>
      <c r="AB558" s="207">
        <v>8970.0</v>
      </c>
      <c r="AC558" s="24" t="s">
        <v>1838</v>
      </c>
      <c r="AD558" s="201">
        <v>4869.0</v>
      </c>
      <c r="AE558" s="202" t="s">
        <v>1839</v>
      </c>
      <c r="AF558" s="203" t="str">
        <f t="shared" si="1"/>
        <v>Tierra de Fuego, Argentina</v>
      </c>
      <c r="AG558" s="203">
        <f t="shared" si="2"/>
        <v>1</v>
      </c>
      <c r="AH558" s="208">
        <f t="shared" si="3"/>
        <v>0</v>
      </c>
      <c r="AI558" s="208">
        <f t="shared" si="4"/>
        <v>0</v>
      </c>
      <c r="AJ558" s="207">
        <f t="shared" si="5"/>
        <v>12558</v>
      </c>
      <c r="AK558" s="207">
        <f t="shared" si="6"/>
        <v>12558</v>
      </c>
      <c r="AL558" s="123"/>
      <c r="AM558" s="123"/>
    </row>
    <row r="559">
      <c r="A559" s="203">
        <v>558.0</v>
      </c>
      <c r="B559" s="204">
        <v>44230.0</v>
      </c>
      <c r="C559" s="195" t="str">
        <f t="shared" si="7"/>
        <v>22021</v>
      </c>
      <c r="D559" s="205" t="s">
        <v>790</v>
      </c>
      <c r="E559" s="203" t="s">
        <v>791</v>
      </c>
      <c r="F559" s="205" t="s">
        <v>1592</v>
      </c>
      <c r="G559" s="203" t="s">
        <v>64</v>
      </c>
      <c r="H559" s="203" t="s">
        <v>41</v>
      </c>
      <c r="I559" s="203" t="s">
        <v>42</v>
      </c>
      <c r="J559" s="206">
        <v>1.0</v>
      </c>
      <c r="K559" s="206">
        <v>1.0</v>
      </c>
      <c r="L559" s="117"/>
      <c r="M559" s="117"/>
      <c r="N559" s="117"/>
      <c r="O559" s="117"/>
      <c r="P559" s="117"/>
      <c r="Q559" s="119"/>
      <c r="R559" s="119"/>
      <c r="S559" s="203" t="s">
        <v>189</v>
      </c>
      <c r="T559" s="203" t="s">
        <v>66</v>
      </c>
      <c r="U559" s="203" t="s">
        <v>67</v>
      </c>
      <c r="V559" s="203" t="s">
        <v>217</v>
      </c>
      <c r="W559" s="121"/>
      <c r="X559" s="121"/>
      <c r="Y559" s="121"/>
      <c r="Z559" s="121"/>
      <c r="AA559" s="207">
        <v>9927.0</v>
      </c>
      <c r="AB559" s="207">
        <v>49635.0</v>
      </c>
      <c r="AC559" s="24" t="s">
        <v>1840</v>
      </c>
      <c r="AD559" s="201">
        <v>4871.0</v>
      </c>
      <c r="AE559" s="202" t="s">
        <v>1841</v>
      </c>
      <c r="AF559" s="203" t="str">
        <f t="shared" si="1"/>
        <v>Buenos Aires, Argentina</v>
      </c>
      <c r="AG559" s="203">
        <f t="shared" si="2"/>
        <v>2</v>
      </c>
      <c r="AH559" s="208">
        <f t="shared" si="3"/>
        <v>0</v>
      </c>
      <c r="AI559" s="208">
        <f t="shared" si="4"/>
        <v>0</v>
      </c>
      <c r="AJ559" s="207">
        <f t="shared" si="5"/>
        <v>59562</v>
      </c>
      <c r="AK559" s="207">
        <f t="shared" si="6"/>
        <v>59562</v>
      </c>
      <c r="AL559" s="123"/>
      <c r="AM559" s="123"/>
    </row>
    <row r="560">
      <c r="A560" s="203">
        <v>559.0</v>
      </c>
      <c r="B560" s="204">
        <v>44230.0</v>
      </c>
      <c r="C560" s="195" t="str">
        <f t="shared" si="7"/>
        <v>22021</v>
      </c>
      <c r="D560" s="205" t="s">
        <v>1842</v>
      </c>
      <c r="E560" s="203" t="s">
        <v>1843</v>
      </c>
      <c r="F560" s="205" t="s">
        <v>1415</v>
      </c>
      <c r="G560" s="203" t="s">
        <v>64</v>
      </c>
      <c r="H560" s="203" t="s">
        <v>41</v>
      </c>
      <c r="I560" s="203" t="s">
        <v>643</v>
      </c>
      <c r="J560" s="117"/>
      <c r="K560" s="206">
        <v>1.0</v>
      </c>
      <c r="L560" s="117"/>
      <c r="M560" s="117"/>
      <c r="N560" s="117"/>
      <c r="O560" s="117"/>
      <c r="P560" s="117"/>
      <c r="Q560" s="119"/>
      <c r="R560" s="119"/>
      <c r="S560" s="203" t="s">
        <v>98</v>
      </c>
      <c r="T560" s="203" t="s">
        <v>879</v>
      </c>
      <c r="U560" s="203" t="s">
        <v>1259</v>
      </c>
      <c r="V560" s="203" t="s">
        <v>1470</v>
      </c>
      <c r="W560" s="121"/>
      <c r="X560" s="121"/>
      <c r="Y560" s="121"/>
      <c r="Z560" s="121"/>
      <c r="AA560" s="207">
        <v>3947.0</v>
      </c>
      <c r="AB560" s="207">
        <v>19735.0</v>
      </c>
      <c r="AC560" s="24" t="s">
        <v>1844</v>
      </c>
      <c r="AD560" s="201">
        <v>4873.0</v>
      </c>
      <c r="AE560" s="202" t="s">
        <v>1845</v>
      </c>
      <c r="AF560" s="203" t="str">
        <f t="shared" si="1"/>
        <v>Salta, Argentina</v>
      </c>
      <c r="AG560" s="203">
        <f t="shared" si="2"/>
        <v>1</v>
      </c>
      <c r="AH560" s="208">
        <f t="shared" si="3"/>
        <v>0</v>
      </c>
      <c r="AI560" s="208">
        <f t="shared" si="4"/>
        <v>0</v>
      </c>
      <c r="AJ560" s="207">
        <f t="shared" si="5"/>
        <v>23682</v>
      </c>
      <c r="AK560" s="207">
        <f t="shared" si="6"/>
        <v>23682</v>
      </c>
      <c r="AL560" s="123"/>
      <c r="AM560" s="123"/>
    </row>
    <row r="561">
      <c r="A561" s="203">
        <v>560.0</v>
      </c>
      <c r="B561" s="204">
        <v>44232.0</v>
      </c>
      <c r="C561" s="195" t="str">
        <f t="shared" si="7"/>
        <v>22021</v>
      </c>
      <c r="D561" s="205" t="s">
        <v>1846</v>
      </c>
      <c r="E561" s="203" t="s">
        <v>1847</v>
      </c>
      <c r="F561" s="205" t="s">
        <v>1848</v>
      </c>
      <c r="G561" s="203" t="s">
        <v>40</v>
      </c>
      <c r="H561" s="203" t="s">
        <v>41</v>
      </c>
      <c r="I561" s="203" t="s">
        <v>42</v>
      </c>
      <c r="J561" s="206">
        <v>2.0</v>
      </c>
      <c r="K561" s="117"/>
      <c r="L561" s="117"/>
      <c r="M561" s="206">
        <v>1.0</v>
      </c>
      <c r="N561" s="117"/>
      <c r="O561" s="117"/>
      <c r="P561" s="117"/>
      <c r="Q561" s="119"/>
      <c r="R561" s="119"/>
      <c r="S561" s="203" t="s">
        <v>105</v>
      </c>
      <c r="T561" s="203" t="s">
        <v>66</v>
      </c>
      <c r="U561" s="203" t="s">
        <v>342</v>
      </c>
      <c r="V561" s="203" t="s">
        <v>78</v>
      </c>
      <c r="W561" s="121"/>
      <c r="X561" s="121"/>
      <c r="Y561" s="121"/>
      <c r="Z561" s="121"/>
      <c r="AA561" s="207">
        <v>17940.0</v>
      </c>
      <c r="AB561" s="207">
        <v>71760.0</v>
      </c>
      <c r="AC561" s="24" t="s">
        <v>1849</v>
      </c>
      <c r="AD561" s="201">
        <v>4875.0</v>
      </c>
      <c r="AE561" s="202" t="s">
        <v>1850</v>
      </c>
      <c r="AF561" s="203" t="str">
        <f t="shared" si="1"/>
        <v>Buenos Aires, Argentina</v>
      </c>
      <c r="AG561" s="203">
        <f t="shared" si="2"/>
        <v>3</v>
      </c>
      <c r="AH561" s="208">
        <f t="shared" si="3"/>
        <v>0</v>
      </c>
      <c r="AI561" s="208">
        <f t="shared" si="4"/>
        <v>0</v>
      </c>
      <c r="AJ561" s="207">
        <f t="shared" si="5"/>
        <v>89700</v>
      </c>
      <c r="AK561" s="207">
        <f t="shared" si="6"/>
        <v>89700</v>
      </c>
      <c r="AL561" s="123"/>
      <c r="AM561" s="123"/>
    </row>
    <row r="562">
      <c r="A562" s="203">
        <v>561.0</v>
      </c>
      <c r="B562" s="204">
        <v>44232.0</v>
      </c>
      <c r="C562" s="195" t="str">
        <f t="shared" si="7"/>
        <v>22021</v>
      </c>
      <c r="D562" s="205" t="s">
        <v>1851</v>
      </c>
      <c r="E562" s="203" t="s">
        <v>1852</v>
      </c>
      <c r="F562" s="205" t="s">
        <v>1423</v>
      </c>
      <c r="G562" s="203" t="s">
        <v>64</v>
      </c>
      <c r="H562" s="203" t="s">
        <v>41</v>
      </c>
      <c r="I562" s="203" t="s">
        <v>643</v>
      </c>
      <c r="J562" s="206">
        <v>1.0</v>
      </c>
      <c r="K562" s="117"/>
      <c r="L562" s="117"/>
      <c r="M562" s="117"/>
      <c r="N562" s="117"/>
      <c r="O562" s="117"/>
      <c r="P562" s="117"/>
      <c r="Q562" s="119"/>
      <c r="R562" s="119"/>
      <c r="S562" s="203" t="s">
        <v>105</v>
      </c>
      <c r="T562" s="203" t="s">
        <v>66</v>
      </c>
      <c r="U562" s="203" t="s">
        <v>1259</v>
      </c>
      <c r="V562" s="203" t="s">
        <v>1470</v>
      </c>
      <c r="W562" s="121"/>
      <c r="X562" s="121"/>
      <c r="Y562" s="121"/>
      <c r="Z562" s="121"/>
      <c r="AA562" s="207">
        <v>5980.0</v>
      </c>
      <c r="AB562" s="207">
        <v>29900.0</v>
      </c>
      <c r="AC562" s="24" t="s">
        <v>1853</v>
      </c>
      <c r="AD562" s="201">
        <v>4877.0</v>
      </c>
      <c r="AE562" s="202" t="s">
        <v>1854</v>
      </c>
      <c r="AF562" s="203" t="str">
        <f t="shared" si="1"/>
        <v>Buenos Aires, Argentina</v>
      </c>
      <c r="AG562" s="203">
        <f t="shared" si="2"/>
        <v>1</v>
      </c>
      <c r="AH562" s="208">
        <f t="shared" si="3"/>
        <v>0</v>
      </c>
      <c r="AI562" s="208">
        <f t="shared" si="4"/>
        <v>0</v>
      </c>
      <c r="AJ562" s="207">
        <f t="shared" si="5"/>
        <v>35880</v>
      </c>
      <c r="AK562" s="207">
        <f t="shared" si="6"/>
        <v>35880</v>
      </c>
      <c r="AL562" s="123"/>
      <c r="AM562" s="123"/>
    </row>
    <row r="563">
      <c r="A563" s="203">
        <v>562.0</v>
      </c>
      <c r="B563" s="204">
        <v>44236.0</v>
      </c>
      <c r="C563" s="195" t="str">
        <f t="shared" si="7"/>
        <v>22021</v>
      </c>
      <c r="D563" s="205" t="s">
        <v>1855</v>
      </c>
      <c r="E563" s="203" t="s">
        <v>1856</v>
      </c>
      <c r="F563" s="205" t="s">
        <v>1281</v>
      </c>
      <c r="G563" s="203" t="s">
        <v>64</v>
      </c>
      <c r="H563" s="203" t="s">
        <v>41</v>
      </c>
      <c r="I563" s="203" t="s">
        <v>42</v>
      </c>
      <c r="J563" s="117"/>
      <c r="K563" s="117"/>
      <c r="L563" s="117"/>
      <c r="M563" s="206">
        <v>1.0</v>
      </c>
      <c r="N563" s="117"/>
      <c r="O563" s="117"/>
      <c r="P563" s="117"/>
      <c r="Q563" s="119"/>
      <c r="R563" s="119"/>
      <c r="S563" s="203" t="s">
        <v>89</v>
      </c>
      <c r="T563" s="203" t="s">
        <v>66</v>
      </c>
      <c r="U563" s="203" t="s">
        <v>67</v>
      </c>
      <c r="V563" s="203" t="s">
        <v>59</v>
      </c>
      <c r="W563" s="121"/>
      <c r="X563" s="121"/>
      <c r="Y563" s="121"/>
      <c r="Z563" s="121"/>
      <c r="AA563" s="207">
        <v>5980.0</v>
      </c>
      <c r="AB563" s="207">
        <v>29900.0</v>
      </c>
      <c r="AC563" s="24" t="s">
        <v>564</v>
      </c>
      <c r="AD563" s="195">
        <v>4883.0</v>
      </c>
      <c r="AE563" s="199" t="s">
        <v>1857</v>
      </c>
      <c r="AF563" s="203" t="str">
        <f t="shared" si="1"/>
        <v>Buenos Aires, Argentina</v>
      </c>
      <c r="AG563" s="203">
        <f t="shared" si="2"/>
        <v>1</v>
      </c>
      <c r="AH563" s="208">
        <f t="shared" si="3"/>
        <v>0</v>
      </c>
      <c r="AI563" s="208">
        <f t="shared" si="4"/>
        <v>0</v>
      </c>
      <c r="AJ563" s="207">
        <f t="shared" si="5"/>
        <v>35880</v>
      </c>
      <c r="AK563" s="207">
        <f t="shared" si="6"/>
        <v>35880</v>
      </c>
      <c r="AL563" s="123"/>
      <c r="AM563" s="123"/>
    </row>
    <row r="564">
      <c r="A564" s="203">
        <v>563.0</v>
      </c>
      <c r="B564" s="204">
        <v>44236.0</v>
      </c>
      <c r="C564" s="195" t="str">
        <f t="shared" si="7"/>
        <v>22021</v>
      </c>
      <c r="D564" s="205" t="s">
        <v>1858</v>
      </c>
      <c r="E564" s="203" t="s">
        <v>1859</v>
      </c>
      <c r="F564" s="205" t="s">
        <v>1412</v>
      </c>
      <c r="G564" s="203" t="s">
        <v>40</v>
      </c>
      <c r="H564" s="203" t="s">
        <v>547</v>
      </c>
      <c r="I564" s="203" t="s">
        <v>42</v>
      </c>
      <c r="J564" s="206">
        <v>2.0</v>
      </c>
      <c r="K564" s="117"/>
      <c r="L564" s="117"/>
      <c r="M564" s="117"/>
      <c r="N564" s="117"/>
      <c r="O564" s="117"/>
      <c r="P564" s="117"/>
      <c r="Q564" s="119"/>
      <c r="R564" s="119"/>
      <c r="S564" s="203" t="s">
        <v>51</v>
      </c>
      <c r="T564" s="203" t="s">
        <v>73</v>
      </c>
      <c r="U564" s="203" t="s">
        <v>342</v>
      </c>
      <c r="V564" s="203" t="s">
        <v>217</v>
      </c>
      <c r="W564" s="121"/>
      <c r="X564" s="121"/>
      <c r="Y564" s="121"/>
      <c r="Z564" s="121"/>
      <c r="AA564" s="207">
        <v>7176.0</v>
      </c>
      <c r="AB564" s="207">
        <v>17940.0</v>
      </c>
      <c r="AC564" s="24" t="s">
        <v>1860</v>
      </c>
      <c r="AD564" s="195">
        <v>4885.0</v>
      </c>
      <c r="AE564" s="199" t="s">
        <v>1861</v>
      </c>
      <c r="AF564" s="203" t="str">
        <f t="shared" si="1"/>
        <v>Tierra de Fuego, Argentina</v>
      </c>
      <c r="AG564" s="203">
        <f t="shared" si="2"/>
        <v>2</v>
      </c>
      <c r="AH564" s="208">
        <f t="shared" si="3"/>
        <v>0</v>
      </c>
      <c r="AI564" s="208">
        <f t="shared" si="4"/>
        <v>0</v>
      </c>
      <c r="AJ564" s="207">
        <f t="shared" si="5"/>
        <v>25116</v>
      </c>
      <c r="AK564" s="207">
        <f t="shared" si="6"/>
        <v>25116</v>
      </c>
      <c r="AL564" s="123"/>
      <c r="AM564" s="123"/>
    </row>
    <row r="565">
      <c r="A565" s="203">
        <v>564.0</v>
      </c>
      <c r="B565" s="204">
        <v>44236.0</v>
      </c>
      <c r="C565" s="195" t="str">
        <f t="shared" si="7"/>
        <v>22021</v>
      </c>
      <c r="D565" s="205" t="s">
        <v>1862</v>
      </c>
      <c r="E565" s="203" t="s">
        <v>1863</v>
      </c>
      <c r="F565" s="205" t="s">
        <v>1415</v>
      </c>
      <c r="G565" s="203" t="s">
        <v>64</v>
      </c>
      <c r="H565" s="203" t="s">
        <v>41</v>
      </c>
      <c r="I565" s="203" t="s">
        <v>643</v>
      </c>
      <c r="J565" s="117"/>
      <c r="K565" s="206">
        <v>1.0</v>
      </c>
      <c r="L565" s="117"/>
      <c r="M565" s="117"/>
      <c r="N565" s="117"/>
      <c r="O565" s="117"/>
      <c r="P565" s="117"/>
      <c r="Q565" s="119"/>
      <c r="R565" s="119"/>
      <c r="S565" s="203" t="s">
        <v>98</v>
      </c>
      <c r="T565" s="203" t="s">
        <v>66</v>
      </c>
      <c r="U565" s="203" t="s">
        <v>67</v>
      </c>
      <c r="V565" s="203" t="s">
        <v>84</v>
      </c>
      <c r="W565" s="121"/>
      <c r="X565" s="121"/>
      <c r="Y565" s="121"/>
      <c r="Z565" s="121"/>
      <c r="AA565" s="207">
        <v>3947.0</v>
      </c>
      <c r="AB565" s="207">
        <v>19735.0</v>
      </c>
      <c r="AC565" s="24" t="s">
        <v>1864</v>
      </c>
      <c r="AD565" s="195">
        <v>4887.0</v>
      </c>
      <c r="AE565" s="199" t="s">
        <v>1865</v>
      </c>
      <c r="AF565" s="203" t="str">
        <f t="shared" si="1"/>
        <v>Buenos Aires, Argentina</v>
      </c>
      <c r="AG565" s="203">
        <f t="shared" si="2"/>
        <v>1</v>
      </c>
      <c r="AH565" s="208">
        <f t="shared" si="3"/>
        <v>0</v>
      </c>
      <c r="AI565" s="208">
        <f t="shared" si="4"/>
        <v>0</v>
      </c>
      <c r="AJ565" s="207">
        <f t="shared" si="5"/>
        <v>23682</v>
      </c>
      <c r="AK565" s="207">
        <f t="shared" si="6"/>
        <v>23682</v>
      </c>
      <c r="AL565" s="123"/>
      <c r="AM565" s="123"/>
    </row>
    <row r="566">
      <c r="A566" s="203">
        <v>565.0</v>
      </c>
      <c r="B566" s="204">
        <v>44237.0</v>
      </c>
      <c r="C566" s="195" t="str">
        <f t="shared" si="7"/>
        <v>22021</v>
      </c>
      <c r="D566" s="205" t="s">
        <v>1418</v>
      </c>
      <c r="E566" s="203" t="s">
        <v>1866</v>
      </c>
      <c r="F566" s="205" t="s">
        <v>1415</v>
      </c>
      <c r="G566" s="203" t="s">
        <v>64</v>
      </c>
      <c r="H566" s="203" t="s">
        <v>41</v>
      </c>
      <c r="I566" s="203" t="s">
        <v>42</v>
      </c>
      <c r="J566" s="117"/>
      <c r="K566" s="206">
        <v>1.0</v>
      </c>
      <c r="L566" s="117"/>
      <c r="M566" s="117"/>
      <c r="N566" s="117"/>
      <c r="O566" s="117"/>
      <c r="P566" s="117"/>
      <c r="Q566" s="119"/>
      <c r="R566" s="119"/>
      <c r="S566" s="203" t="s">
        <v>98</v>
      </c>
      <c r="T566" s="203" t="s">
        <v>83</v>
      </c>
      <c r="U566" s="203" t="s">
        <v>67</v>
      </c>
      <c r="V566" s="203" t="s">
        <v>59</v>
      </c>
      <c r="W566" s="121"/>
      <c r="X566" s="121"/>
      <c r="Y566" s="121"/>
      <c r="Z566" s="121"/>
      <c r="AA566" s="207">
        <v>3947.0</v>
      </c>
      <c r="AB566" s="207">
        <v>19735.0</v>
      </c>
      <c r="AC566" s="24" t="s">
        <v>1867</v>
      </c>
      <c r="AD566" s="195">
        <v>4889.0</v>
      </c>
      <c r="AE566" s="199" t="s">
        <v>1868</v>
      </c>
      <c r="AF566" s="203" t="str">
        <f t="shared" si="1"/>
        <v>Capital Federal, Argentina</v>
      </c>
      <c r="AG566" s="203">
        <f t="shared" si="2"/>
        <v>1</v>
      </c>
      <c r="AH566" s="208">
        <f t="shared" si="3"/>
        <v>0</v>
      </c>
      <c r="AI566" s="208">
        <f t="shared" si="4"/>
        <v>0</v>
      </c>
      <c r="AJ566" s="207">
        <f t="shared" si="5"/>
        <v>23682</v>
      </c>
      <c r="AK566" s="207">
        <f t="shared" si="6"/>
        <v>23682</v>
      </c>
      <c r="AL566" s="123"/>
      <c r="AM566" s="123"/>
    </row>
    <row r="567">
      <c r="A567" s="203">
        <v>566.0</v>
      </c>
      <c r="B567" s="204">
        <v>44237.0</v>
      </c>
      <c r="C567" s="195" t="str">
        <f t="shared" si="7"/>
        <v>22021</v>
      </c>
      <c r="D567" s="205" t="s">
        <v>1869</v>
      </c>
      <c r="E567" s="203" t="s">
        <v>1870</v>
      </c>
      <c r="F567" s="205" t="s">
        <v>1281</v>
      </c>
      <c r="G567" s="203" t="s">
        <v>64</v>
      </c>
      <c r="H567" s="203" t="s">
        <v>41</v>
      </c>
      <c r="I567" s="203" t="s">
        <v>42</v>
      </c>
      <c r="J567" s="117"/>
      <c r="K567" s="117"/>
      <c r="L567" s="117"/>
      <c r="M567" s="206">
        <v>1.0</v>
      </c>
      <c r="N567" s="117"/>
      <c r="O567" s="117"/>
      <c r="P567" s="117"/>
      <c r="Q567" s="119"/>
      <c r="R567" s="119"/>
      <c r="S567" s="203" t="s">
        <v>114</v>
      </c>
      <c r="T567" s="203" t="s">
        <v>83</v>
      </c>
      <c r="U567" s="203" t="s">
        <v>67</v>
      </c>
      <c r="V567" s="203" t="s">
        <v>59</v>
      </c>
      <c r="W567" s="121"/>
      <c r="X567" s="121"/>
      <c r="Y567" s="121"/>
      <c r="Z567" s="121"/>
      <c r="AA567" s="207">
        <v>5980.0</v>
      </c>
      <c r="AB567" s="207">
        <v>0.0</v>
      </c>
      <c r="AC567" s="24" t="s">
        <v>1388</v>
      </c>
      <c r="AD567" s="195">
        <v>4593.0</v>
      </c>
      <c r="AE567" s="199" t="s">
        <v>1871</v>
      </c>
      <c r="AF567" s="203" t="str">
        <f t="shared" si="1"/>
        <v>Capital Federal, Argentina</v>
      </c>
      <c r="AG567" s="203">
        <f t="shared" si="2"/>
        <v>1</v>
      </c>
      <c r="AH567" s="208">
        <f t="shared" si="3"/>
        <v>0</v>
      </c>
      <c r="AI567" s="208">
        <f t="shared" si="4"/>
        <v>0</v>
      </c>
      <c r="AJ567" s="207">
        <f t="shared" si="5"/>
        <v>5980</v>
      </c>
      <c r="AK567" s="207">
        <f t="shared" si="6"/>
        <v>5980</v>
      </c>
      <c r="AL567" s="123"/>
      <c r="AM567" s="123"/>
    </row>
    <row r="568">
      <c r="A568" s="203">
        <v>567.0</v>
      </c>
      <c r="B568" s="204">
        <v>44237.0</v>
      </c>
      <c r="C568" s="195" t="str">
        <f t="shared" si="7"/>
        <v>22021</v>
      </c>
      <c r="D568" s="205" t="s">
        <v>1872</v>
      </c>
      <c r="E568" s="203" t="s">
        <v>1873</v>
      </c>
      <c r="F568" s="205" t="s">
        <v>1423</v>
      </c>
      <c r="G568" s="203" t="s">
        <v>64</v>
      </c>
      <c r="H568" s="203" t="s">
        <v>41</v>
      </c>
      <c r="I568" s="203" t="s">
        <v>643</v>
      </c>
      <c r="J568" s="206">
        <v>1.0</v>
      </c>
      <c r="K568" s="117"/>
      <c r="L568" s="117"/>
      <c r="M568" s="117"/>
      <c r="N568" s="117"/>
      <c r="O568" s="117"/>
      <c r="P568" s="117"/>
      <c r="Q568" s="119"/>
      <c r="R568" s="119"/>
      <c r="S568" s="203" t="s">
        <v>189</v>
      </c>
      <c r="T568" s="203" t="s">
        <v>66</v>
      </c>
      <c r="U568" s="203" t="s">
        <v>1259</v>
      </c>
      <c r="V568" s="203" t="s">
        <v>1470</v>
      </c>
      <c r="W568" s="121"/>
      <c r="X568" s="121"/>
      <c r="Y568" s="121"/>
      <c r="Z568" s="121"/>
      <c r="AA568" s="207">
        <v>5980.0</v>
      </c>
      <c r="AB568" s="207">
        <v>29900.0</v>
      </c>
      <c r="AC568" s="24" t="s">
        <v>1874</v>
      </c>
      <c r="AD568" s="195">
        <v>4891.0</v>
      </c>
      <c r="AE568" s="199" t="s">
        <v>1875</v>
      </c>
      <c r="AF568" s="203" t="str">
        <f t="shared" si="1"/>
        <v>Buenos Aires, Argentina</v>
      </c>
      <c r="AG568" s="203">
        <f t="shared" si="2"/>
        <v>1</v>
      </c>
      <c r="AH568" s="208">
        <f t="shared" si="3"/>
        <v>0</v>
      </c>
      <c r="AI568" s="208">
        <f t="shared" si="4"/>
        <v>0</v>
      </c>
      <c r="AJ568" s="207">
        <f t="shared" si="5"/>
        <v>35880</v>
      </c>
      <c r="AK568" s="207">
        <f t="shared" si="6"/>
        <v>35880</v>
      </c>
      <c r="AL568" s="123"/>
      <c r="AM568" s="123"/>
    </row>
    <row r="569">
      <c r="A569" s="203">
        <v>568.0</v>
      </c>
      <c r="B569" s="204">
        <v>44244.0</v>
      </c>
      <c r="C569" s="195" t="str">
        <f t="shared" si="7"/>
        <v>22021</v>
      </c>
      <c r="D569" s="205" t="s">
        <v>1876</v>
      </c>
      <c r="E569" s="203" t="s">
        <v>1877</v>
      </c>
      <c r="F569" s="205" t="s">
        <v>1878</v>
      </c>
      <c r="G569" s="203" t="s">
        <v>64</v>
      </c>
      <c r="H569" s="203" t="s">
        <v>41</v>
      </c>
      <c r="I569" s="203" t="s">
        <v>42</v>
      </c>
      <c r="J569" s="117"/>
      <c r="K569" s="117"/>
      <c r="L569" s="117"/>
      <c r="M569" s="117"/>
      <c r="N569" s="206">
        <v>1.0</v>
      </c>
      <c r="O569" s="117"/>
      <c r="P569" s="117"/>
      <c r="Q569" s="119"/>
      <c r="R569" s="119"/>
      <c r="S569" s="203" t="s">
        <v>189</v>
      </c>
      <c r="T569" s="203" t="s">
        <v>66</v>
      </c>
      <c r="U569" s="203" t="s">
        <v>99</v>
      </c>
      <c r="V569" s="203" t="s">
        <v>78</v>
      </c>
      <c r="W569" s="121"/>
      <c r="X569" s="121"/>
      <c r="Y569" s="121"/>
      <c r="Z569" s="121"/>
      <c r="AA569" s="207">
        <v>5980.0</v>
      </c>
      <c r="AB569" s="207">
        <v>0.0</v>
      </c>
      <c r="AC569" s="24" t="s">
        <v>1879</v>
      </c>
      <c r="AD569" s="195">
        <v>4893.0</v>
      </c>
      <c r="AE569" s="199" t="s">
        <v>1880</v>
      </c>
      <c r="AF569" s="203" t="str">
        <f t="shared" si="1"/>
        <v>Buenos Aires, Argentina</v>
      </c>
      <c r="AG569" s="203">
        <f t="shared" si="2"/>
        <v>1</v>
      </c>
      <c r="AH569" s="208">
        <f t="shared" si="3"/>
        <v>0</v>
      </c>
      <c r="AI569" s="208">
        <f t="shared" si="4"/>
        <v>0</v>
      </c>
      <c r="AJ569" s="207">
        <f t="shared" si="5"/>
        <v>5980</v>
      </c>
      <c r="AK569" s="207">
        <f t="shared" si="6"/>
        <v>5980</v>
      </c>
      <c r="AL569" s="123"/>
      <c r="AM569" s="123"/>
    </row>
    <row r="570">
      <c r="A570" s="203">
        <v>569.0</v>
      </c>
      <c r="B570" s="204">
        <v>44244.0</v>
      </c>
      <c r="C570" s="195" t="str">
        <f t="shared" si="7"/>
        <v>22021</v>
      </c>
      <c r="D570" s="205" t="s">
        <v>1731</v>
      </c>
      <c r="E570" s="203" t="s">
        <v>1881</v>
      </c>
      <c r="F570" s="205" t="s">
        <v>1415</v>
      </c>
      <c r="G570" s="203" t="s">
        <v>64</v>
      </c>
      <c r="H570" s="203" t="s">
        <v>41</v>
      </c>
      <c r="I570" s="203" t="s">
        <v>42</v>
      </c>
      <c r="J570" s="117"/>
      <c r="K570" s="206">
        <v>1.0</v>
      </c>
      <c r="L570" s="117"/>
      <c r="M570" s="117"/>
      <c r="N570" s="117"/>
      <c r="O570" s="117"/>
      <c r="P570" s="117"/>
      <c r="Q570" s="119"/>
      <c r="R570" s="119"/>
      <c r="S570" s="203" t="s">
        <v>137</v>
      </c>
      <c r="T570" s="203" t="s">
        <v>66</v>
      </c>
      <c r="U570" s="203" t="s">
        <v>67</v>
      </c>
      <c r="V570" s="203" t="s">
        <v>59</v>
      </c>
      <c r="W570" s="121"/>
      <c r="X570" s="121"/>
      <c r="Y570" s="121"/>
      <c r="Z570" s="121"/>
      <c r="AA570" s="207">
        <v>3947.0</v>
      </c>
      <c r="AB570" s="207">
        <v>19735.0</v>
      </c>
      <c r="AC570" s="24" t="s">
        <v>1882</v>
      </c>
      <c r="AD570" s="195">
        <v>4895.0</v>
      </c>
      <c r="AE570" s="199" t="s">
        <v>1883</v>
      </c>
      <c r="AF570" s="203" t="str">
        <f t="shared" si="1"/>
        <v>Buenos Aires, Argentina</v>
      </c>
      <c r="AG570" s="203">
        <f t="shared" si="2"/>
        <v>1</v>
      </c>
      <c r="AH570" s="208">
        <f t="shared" si="3"/>
        <v>0</v>
      </c>
      <c r="AI570" s="208">
        <f t="shared" si="4"/>
        <v>0</v>
      </c>
      <c r="AJ570" s="207">
        <f t="shared" si="5"/>
        <v>23682</v>
      </c>
      <c r="AK570" s="207">
        <f t="shared" si="6"/>
        <v>23682</v>
      </c>
      <c r="AL570" s="123"/>
      <c r="AM570" s="123"/>
    </row>
    <row r="571">
      <c r="A571" s="203">
        <v>570.0</v>
      </c>
      <c r="B571" s="204">
        <v>44249.0</v>
      </c>
      <c r="C571" s="195" t="str">
        <f t="shared" si="7"/>
        <v>22021</v>
      </c>
      <c r="D571" s="205" t="s">
        <v>1595</v>
      </c>
      <c r="E571" s="203" t="s">
        <v>1884</v>
      </c>
      <c r="F571" s="205" t="s">
        <v>1423</v>
      </c>
      <c r="G571" s="203" t="s">
        <v>64</v>
      </c>
      <c r="H571" s="203" t="s">
        <v>41</v>
      </c>
      <c r="I571" s="203" t="s">
        <v>42</v>
      </c>
      <c r="J571" s="206">
        <v>1.0</v>
      </c>
      <c r="K571" s="117"/>
      <c r="L571" s="117"/>
      <c r="M571" s="117"/>
      <c r="N571" s="117"/>
      <c r="O571" s="117"/>
      <c r="P571" s="117"/>
      <c r="Q571" s="119"/>
      <c r="R571" s="119"/>
      <c r="S571" s="203" t="s">
        <v>189</v>
      </c>
      <c r="T571" s="203" t="s">
        <v>66</v>
      </c>
      <c r="U571" s="203" t="s">
        <v>99</v>
      </c>
      <c r="V571" s="203" t="s">
        <v>78</v>
      </c>
      <c r="W571" s="121"/>
      <c r="X571" s="121"/>
      <c r="Y571" s="121"/>
      <c r="Z571" s="121"/>
      <c r="AA571" s="207">
        <v>5980.0</v>
      </c>
      <c r="AB571" s="207">
        <v>29900.0</v>
      </c>
      <c r="AC571" s="24" t="s">
        <v>1885</v>
      </c>
      <c r="AD571" s="195">
        <v>4913.0</v>
      </c>
      <c r="AE571" s="199" t="s">
        <v>1886</v>
      </c>
      <c r="AF571" s="203" t="str">
        <f t="shared" si="1"/>
        <v>Buenos Aires, Argentina</v>
      </c>
      <c r="AG571" s="203">
        <f t="shared" si="2"/>
        <v>1</v>
      </c>
      <c r="AH571" s="208">
        <f t="shared" si="3"/>
        <v>0</v>
      </c>
      <c r="AI571" s="208">
        <f t="shared" si="4"/>
        <v>0</v>
      </c>
      <c r="AJ571" s="207">
        <f t="shared" si="5"/>
        <v>35880</v>
      </c>
      <c r="AK571" s="207">
        <f t="shared" si="6"/>
        <v>35880</v>
      </c>
      <c r="AL571" s="123"/>
      <c r="AM571" s="123"/>
    </row>
    <row r="572">
      <c r="A572" s="203">
        <v>571.0</v>
      </c>
      <c r="B572" s="204">
        <v>44249.0</v>
      </c>
      <c r="C572" s="195" t="str">
        <f t="shared" si="7"/>
        <v>22021</v>
      </c>
      <c r="D572" s="205" t="s">
        <v>1887</v>
      </c>
      <c r="E572" s="203" t="s">
        <v>1888</v>
      </c>
      <c r="F572" s="205" t="s">
        <v>1423</v>
      </c>
      <c r="G572" s="203" t="s">
        <v>40</v>
      </c>
      <c r="H572" s="203" t="s">
        <v>41</v>
      </c>
      <c r="I572" s="203" t="s">
        <v>42</v>
      </c>
      <c r="J572" s="206">
        <v>1.0</v>
      </c>
      <c r="K572" s="117"/>
      <c r="L572" s="117"/>
      <c r="M572" s="117"/>
      <c r="N572" s="117"/>
      <c r="O572" s="117"/>
      <c r="P572" s="117"/>
      <c r="Q572" s="119"/>
      <c r="R572" s="119"/>
      <c r="S572" s="203" t="s">
        <v>114</v>
      </c>
      <c r="T572" s="203" t="s">
        <v>66</v>
      </c>
      <c r="U572" s="203" t="s">
        <v>53</v>
      </c>
      <c r="V572" s="203" t="s">
        <v>59</v>
      </c>
      <c r="W572" s="121"/>
      <c r="X572" s="121"/>
      <c r="Y572" s="121"/>
      <c r="Z572" s="121"/>
      <c r="AA572" s="207">
        <v>5980.0</v>
      </c>
      <c r="AB572" s="207">
        <v>29900.0</v>
      </c>
      <c r="AC572" s="24" t="s">
        <v>1889</v>
      </c>
      <c r="AD572" s="195">
        <v>4915.0</v>
      </c>
      <c r="AE572" s="199" t="s">
        <v>1890</v>
      </c>
      <c r="AF572" s="203" t="str">
        <f t="shared" si="1"/>
        <v>Buenos Aires, Argentina</v>
      </c>
      <c r="AG572" s="203">
        <f t="shared" si="2"/>
        <v>1</v>
      </c>
      <c r="AH572" s="208">
        <f t="shared" si="3"/>
        <v>0</v>
      </c>
      <c r="AI572" s="208">
        <f t="shared" si="4"/>
        <v>0</v>
      </c>
      <c r="AJ572" s="207">
        <f t="shared" si="5"/>
        <v>35880</v>
      </c>
      <c r="AK572" s="207">
        <f t="shared" si="6"/>
        <v>35880</v>
      </c>
      <c r="AL572" s="123"/>
      <c r="AM572" s="123"/>
    </row>
    <row r="573">
      <c r="A573" s="203">
        <v>572.0</v>
      </c>
      <c r="B573" s="204">
        <v>44249.0</v>
      </c>
      <c r="C573" s="195" t="str">
        <f t="shared" si="7"/>
        <v>22021</v>
      </c>
      <c r="D573" s="205" t="s">
        <v>1891</v>
      </c>
      <c r="E573" s="203" t="s">
        <v>1892</v>
      </c>
      <c r="F573" s="205" t="s">
        <v>1415</v>
      </c>
      <c r="G573" s="203" t="s">
        <v>64</v>
      </c>
      <c r="H573" s="203" t="s">
        <v>547</v>
      </c>
      <c r="I573" s="203" t="s">
        <v>643</v>
      </c>
      <c r="J573" s="117"/>
      <c r="K573" s="206">
        <v>1.0</v>
      </c>
      <c r="L573" s="117"/>
      <c r="M573" s="117"/>
      <c r="N573" s="117"/>
      <c r="O573" s="117"/>
      <c r="P573" s="117"/>
      <c r="Q573" s="119"/>
      <c r="R573" s="119"/>
      <c r="S573" s="203" t="s">
        <v>114</v>
      </c>
      <c r="T573" s="203" t="s">
        <v>66</v>
      </c>
      <c r="U573" s="203" t="s">
        <v>53</v>
      </c>
      <c r="V573" s="203" t="s">
        <v>84</v>
      </c>
      <c r="W573" s="121"/>
      <c r="X573" s="121"/>
      <c r="Y573" s="121"/>
      <c r="Z573" s="121"/>
      <c r="AA573" s="207">
        <v>2392.0</v>
      </c>
      <c r="AB573" s="207">
        <v>7176.0</v>
      </c>
      <c r="AC573" s="24" t="s">
        <v>1893</v>
      </c>
      <c r="AD573" s="195">
        <v>4919.0</v>
      </c>
      <c r="AE573" s="199" t="s">
        <v>1894</v>
      </c>
      <c r="AF573" s="203" t="str">
        <f t="shared" si="1"/>
        <v>Buenos Aires, Argentina</v>
      </c>
      <c r="AG573" s="203">
        <f t="shared" si="2"/>
        <v>1</v>
      </c>
      <c r="AH573" s="208">
        <f t="shared" si="3"/>
        <v>0</v>
      </c>
      <c r="AI573" s="208">
        <f t="shared" si="4"/>
        <v>0</v>
      </c>
      <c r="AJ573" s="207">
        <f t="shared" si="5"/>
        <v>9568</v>
      </c>
      <c r="AK573" s="207">
        <f t="shared" si="6"/>
        <v>9568</v>
      </c>
      <c r="AL573" s="123"/>
      <c r="AM573" s="123"/>
    </row>
    <row r="574">
      <c r="A574" s="203">
        <v>573.0</v>
      </c>
      <c r="B574" s="204">
        <v>44249.0</v>
      </c>
      <c r="C574" s="195" t="str">
        <f t="shared" si="7"/>
        <v>22021</v>
      </c>
      <c r="D574" s="205" t="s">
        <v>1895</v>
      </c>
      <c r="E574" s="203" t="s">
        <v>1896</v>
      </c>
      <c r="F574" s="205" t="s">
        <v>1412</v>
      </c>
      <c r="G574" s="203" t="s">
        <v>64</v>
      </c>
      <c r="H574" s="203" t="s">
        <v>41</v>
      </c>
      <c r="I574" s="203" t="s">
        <v>643</v>
      </c>
      <c r="J574" s="206">
        <v>2.0</v>
      </c>
      <c r="K574" s="117"/>
      <c r="L574" s="117"/>
      <c r="M574" s="117"/>
      <c r="N574" s="117"/>
      <c r="O574" s="117"/>
      <c r="P574" s="117"/>
      <c r="Q574" s="119"/>
      <c r="R574" s="119"/>
      <c r="S574" s="203" t="s">
        <v>65</v>
      </c>
      <c r="T574" s="203" t="s">
        <v>83</v>
      </c>
      <c r="U574" s="203" t="s">
        <v>1259</v>
      </c>
      <c r="V574" s="203" t="s">
        <v>1470</v>
      </c>
      <c r="W574" s="121"/>
      <c r="X574" s="121"/>
      <c r="Y574" s="121"/>
      <c r="Z574" s="121"/>
      <c r="AA574" s="207">
        <v>11960.0</v>
      </c>
      <c r="AB574" s="207">
        <v>59800.0</v>
      </c>
      <c r="AC574" s="24" t="s">
        <v>1897</v>
      </c>
      <c r="AD574" s="195">
        <v>4923.0</v>
      </c>
      <c r="AE574" s="199" t="s">
        <v>1898</v>
      </c>
      <c r="AF574" s="203" t="str">
        <f t="shared" si="1"/>
        <v>Capital Federal, Argentina</v>
      </c>
      <c r="AG574" s="203">
        <f t="shared" si="2"/>
        <v>2</v>
      </c>
      <c r="AH574" s="208">
        <f t="shared" si="3"/>
        <v>0</v>
      </c>
      <c r="AI574" s="208">
        <f t="shared" si="4"/>
        <v>0</v>
      </c>
      <c r="AJ574" s="207">
        <f t="shared" si="5"/>
        <v>71760</v>
      </c>
      <c r="AK574" s="207">
        <f t="shared" si="6"/>
        <v>71760</v>
      </c>
      <c r="AL574" s="123"/>
      <c r="AM574" s="123"/>
    </row>
    <row r="575">
      <c r="A575" s="203">
        <v>574.0</v>
      </c>
      <c r="B575" s="204">
        <v>44250.0</v>
      </c>
      <c r="C575" s="195" t="str">
        <f t="shared" si="7"/>
        <v>22021</v>
      </c>
      <c r="D575" s="205" t="s">
        <v>1899</v>
      </c>
      <c r="E575" s="203" t="s">
        <v>1900</v>
      </c>
      <c r="F575" s="205" t="s">
        <v>1901</v>
      </c>
      <c r="G575" s="203" t="s">
        <v>64</v>
      </c>
      <c r="H575" s="203" t="s">
        <v>41</v>
      </c>
      <c r="I575" s="203" t="s">
        <v>643</v>
      </c>
      <c r="J575" s="206">
        <v>1.0</v>
      </c>
      <c r="K575" s="117"/>
      <c r="L575" s="117"/>
      <c r="M575" s="117"/>
      <c r="N575" s="117"/>
      <c r="O575" s="117"/>
      <c r="P575" s="117"/>
      <c r="Q575" s="119"/>
      <c r="R575" s="119"/>
      <c r="S575" s="203" t="s">
        <v>189</v>
      </c>
      <c r="T575" s="203" t="s">
        <v>83</v>
      </c>
      <c r="U575" s="203" t="s">
        <v>1259</v>
      </c>
      <c r="V575" s="203" t="s">
        <v>1470</v>
      </c>
      <c r="W575" s="121"/>
      <c r="X575" s="121"/>
      <c r="Y575" s="121"/>
      <c r="Z575" s="121"/>
      <c r="AA575" s="207">
        <v>5980.0</v>
      </c>
      <c r="AB575" s="207">
        <v>0.0</v>
      </c>
      <c r="AC575" s="24" t="s">
        <v>1902</v>
      </c>
      <c r="AD575" s="195">
        <v>4925.0</v>
      </c>
      <c r="AE575" s="199" t="s">
        <v>1903</v>
      </c>
      <c r="AF575" s="203" t="str">
        <f t="shared" si="1"/>
        <v>Capital Federal, Argentina</v>
      </c>
      <c r="AG575" s="203">
        <f t="shared" si="2"/>
        <v>1</v>
      </c>
      <c r="AH575" s="208">
        <f t="shared" si="3"/>
        <v>0</v>
      </c>
      <c r="AI575" s="208">
        <f t="shared" si="4"/>
        <v>0</v>
      </c>
      <c r="AJ575" s="207">
        <f t="shared" si="5"/>
        <v>5980</v>
      </c>
      <c r="AK575" s="207">
        <f t="shared" si="6"/>
        <v>5980</v>
      </c>
      <c r="AL575" s="123"/>
      <c r="AM575" s="123"/>
    </row>
    <row r="576">
      <c r="A576" s="203">
        <v>575.0</v>
      </c>
      <c r="B576" s="204">
        <v>44252.0</v>
      </c>
      <c r="C576" s="195" t="str">
        <f t="shared" si="7"/>
        <v>22021</v>
      </c>
      <c r="D576" s="205" t="s">
        <v>1904</v>
      </c>
      <c r="E576" s="203" t="s">
        <v>1905</v>
      </c>
      <c r="F576" s="205" t="s">
        <v>1423</v>
      </c>
      <c r="G576" s="203" t="s">
        <v>64</v>
      </c>
      <c r="H576" s="203" t="s">
        <v>41</v>
      </c>
      <c r="I576" s="203" t="s">
        <v>643</v>
      </c>
      <c r="J576" s="206">
        <v>1.0</v>
      </c>
      <c r="K576" s="117"/>
      <c r="L576" s="117"/>
      <c r="M576" s="117"/>
      <c r="N576" s="117"/>
      <c r="O576" s="117"/>
      <c r="P576" s="117"/>
      <c r="Q576" s="119"/>
      <c r="R576" s="119"/>
      <c r="S576" s="203" t="s">
        <v>907</v>
      </c>
      <c r="T576" s="203" t="s">
        <v>66</v>
      </c>
      <c r="U576" s="203" t="s">
        <v>1259</v>
      </c>
      <c r="V576" s="203" t="s">
        <v>1470</v>
      </c>
      <c r="W576" s="121"/>
      <c r="X576" s="121"/>
      <c r="Y576" s="121"/>
      <c r="Z576" s="121"/>
      <c r="AA576" s="207">
        <v>5980.0</v>
      </c>
      <c r="AB576" s="207">
        <v>29900.0</v>
      </c>
      <c r="AC576" s="24" t="s">
        <v>1906</v>
      </c>
      <c r="AD576" s="195">
        <v>4927.0</v>
      </c>
      <c r="AE576" s="199" t="s">
        <v>1907</v>
      </c>
      <c r="AF576" s="203" t="str">
        <f t="shared" si="1"/>
        <v>Buenos Aires, Argentina</v>
      </c>
      <c r="AG576" s="203">
        <f t="shared" si="2"/>
        <v>1</v>
      </c>
      <c r="AH576" s="208">
        <f t="shared" si="3"/>
        <v>0</v>
      </c>
      <c r="AI576" s="208">
        <f t="shared" si="4"/>
        <v>0</v>
      </c>
      <c r="AJ576" s="207">
        <f t="shared" si="5"/>
        <v>35880</v>
      </c>
      <c r="AK576" s="207">
        <f t="shared" si="6"/>
        <v>35880</v>
      </c>
      <c r="AL576" s="123"/>
      <c r="AM576" s="123"/>
    </row>
    <row r="577">
      <c r="A577" s="203">
        <v>576.0</v>
      </c>
      <c r="B577" s="204">
        <v>44252.0</v>
      </c>
      <c r="C577" s="195" t="str">
        <f t="shared" si="7"/>
        <v>22021</v>
      </c>
      <c r="D577" s="205" t="s">
        <v>1908</v>
      </c>
      <c r="E577" s="203" t="s">
        <v>1909</v>
      </c>
      <c r="F577" s="205" t="s">
        <v>1567</v>
      </c>
      <c r="G577" s="203" t="s">
        <v>64</v>
      </c>
      <c r="H577" s="203" t="s">
        <v>41</v>
      </c>
      <c r="I577" s="203" t="s">
        <v>643</v>
      </c>
      <c r="J577" s="206">
        <v>4.0</v>
      </c>
      <c r="K577" s="117"/>
      <c r="L577" s="117"/>
      <c r="M577" s="117"/>
      <c r="N577" s="117"/>
      <c r="O577" s="117"/>
      <c r="P577" s="117"/>
      <c r="Q577" s="119"/>
      <c r="R577" s="119"/>
      <c r="S577" s="203" t="s">
        <v>98</v>
      </c>
      <c r="T577" s="203" t="s">
        <v>83</v>
      </c>
      <c r="U577" s="203" t="s">
        <v>67</v>
      </c>
      <c r="V577" s="203" t="s">
        <v>84</v>
      </c>
      <c r="W577" s="121"/>
      <c r="X577" s="121"/>
      <c r="Y577" s="121"/>
      <c r="Z577" s="121"/>
      <c r="AA577" s="207">
        <v>23920.0</v>
      </c>
      <c r="AB577" s="207">
        <v>119600.0</v>
      </c>
      <c r="AC577" s="24" t="s">
        <v>1910</v>
      </c>
      <c r="AD577" s="195">
        <v>4929.0</v>
      </c>
      <c r="AE577" s="199" t="s">
        <v>1911</v>
      </c>
      <c r="AF577" s="203" t="str">
        <f t="shared" si="1"/>
        <v>Capital Federal, Argentina</v>
      </c>
      <c r="AG577" s="203">
        <f t="shared" si="2"/>
        <v>4</v>
      </c>
      <c r="AH577" s="208">
        <f t="shared" si="3"/>
        <v>0</v>
      </c>
      <c r="AI577" s="208">
        <f t="shared" si="4"/>
        <v>0</v>
      </c>
      <c r="AJ577" s="207">
        <f t="shared" si="5"/>
        <v>143520</v>
      </c>
      <c r="AK577" s="207">
        <f t="shared" si="6"/>
        <v>143520</v>
      </c>
      <c r="AL577" s="123"/>
      <c r="AM577" s="123"/>
    </row>
    <row r="578">
      <c r="A578" s="203">
        <v>577.0</v>
      </c>
      <c r="B578" s="204">
        <v>44253.0</v>
      </c>
      <c r="C578" s="195" t="str">
        <f t="shared" si="7"/>
        <v>22021</v>
      </c>
      <c r="D578" s="205" t="s">
        <v>1745</v>
      </c>
      <c r="E578" s="203" t="s">
        <v>1746</v>
      </c>
      <c r="F578" s="205" t="s">
        <v>1281</v>
      </c>
      <c r="G578" s="203" t="s">
        <v>64</v>
      </c>
      <c r="H578" s="203" t="s">
        <v>41</v>
      </c>
      <c r="I578" s="203" t="s">
        <v>42</v>
      </c>
      <c r="J578" s="117"/>
      <c r="K578" s="117"/>
      <c r="L578" s="117"/>
      <c r="M578" s="206">
        <v>1.0</v>
      </c>
      <c r="N578" s="117"/>
      <c r="O578" s="117"/>
      <c r="P578" s="117"/>
      <c r="Q578" s="119"/>
      <c r="R578" s="119"/>
      <c r="S578" s="203" t="s">
        <v>114</v>
      </c>
      <c r="T578" s="203" t="s">
        <v>66</v>
      </c>
      <c r="U578" s="203" t="s">
        <v>67</v>
      </c>
      <c r="V578" s="203" t="s">
        <v>78</v>
      </c>
      <c r="W578" s="121"/>
      <c r="X578" s="121"/>
      <c r="Y578" s="121"/>
      <c r="Z578" s="121"/>
      <c r="AA578" s="207">
        <v>5980.0</v>
      </c>
      <c r="AB578" s="207">
        <v>0.0</v>
      </c>
      <c r="AC578" s="24" t="s">
        <v>1748</v>
      </c>
      <c r="AD578" s="195">
        <v>4823.0</v>
      </c>
      <c r="AE578" s="199" t="s">
        <v>1353</v>
      </c>
      <c r="AF578" s="203" t="str">
        <f t="shared" si="1"/>
        <v>Buenos Aires, Argentina</v>
      </c>
      <c r="AG578" s="203">
        <f t="shared" si="2"/>
        <v>1</v>
      </c>
      <c r="AH578" s="208">
        <f t="shared" si="3"/>
        <v>0</v>
      </c>
      <c r="AI578" s="208">
        <f t="shared" si="4"/>
        <v>0</v>
      </c>
      <c r="AJ578" s="207">
        <f t="shared" si="5"/>
        <v>5980</v>
      </c>
      <c r="AK578" s="207">
        <f t="shared" si="6"/>
        <v>5980</v>
      </c>
      <c r="AL578" s="123"/>
      <c r="AM578" s="123"/>
    </row>
    <row r="579">
      <c r="A579" s="203">
        <v>578.0</v>
      </c>
      <c r="B579" s="204">
        <v>44253.0</v>
      </c>
      <c r="C579" s="195" t="str">
        <f t="shared" si="7"/>
        <v>22021</v>
      </c>
      <c r="D579" s="205" t="s">
        <v>1912</v>
      </c>
      <c r="E579" s="203" t="s">
        <v>1913</v>
      </c>
      <c r="F579" s="205" t="s">
        <v>1914</v>
      </c>
      <c r="G579" s="203" t="s">
        <v>40</v>
      </c>
      <c r="H579" s="203" t="s">
        <v>41</v>
      </c>
      <c r="I579" s="203" t="s">
        <v>42</v>
      </c>
      <c r="J579" s="206">
        <v>2.0</v>
      </c>
      <c r="K579" s="206">
        <v>3.0</v>
      </c>
      <c r="L579" s="117"/>
      <c r="M579" s="206">
        <v>1.0</v>
      </c>
      <c r="N579" s="117"/>
      <c r="O579" s="117"/>
      <c r="P579" s="117"/>
      <c r="Q579" s="119"/>
      <c r="R579" s="119"/>
      <c r="S579" s="203" t="s">
        <v>189</v>
      </c>
      <c r="T579" s="203" t="s">
        <v>66</v>
      </c>
      <c r="U579" s="203" t="s">
        <v>163</v>
      </c>
      <c r="V579" s="203" t="s">
        <v>78</v>
      </c>
      <c r="W579" s="121"/>
      <c r="X579" s="121"/>
      <c r="Y579" s="121"/>
      <c r="Z579" s="121"/>
      <c r="AA579" s="207">
        <v>29781.0</v>
      </c>
      <c r="AB579" s="207">
        <v>126569.25</v>
      </c>
      <c r="AC579" s="24" t="s">
        <v>1915</v>
      </c>
      <c r="AD579" s="195">
        <v>4933.0</v>
      </c>
      <c r="AE579" s="199" t="s">
        <v>1916</v>
      </c>
      <c r="AF579" s="203" t="str">
        <f t="shared" si="1"/>
        <v>Buenos Aires, Argentina</v>
      </c>
      <c r="AG579" s="203">
        <f t="shared" si="2"/>
        <v>6</v>
      </c>
      <c r="AH579" s="208">
        <f t="shared" si="3"/>
        <v>0</v>
      </c>
      <c r="AI579" s="208">
        <f t="shared" si="4"/>
        <v>0</v>
      </c>
      <c r="AJ579" s="207">
        <f t="shared" si="5"/>
        <v>156350.25</v>
      </c>
      <c r="AK579" s="207">
        <f t="shared" si="6"/>
        <v>156350.25</v>
      </c>
      <c r="AL579" s="123"/>
      <c r="AM579" s="123"/>
    </row>
    <row r="580">
      <c r="A580" s="203">
        <v>579.0</v>
      </c>
      <c r="B580" s="204">
        <v>44253.0</v>
      </c>
      <c r="C580" s="195" t="str">
        <f t="shared" si="7"/>
        <v>22021</v>
      </c>
      <c r="D580" s="205" t="s">
        <v>1917</v>
      </c>
      <c r="E580" s="203" t="s">
        <v>1918</v>
      </c>
      <c r="F580" s="205" t="s">
        <v>1919</v>
      </c>
      <c r="G580" s="203" t="s">
        <v>64</v>
      </c>
      <c r="H580" s="203" t="s">
        <v>41</v>
      </c>
      <c r="I580" s="203" t="s">
        <v>643</v>
      </c>
      <c r="J580" s="206">
        <v>1.0</v>
      </c>
      <c r="K580" s="117"/>
      <c r="L580" s="117"/>
      <c r="M580" s="117"/>
      <c r="N580" s="117"/>
      <c r="O580" s="117"/>
      <c r="P580" s="117"/>
      <c r="Q580" s="119"/>
      <c r="R580" s="119"/>
      <c r="S580" s="203" t="s">
        <v>189</v>
      </c>
      <c r="T580" s="203" t="s">
        <v>66</v>
      </c>
      <c r="U580" s="203" t="s">
        <v>1259</v>
      </c>
      <c r="V580" s="203" t="s">
        <v>1470</v>
      </c>
      <c r="W580" s="121"/>
      <c r="X580" s="121"/>
      <c r="Y580" s="121"/>
      <c r="Z580" s="121"/>
      <c r="AA580" s="207">
        <v>5980.0</v>
      </c>
      <c r="AB580" s="207">
        <v>0.0</v>
      </c>
      <c r="AC580" s="24" t="s">
        <v>1920</v>
      </c>
      <c r="AD580" s="195">
        <v>4935.0</v>
      </c>
      <c r="AE580" s="199" t="s">
        <v>1921</v>
      </c>
      <c r="AF580" s="203" t="str">
        <f t="shared" si="1"/>
        <v>Buenos Aires, Argentina</v>
      </c>
      <c r="AG580" s="203">
        <f t="shared" si="2"/>
        <v>1</v>
      </c>
      <c r="AH580" s="208">
        <f t="shared" si="3"/>
        <v>0</v>
      </c>
      <c r="AI580" s="208">
        <f t="shared" si="4"/>
        <v>0</v>
      </c>
      <c r="AJ580" s="207">
        <f t="shared" si="5"/>
        <v>5980</v>
      </c>
      <c r="AK580" s="207">
        <f t="shared" si="6"/>
        <v>5980</v>
      </c>
      <c r="AL580" s="123"/>
      <c r="AM580" s="123"/>
    </row>
    <row r="581">
      <c r="A581" s="203">
        <v>580.0</v>
      </c>
      <c r="B581" s="204">
        <v>44253.0</v>
      </c>
      <c r="C581" s="195" t="str">
        <f t="shared" si="7"/>
        <v>22021</v>
      </c>
      <c r="D581" s="205" t="s">
        <v>1375</v>
      </c>
      <c r="E581" s="203" t="s">
        <v>1922</v>
      </c>
      <c r="F581" s="205" t="s">
        <v>1281</v>
      </c>
      <c r="G581" s="203" t="s">
        <v>64</v>
      </c>
      <c r="H581" s="203" t="s">
        <v>41</v>
      </c>
      <c r="I581" s="203" t="s">
        <v>643</v>
      </c>
      <c r="J581" s="117"/>
      <c r="K581" s="117"/>
      <c r="L581" s="117"/>
      <c r="M581" s="206">
        <v>1.0</v>
      </c>
      <c r="N581" s="117"/>
      <c r="O581" s="117"/>
      <c r="P581" s="117"/>
      <c r="Q581" s="119"/>
      <c r="R581" s="119"/>
      <c r="S581" s="203" t="s">
        <v>98</v>
      </c>
      <c r="T581" s="203" t="s">
        <v>66</v>
      </c>
      <c r="U581" s="203" t="s">
        <v>1259</v>
      </c>
      <c r="V581" s="203" t="s">
        <v>1470</v>
      </c>
      <c r="W581" s="121"/>
      <c r="X581" s="121"/>
      <c r="Y581" s="121"/>
      <c r="Z581" s="121"/>
      <c r="AA581" s="207">
        <v>5980.0</v>
      </c>
      <c r="AB581" s="207">
        <v>0.0</v>
      </c>
      <c r="AC581" s="24" t="s">
        <v>1376</v>
      </c>
      <c r="AD581" s="195">
        <v>4575.0</v>
      </c>
      <c r="AE581" s="199" t="s">
        <v>1377</v>
      </c>
      <c r="AF581" s="203" t="str">
        <f t="shared" si="1"/>
        <v>Buenos Aires, Argentina</v>
      </c>
      <c r="AG581" s="203">
        <f t="shared" si="2"/>
        <v>1</v>
      </c>
      <c r="AH581" s="208">
        <f t="shared" si="3"/>
        <v>0</v>
      </c>
      <c r="AI581" s="208">
        <f t="shared" si="4"/>
        <v>0</v>
      </c>
      <c r="AJ581" s="207">
        <f t="shared" si="5"/>
        <v>5980</v>
      </c>
      <c r="AK581" s="207">
        <f t="shared" si="6"/>
        <v>5980</v>
      </c>
      <c r="AL581" s="123"/>
      <c r="AM581" s="123"/>
    </row>
    <row r="582">
      <c r="A582" s="209">
        <v>581.0</v>
      </c>
      <c r="B582" s="210">
        <v>44259.0</v>
      </c>
      <c r="C582" s="195" t="str">
        <f t="shared" si="7"/>
        <v>32021</v>
      </c>
      <c r="D582" s="211" t="s">
        <v>1800</v>
      </c>
      <c r="E582" s="209" t="s">
        <v>1801</v>
      </c>
      <c r="F582" s="211" t="s">
        <v>1423</v>
      </c>
      <c r="G582" s="209" t="s">
        <v>64</v>
      </c>
      <c r="H582" s="209" t="s">
        <v>41</v>
      </c>
      <c r="I582" s="209" t="s">
        <v>643</v>
      </c>
      <c r="J582" s="212">
        <v>1.0</v>
      </c>
      <c r="K582" s="151"/>
      <c r="L582" s="151"/>
      <c r="M582" s="151"/>
      <c r="N582" s="151"/>
      <c r="O582" s="151"/>
      <c r="P582" s="151"/>
      <c r="Q582" s="152"/>
      <c r="R582" s="152"/>
      <c r="S582" s="209" t="s">
        <v>963</v>
      </c>
      <c r="T582" s="209" t="s">
        <v>66</v>
      </c>
      <c r="U582" s="209" t="s">
        <v>67</v>
      </c>
      <c r="V582" s="209" t="s">
        <v>1470</v>
      </c>
      <c r="W582" s="153"/>
      <c r="X582" s="153"/>
      <c r="Y582" s="153"/>
      <c r="Z582" s="153"/>
      <c r="AA582" s="213">
        <v>6143.0</v>
      </c>
      <c r="AB582" s="213">
        <v>0.0</v>
      </c>
      <c r="AC582" s="24" t="s">
        <v>1923</v>
      </c>
      <c r="AD582" s="201">
        <v>5217.0</v>
      </c>
      <c r="AE582" s="134"/>
      <c r="AF582" s="209" t="str">
        <f t="shared" si="1"/>
        <v>Buenos Aires, Argentina</v>
      </c>
      <c r="AG582" s="209">
        <f t="shared" si="2"/>
        <v>1</v>
      </c>
      <c r="AH582" s="214">
        <f t="shared" si="3"/>
        <v>0</v>
      </c>
      <c r="AI582" s="214">
        <f t="shared" si="4"/>
        <v>0</v>
      </c>
      <c r="AJ582" s="213">
        <f t="shared" si="5"/>
        <v>6143</v>
      </c>
      <c r="AK582" s="213">
        <f t="shared" si="6"/>
        <v>6143</v>
      </c>
      <c r="AL582" s="156"/>
      <c r="AM582" s="156"/>
    </row>
    <row r="583">
      <c r="A583" s="209">
        <v>582.0</v>
      </c>
      <c r="B583" s="210">
        <v>44263.0</v>
      </c>
      <c r="C583" s="195" t="str">
        <f t="shared" si="7"/>
        <v>32021</v>
      </c>
      <c r="D583" s="211" t="s">
        <v>1924</v>
      </c>
      <c r="E583" s="209" t="s">
        <v>1925</v>
      </c>
      <c r="F583" s="211" t="s">
        <v>13</v>
      </c>
      <c r="G583" s="209" t="s">
        <v>64</v>
      </c>
      <c r="H583" s="209" t="s">
        <v>41</v>
      </c>
      <c r="I583" s="209" t="s">
        <v>643</v>
      </c>
      <c r="J583" s="151"/>
      <c r="K583" s="151"/>
      <c r="L583" s="151"/>
      <c r="M583" s="151"/>
      <c r="N583" s="212">
        <v>1.0</v>
      </c>
      <c r="O583" s="151"/>
      <c r="P583" s="151"/>
      <c r="Q583" s="152"/>
      <c r="R583" s="152"/>
      <c r="S583" s="209" t="s">
        <v>65</v>
      </c>
      <c r="T583" s="209" t="s">
        <v>66</v>
      </c>
      <c r="U583" s="209" t="s">
        <v>99</v>
      </c>
      <c r="V583" s="209" t="s">
        <v>84</v>
      </c>
      <c r="W583" s="153"/>
      <c r="X583" s="153"/>
      <c r="Y583" s="153"/>
      <c r="Z583" s="153"/>
      <c r="AA583" s="213">
        <v>6143.0</v>
      </c>
      <c r="AB583" s="213">
        <v>0.0</v>
      </c>
      <c r="AC583" s="24" t="s">
        <v>1926</v>
      </c>
      <c r="AD583" s="201">
        <v>4981.0</v>
      </c>
      <c r="AE583" s="134"/>
      <c r="AF583" s="209" t="str">
        <f t="shared" si="1"/>
        <v>Buenos Aires, Argentina</v>
      </c>
      <c r="AG583" s="209">
        <f t="shared" si="2"/>
        <v>1</v>
      </c>
      <c r="AH583" s="214">
        <f t="shared" si="3"/>
        <v>0</v>
      </c>
      <c r="AI583" s="214">
        <f t="shared" si="4"/>
        <v>0</v>
      </c>
      <c r="AJ583" s="213">
        <f t="shared" si="5"/>
        <v>6143</v>
      </c>
      <c r="AK583" s="213">
        <f t="shared" si="6"/>
        <v>6143</v>
      </c>
      <c r="AL583" s="156"/>
      <c r="AM583" s="156"/>
    </row>
    <row r="584">
      <c r="A584" s="209">
        <v>583.0</v>
      </c>
      <c r="B584" s="210">
        <v>44263.0</v>
      </c>
      <c r="C584" s="195" t="str">
        <f t="shared" si="7"/>
        <v>32021</v>
      </c>
      <c r="D584" s="211" t="s">
        <v>1927</v>
      </c>
      <c r="E584" s="209" t="s">
        <v>1928</v>
      </c>
      <c r="F584" s="211" t="s">
        <v>1929</v>
      </c>
      <c r="G584" s="209" t="s">
        <v>64</v>
      </c>
      <c r="H584" s="209" t="s">
        <v>41</v>
      </c>
      <c r="I584" s="209" t="s">
        <v>643</v>
      </c>
      <c r="J584" s="212">
        <v>1.0</v>
      </c>
      <c r="K584" s="212">
        <v>2.0</v>
      </c>
      <c r="L584" s="151"/>
      <c r="M584" s="151"/>
      <c r="N584" s="151"/>
      <c r="O584" s="151"/>
      <c r="P584" s="151"/>
      <c r="Q584" s="152"/>
      <c r="R584" s="209">
        <v>10.0</v>
      </c>
      <c r="S584" s="209" t="s">
        <v>65</v>
      </c>
      <c r="T584" s="209" t="s">
        <v>66</v>
      </c>
      <c r="U584" s="209" t="s">
        <v>67</v>
      </c>
      <c r="V584" s="209" t="s">
        <v>84</v>
      </c>
      <c r="W584" s="153"/>
      <c r="X584" s="153"/>
      <c r="Y584" s="153"/>
      <c r="Z584" s="213">
        <v>61430.0</v>
      </c>
      <c r="AA584" s="213">
        <v>14251.0</v>
      </c>
      <c r="AB584" s="213">
        <v>71255.0</v>
      </c>
      <c r="AC584" s="24" t="s">
        <v>1930</v>
      </c>
      <c r="AD584" s="195">
        <v>5013.0</v>
      </c>
      <c r="AE584" s="38"/>
      <c r="AF584" s="209" t="str">
        <f t="shared" si="1"/>
        <v>Buenos Aires, Argentina</v>
      </c>
      <c r="AG584" s="209">
        <f t="shared" si="2"/>
        <v>3</v>
      </c>
      <c r="AH584" s="214">
        <f t="shared" si="3"/>
        <v>0</v>
      </c>
      <c r="AI584" s="214">
        <f t="shared" si="4"/>
        <v>61430</v>
      </c>
      <c r="AJ584" s="213">
        <f t="shared" si="5"/>
        <v>85506</v>
      </c>
      <c r="AK584" s="213">
        <f t="shared" si="6"/>
        <v>146936</v>
      </c>
      <c r="AL584" s="156"/>
      <c r="AM584" s="156"/>
    </row>
    <row r="585">
      <c r="A585" s="209">
        <v>584.0</v>
      </c>
      <c r="B585" s="210">
        <v>44263.0</v>
      </c>
      <c r="C585" s="195" t="str">
        <f t="shared" si="7"/>
        <v>32021</v>
      </c>
      <c r="D585" s="211" t="s">
        <v>1931</v>
      </c>
      <c r="E585" s="209" t="s">
        <v>1932</v>
      </c>
      <c r="F585" s="211" t="s">
        <v>1488</v>
      </c>
      <c r="G585" s="209" t="s">
        <v>64</v>
      </c>
      <c r="H585" s="209" t="s">
        <v>41</v>
      </c>
      <c r="I585" s="209" t="s">
        <v>643</v>
      </c>
      <c r="J585" s="212">
        <v>3.0</v>
      </c>
      <c r="K585" s="212">
        <v>5.0</v>
      </c>
      <c r="L585" s="151"/>
      <c r="M585" s="151"/>
      <c r="N585" s="151"/>
      <c r="O585" s="151"/>
      <c r="P585" s="151"/>
      <c r="Q585" s="152"/>
      <c r="R585" s="152"/>
      <c r="S585" s="209" t="s">
        <v>43</v>
      </c>
      <c r="T585" s="209" t="s">
        <v>497</v>
      </c>
      <c r="U585" s="209" t="s">
        <v>67</v>
      </c>
      <c r="V585" s="209" t="s">
        <v>84</v>
      </c>
      <c r="W585" s="153"/>
      <c r="X585" s="153"/>
      <c r="Y585" s="153"/>
      <c r="Z585" s="153"/>
      <c r="AA585" s="213">
        <v>38699.0</v>
      </c>
      <c r="AB585" s="213">
        <v>193495.0</v>
      </c>
      <c r="AC585" s="24" t="s">
        <v>1933</v>
      </c>
      <c r="AD585" s="195">
        <v>4979.0</v>
      </c>
      <c r="AE585" s="38"/>
      <c r="AF585" s="209" t="str">
        <f t="shared" si="1"/>
        <v>Tucumán, Argentina</v>
      </c>
      <c r="AG585" s="209">
        <f t="shared" si="2"/>
        <v>8</v>
      </c>
      <c r="AH585" s="214">
        <f t="shared" si="3"/>
        <v>0</v>
      </c>
      <c r="AI585" s="214">
        <f t="shared" si="4"/>
        <v>0</v>
      </c>
      <c r="AJ585" s="213">
        <f t="shared" si="5"/>
        <v>232194</v>
      </c>
      <c r="AK585" s="213">
        <f t="shared" si="6"/>
        <v>232194</v>
      </c>
      <c r="AL585" s="156"/>
      <c r="AM585" s="156"/>
    </row>
    <row r="586">
      <c r="A586" s="209">
        <v>585.0</v>
      </c>
      <c r="B586" s="210">
        <v>44263.0</v>
      </c>
      <c r="C586" s="195" t="str">
        <f t="shared" si="7"/>
        <v>32021</v>
      </c>
      <c r="D586" s="211" t="s">
        <v>1934</v>
      </c>
      <c r="E586" s="209" t="s">
        <v>1935</v>
      </c>
      <c r="F586" s="211" t="s">
        <v>1643</v>
      </c>
      <c r="G586" s="209" t="s">
        <v>64</v>
      </c>
      <c r="H586" s="209" t="s">
        <v>41</v>
      </c>
      <c r="I586" s="209" t="s">
        <v>643</v>
      </c>
      <c r="J586" s="151"/>
      <c r="K586" s="151"/>
      <c r="L586" s="151"/>
      <c r="M586" s="151"/>
      <c r="N586" s="151"/>
      <c r="O586" s="151"/>
      <c r="P586" s="151"/>
      <c r="Q586" s="152"/>
      <c r="R586" s="209">
        <v>6.0</v>
      </c>
      <c r="S586" s="209" t="s">
        <v>65</v>
      </c>
      <c r="T586" s="209" t="s">
        <v>83</v>
      </c>
      <c r="U586" s="209" t="s">
        <v>67</v>
      </c>
      <c r="V586" s="209" t="s">
        <v>84</v>
      </c>
      <c r="W586" s="153"/>
      <c r="X586" s="153"/>
      <c r="Y586" s="153"/>
      <c r="Z586" s="213">
        <v>36858.0</v>
      </c>
      <c r="AA586" s="213">
        <v>0.0</v>
      </c>
      <c r="AB586" s="213">
        <v>0.0</v>
      </c>
      <c r="AC586" s="24" t="s">
        <v>1936</v>
      </c>
      <c r="AD586" s="195">
        <v>5021.0</v>
      </c>
      <c r="AE586" s="38"/>
      <c r="AF586" s="209" t="str">
        <f t="shared" si="1"/>
        <v>Capital Federal, Argentina</v>
      </c>
      <c r="AG586" s="209">
        <f t="shared" si="2"/>
        <v>0</v>
      </c>
      <c r="AH586" s="214">
        <f t="shared" si="3"/>
        <v>0</v>
      </c>
      <c r="AI586" s="214">
        <f t="shared" si="4"/>
        <v>36858</v>
      </c>
      <c r="AJ586" s="213">
        <f t="shared" si="5"/>
        <v>0</v>
      </c>
      <c r="AK586" s="213">
        <f t="shared" si="6"/>
        <v>36858</v>
      </c>
      <c r="AL586" s="156"/>
      <c r="AM586" s="156"/>
    </row>
    <row r="587">
      <c r="A587" s="209">
        <v>586.0</v>
      </c>
      <c r="B587" s="210">
        <v>44265.0</v>
      </c>
      <c r="C587" s="195" t="str">
        <f t="shared" si="7"/>
        <v>32021</v>
      </c>
      <c r="D587" s="211" t="s">
        <v>1937</v>
      </c>
      <c r="E587" s="209" t="s">
        <v>1938</v>
      </c>
      <c r="F587" s="211" t="s">
        <v>1939</v>
      </c>
      <c r="G587" s="209" t="s">
        <v>40</v>
      </c>
      <c r="H587" s="209" t="s">
        <v>41</v>
      </c>
      <c r="I587" s="209" t="s">
        <v>42</v>
      </c>
      <c r="J587" s="212">
        <v>1.0</v>
      </c>
      <c r="K587" s="212">
        <v>2.0</v>
      </c>
      <c r="L587" s="151"/>
      <c r="M587" s="212">
        <v>1.0</v>
      </c>
      <c r="N587" s="151"/>
      <c r="O587" s="151"/>
      <c r="P587" s="151"/>
      <c r="Q587" s="152"/>
      <c r="R587" s="152"/>
      <c r="S587" s="209" t="s">
        <v>65</v>
      </c>
      <c r="T587" s="209" t="s">
        <v>66</v>
      </c>
      <c r="U587" s="209" t="s">
        <v>53</v>
      </c>
      <c r="V587" s="209" t="s">
        <v>78</v>
      </c>
      <c r="W587" s="153"/>
      <c r="X587" s="153"/>
      <c r="Y587" s="153"/>
      <c r="Z587" s="153"/>
      <c r="AA587" s="213">
        <v>20394.0</v>
      </c>
      <c r="AB587" s="213">
        <v>163400.0</v>
      </c>
      <c r="AC587" s="24" t="s">
        <v>1940</v>
      </c>
      <c r="AD587" s="195">
        <v>4993.0</v>
      </c>
      <c r="AE587" s="38"/>
      <c r="AF587" s="209" t="str">
        <f t="shared" si="1"/>
        <v>Buenos Aires, Argentina</v>
      </c>
      <c r="AG587" s="209">
        <f t="shared" si="2"/>
        <v>4</v>
      </c>
      <c r="AH587" s="214">
        <f t="shared" si="3"/>
        <v>0</v>
      </c>
      <c r="AI587" s="214">
        <f t="shared" si="4"/>
        <v>0</v>
      </c>
      <c r="AJ587" s="213">
        <f t="shared" si="5"/>
        <v>183794</v>
      </c>
      <c r="AK587" s="213">
        <f t="shared" si="6"/>
        <v>183794</v>
      </c>
      <c r="AL587" s="156"/>
      <c r="AM587" s="156"/>
    </row>
    <row r="588">
      <c r="A588" s="209">
        <v>587.0</v>
      </c>
      <c r="B588" s="210">
        <v>44267.0</v>
      </c>
      <c r="C588" s="195" t="str">
        <f t="shared" si="7"/>
        <v>32021</v>
      </c>
      <c r="D588" s="211" t="s">
        <v>1941</v>
      </c>
      <c r="E588" s="215" t="s">
        <v>1942</v>
      </c>
      <c r="F588" s="211" t="s">
        <v>1423</v>
      </c>
      <c r="G588" s="209" t="s">
        <v>40</v>
      </c>
      <c r="H588" s="209" t="s">
        <v>41</v>
      </c>
      <c r="I588" s="209" t="s">
        <v>42</v>
      </c>
      <c r="J588" s="212">
        <v>1.0</v>
      </c>
      <c r="K588" s="151"/>
      <c r="L588" s="151"/>
      <c r="M588" s="151"/>
      <c r="N588" s="151"/>
      <c r="O588" s="151"/>
      <c r="P588" s="151"/>
      <c r="Q588" s="152"/>
      <c r="R588" s="152"/>
      <c r="S588" s="209" t="s">
        <v>72</v>
      </c>
      <c r="T588" s="209" t="s">
        <v>655</v>
      </c>
      <c r="U588" s="209" t="s">
        <v>45</v>
      </c>
      <c r="V588" s="209" t="s">
        <v>59</v>
      </c>
      <c r="W588" s="153"/>
      <c r="X588" s="153"/>
      <c r="Y588" s="153"/>
      <c r="Z588" s="153"/>
      <c r="AA588" s="213">
        <v>6143.0</v>
      </c>
      <c r="AB588" s="213">
        <v>61430.0</v>
      </c>
      <c r="AC588" s="24" t="s">
        <v>1943</v>
      </c>
      <c r="AD588" s="195">
        <v>5047.0</v>
      </c>
      <c r="AE588" s="38"/>
      <c r="AF588" s="209" t="str">
        <f t="shared" si="1"/>
        <v>La Pampa, Argentina</v>
      </c>
      <c r="AG588" s="209">
        <f t="shared" si="2"/>
        <v>1</v>
      </c>
      <c r="AH588" s="214">
        <f t="shared" si="3"/>
        <v>0</v>
      </c>
      <c r="AI588" s="214">
        <f t="shared" si="4"/>
        <v>0</v>
      </c>
      <c r="AJ588" s="213">
        <f t="shared" si="5"/>
        <v>67573</v>
      </c>
      <c r="AK588" s="213">
        <f t="shared" si="6"/>
        <v>67573</v>
      </c>
      <c r="AL588" s="156"/>
      <c r="AM588" s="156"/>
    </row>
    <row r="589">
      <c r="A589" s="209">
        <v>588.0</v>
      </c>
      <c r="B589" s="210">
        <v>44272.0</v>
      </c>
      <c r="C589" s="195" t="str">
        <f t="shared" si="7"/>
        <v>32021</v>
      </c>
      <c r="D589" s="211" t="s">
        <v>1944</v>
      </c>
      <c r="E589" s="209" t="s">
        <v>1945</v>
      </c>
      <c r="F589" s="211" t="s">
        <v>1946</v>
      </c>
      <c r="G589" s="209" t="s">
        <v>40</v>
      </c>
      <c r="H589" s="209" t="s">
        <v>41</v>
      </c>
      <c r="I589" s="209" t="s">
        <v>643</v>
      </c>
      <c r="J589" s="212">
        <v>1.0</v>
      </c>
      <c r="K589" s="151"/>
      <c r="L589" s="151"/>
      <c r="M589" s="151"/>
      <c r="N589" s="151"/>
      <c r="O589" s="151"/>
      <c r="P589" s="151"/>
      <c r="Q589" s="152"/>
      <c r="R589" s="209">
        <v>3.0</v>
      </c>
      <c r="S589" s="209" t="s">
        <v>98</v>
      </c>
      <c r="T589" s="209" t="s">
        <v>66</v>
      </c>
      <c r="U589" s="209" t="s">
        <v>53</v>
      </c>
      <c r="V589" s="209" t="s">
        <v>1470</v>
      </c>
      <c r="W589" s="153"/>
      <c r="X589" s="153"/>
      <c r="Y589" s="153"/>
      <c r="Z589" s="213">
        <v>12900.0</v>
      </c>
      <c r="AA589" s="213">
        <v>6143.0</v>
      </c>
      <c r="AB589" s="213">
        <v>30715.0</v>
      </c>
      <c r="AC589" s="24" t="s">
        <v>1947</v>
      </c>
      <c r="AD589" s="195">
        <v>5077.0</v>
      </c>
      <c r="AE589" s="38"/>
      <c r="AF589" s="209" t="str">
        <f t="shared" si="1"/>
        <v>Buenos Aires, Argentina</v>
      </c>
      <c r="AG589" s="209">
        <f t="shared" si="2"/>
        <v>1</v>
      </c>
      <c r="AH589" s="214">
        <f t="shared" si="3"/>
        <v>0</v>
      </c>
      <c r="AI589" s="214">
        <f t="shared" si="4"/>
        <v>12900</v>
      </c>
      <c r="AJ589" s="213">
        <f t="shared" si="5"/>
        <v>36858</v>
      </c>
      <c r="AK589" s="213">
        <f t="shared" si="6"/>
        <v>49758</v>
      </c>
      <c r="AL589" s="156"/>
      <c r="AM589" s="156"/>
    </row>
    <row r="590">
      <c r="A590" s="209">
        <v>589.0</v>
      </c>
      <c r="B590" s="210">
        <v>44272.0</v>
      </c>
      <c r="C590" s="195" t="str">
        <f t="shared" si="7"/>
        <v>32021</v>
      </c>
      <c r="D590" s="211" t="s">
        <v>1948</v>
      </c>
      <c r="E590" s="209" t="s">
        <v>1949</v>
      </c>
      <c r="F590" s="211" t="s">
        <v>1950</v>
      </c>
      <c r="G590" s="209" t="s">
        <v>64</v>
      </c>
      <c r="H590" s="209" t="s">
        <v>41</v>
      </c>
      <c r="I590" s="209" t="s">
        <v>643</v>
      </c>
      <c r="J590" s="151"/>
      <c r="K590" s="212">
        <v>4.0</v>
      </c>
      <c r="L590" s="212">
        <v>1.0</v>
      </c>
      <c r="M590" s="151"/>
      <c r="N590" s="151"/>
      <c r="O590" s="151"/>
      <c r="P590" s="151"/>
      <c r="Q590" s="152"/>
      <c r="R590" s="152"/>
      <c r="S590" s="209" t="s">
        <v>189</v>
      </c>
      <c r="T590" s="209" t="s">
        <v>66</v>
      </c>
      <c r="U590" s="209" t="s">
        <v>67</v>
      </c>
      <c r="V590" s="209" t="s">
        <v>84</v>
      </c>
      <c r="W590" s="153"/>
      <c r="X590" s="153"/>
      <c r="Y590" s="153"/>
      <c r="Z590" s="153"/>
      <c r="AA590" s="213">
        <v>18671.0</v>
      </c>
      <c r="AB590" s="213">
        <v>84029.0</v>
      </c>
      <c r="AC590" s="24" t="s">
        <v>1951</v>
      </c>
      <c r="AD590" s="195">
        <v>5061.0</v>
      </c>
      <c r="AE590" s="38"/>
      <c r="AF590" s="209" t="str">
        <f t="shared" si="1"/>
        <v>Buenos Aires, Argentina</v>
      </c>
      <c r="AG590" s="209">
        <f t="shared" si="2"/>
        <v>5</v>
      </c>
      <c r="AH590" s="214">
        <f t="shared" si="3"/>
        <v>0</v>
      </c>
      <c r="AI590" s="214">
        <f t="shared" si="4"/>
        <v>0</v>
      </c>
      <c r="AJ590" s="213">
        <f t="shared" si="5"/>
        <v>102700</v>
      </c>
      <c r="AK590" s="213">
        <f t="shared" si="6"/>
        <v>102700</v>
      </c>
      <c r="AL590" s="156"/>
      <c r="AM590" s="156"/>
    </row>
    <row r="591">
      <c r="A591" s="209">
        <v>590.0</v>
      </c>
      <c r="B591" s="210">
        <v>44272.0</v>
      </c>
      <c r="C591" s="195" t="str">
        <f t="shared" si="7"/>
        <v>32021</v>
      </c>
      <c r="D591" s="211" t="s">
        <v>1952</v>
      </c>
      <c r="E591" s="209" t="s">
        <v>1953</v>
      </c>
      <c r="F591" s="211" t="s">
        <v>1709</v>
      </c>
      <c r="G591" s="209" t="s">
        <v>64</v>
      </c>
      <c r="H591" s="209" t="s">
        <v>41</v>
      </c>
      <c r="I591" s="209" t="s">
        <v>643</v>
      </c>
      <c r="J591" s="212">
        <v>1.0</v>
      </c>
      <c r="K591" s="212">
        <v>3.0</v>
      </c>
      <c r="L591" s="151"/>
      <c r="M591" s="151"/>
      <c r="N591" s="151"/>
      <c r="O591" s="151"/>
      <c r="P591" s="151"/>
      <c r="Q591" s="152"/>
      <c r="R591" s="152"/>
      <c r="S591" s="209" t="s">
        <v>189</v>
      </c>
      <c r="T591" s="209" t="s">
        <v>66</v>
      </c>
      <c r="U591" s="209" t="s">
        <v>67</v>
      </c>
      <c r="V591" s="209" t="s">
        <v>84</v>
      </c>
      <c r="W591" s="153"/>
      <c r="X591" s="153"/>
      <c r="Y591" s="153"/>
      <c r="Z591" s="153"/>
      <c r="AA591" s="213">
        <v>18305.0</v>
      </c>
      <c r="AB591" s="213">
        <v>82373.0</v>
      </c>
      <c r="AC591" s="24" t="s">
        <v>1954</v>
      </c>
      <c r="AD591" s="195">
        <v>5063.0</v>
      </c>
      <c r="AE591" s="38"/>
      <c r="AF591" s="209" t="str">
        <f t="shared" si="1"/>
        <v>Buenos Aires, Argentina</v>
      </c>
      <c r="AG591" s="209">
        <f t="shared" si="2"/>
        <v>4</v>
      </c>
      <c r="AH591" s="214">
        <f t="shared" si="3"/>
        <v>0</v>
      </c>
      <c r="AI591" s="214">
        <f t="shared" si="4"/>
        <v>0</v>
      </c>
      <c r="AJ591" s="213">
        <f t="shared" si="5"/>
        <v>100678</v>
      </c>
      <c r="AK591" s="213">
        <f t="shared" si="6"/>
        <v>100678</v>
      </c>
      <c r="AL591" s="156"/>
      <c r="AM591" s="156"/>
    </row>
    <row r="592">
      <c r="A592" s="209">
        <v>591.0</v>
      </c>
      <c r="B592" s="210">
        <v>44272.0</v>
      </c>
      <c r="C592" s="195" t="str">
        <f t="shared" si="7"/>
        <v>32021</v>
      </c>
      <c r="D592" s="211" t="s">
        <v>1955</v>
      </c>
      <c r="E592" s="209" t="s">
        <v>1956</v>
      </c>
      <c r="F592" s="211" t="s">
        <v>1534</v>
      </c>
      <c r="G592" s="209" t="s">
        <v>64</v>
      </c>
      <c r="H592" s="209" t="s">
        <v>41</v>
      </c>
      <c r="I592" s="209" t="s">
        <v>643</v>
      </c>
      <c r="J592" s="212">
        <v>2.0</v>
      </c>
      <c r="K592" s="212">
        <v>3.0</v>
      </c>
      <c r="L592" s="151"/>
      <c r="M592" s="151"/>
      <c r="N592" s="151"/>
      <c r="O592" s="151"/>
      <c r="P592" s="151"/>
      <c r="Q592" s="152"/>
      <c r="R592" s="152"/>
      <c r="S592" s="209" t="s">
        <v>189</v>
      </c>
      <c r="T592" s="209" t="s">
        <v>539</v>
      </c>
      <c r="U592" s="209" t="s">
        <v>67</v>
      </c>
      <c r="V592" s="209" t="s">
        <v>84</v>
      </c>
      <c r="W592" s="153"/>
      <c r="X592" s="153"/>
      <c r="Y592" s="153"/>
      <c r="Z592" s="153"/>
      <c r="AA592" s="213">
        <v>24448.0</v>
      </c>
      <c r="AB592" s="213">
        <v>110016.0</v>
      </c>
      <c r="AC592" s="24" t="s">
        <v>1957</v>
      </c>
      <c r="AD592" s="195">
        <v>5065.0</v>
      </c>
      <c r="AE592" s="38"/>
      <c r="AF592" s="209" t="str">
        <f t="shared" si="1"/>
        <v>Misiones, Argentina</v>
      </c>
      <c r="AG592" s="209">
        <f t="shared" si="2"/>
        <v>5</v>
      </c>
      <c r="AH592" s="214">
        <f t="shared" si="3"/>
        <v>0</v>
      </c>
      <c r="AI592" s="214">
        <f t="shared" si="4"/>
        <v>0</v>
      </c>
      <c r="AJ592" s="213">
        <f t="shared" si="5"/>
        <v>134464</v>
      </c>
      <c r="AK592" s="213">
        <f t="shared" si="6"/>
        <v>134464</v>
      </c>
      <c r="AL592" s="156"/>
      <c r="AM592" s="156"/>
    </row>
    <row r="593">
      <c r="A593" s="209">
        <v>592.0</v>
      </c>
      <c r="B593" s="210">
        <v>44272.0</v>
      </c>
      <c r="C593" s="195" t="str">
        <f t="shared" si="7"/>
        <v>32021</v>
      </c>
      <c r="D593" s="211" t="s">
        <v>1958</v>
      </c>
      <c r="E593" s="209" t="s">
        <v>1959</v>
      </c>
      <c r="F593" s="211" t="s">
        <v>1423</v>
      </c>
      <c r="G593" s="209" t="s">
        <v>64</v>
      </c>
      <c r="H593" s="209" t="s">
        <v>41</v>
      </c>
      <c r="I593" s="209" t="s">
        <v>643</v>
      </c>
      <c r="J593" s="212">
        <v>1.0</v>
      </c>
      <c r="K593" s="151"/>
      <c r="L593" s="151"/>
      <c r="M593" s="151"/>
      <c r="N593" s="151"/>
      <c r="O593" s="151"/>
      <c r="P593" s="151"/>
      <c r="Q593" s="152"/>
      <c r="R593" s="152"/>
      <c r="S593" s="209" t="s">
        <v>189</v>
      </c>
      <c r="T593" s="209" t="s">
        <v>66</v>
      </c>
      <c r="U593" s="209" t="s">
        <v>67</v>
      </c>
      <c r="V593" s="209" t="s">
        <v>84</v>
      </c>
      <c r="W593" s="153"/>
      <c r="X593" s="153"/>
      <c r="Y593" s="153"/>
      <c r="Z593" s="153"/>
      <c r="AA593" s="213">
        <v>6143.0</v>
      </c>
      <c r="AB593" s="213">
        <v>30715.0</v>
      </c>
      <c r="AC593" s="24" t="s">
        <v>1960</v>
      </c>
      <c r="AD593" s="195">
        <v>5067.0</v>
      </c>
      <c r="AE593" s="38"/>
      <c r="AF593" s="209" t="str">
        <f t="shared" si="1"/>
        <v>Buenos Aires, Argentina</v>
      </c>
      <c r="AG593" s="209">
        <f t="shared" si="2"/>
        <v>1</v>
      </c>
      <c r="AH593" s="214">
        <f t="shared" si="3"/>
        <v>0</v>
      </c>
      <c r="AI593" s="214">
        <f t="shared" si="4"/>
        <v>0</v>
      </c>
      <c r="AJ593" s="213">
        <f t="shared" si="5"/>
        <v>36858</v>
      </c>
      <c r="AK593" s="213">
        <f t="shared" si="6"/>
        <v>36858</v>
      </c>
      <c r="AL593" s="156"/>
      <c r="AM593" s="156"/>
    </row>
    <row r="594">
      <c r="A594" s="209">
        <v>593.0</v>
      </c>
      <c r="B594" s="210">
        <v>44272.0</v>
      </c>
      <c r="C594" s="195" t="str">
        <f t="shared" si="7"/>
        <v>32021</v>
      </c>
      <c r="D594" s="211" t="s">
        <v>1961</v>
      </c>
      <c r="E594" s="209" t="s">
        <v>1962</v>
      </c>
      <c r="F594" s="211" t="s">
        <v>1423</v>
      </c>
      <c r="G594" s="209" t="s">
        <v>64</v>
      </c>
      <c r="H594" s="209" t="s">
        <v>227</v>
      </c>
      <c r="I594" s="209" t="s">
        <v>643</v>
      </c>
      <c r="J594" s="212">
        <v>1.0</v>
      </c>
      <c r="K594" s="151"/>
      <c r="L594" s="151"/>
      <c r="M594" s="151"/>
      <c r="N594" s="151"/>
      <c r="O594" s="151"/>
      <c r="P594" s="151"/>
      <c r="Q594" s="152"/>
      <c r="R594" s="152"/>
      <c r="S594" s="209" t="s">
        <v>89</v>
      </c>
      <c r="T594" s="209" t="s">
        <v>66</v>
      </c>
      <c r="U594" s="209" t="s">
        <v>67</v>
      </c>
      <c r="V594" s="209" t="s">
        <v>84</v>
      </c>
      <c r="W594" s="153"/>
      <c r="X594" s="153"/>
      <c r="Y594" s="153"/>
      <c r="Z594" s="153"/>
      <c r="AA594" s="213">
        <v>8970.0</v>
      </c>
      <c r="AB594" s="213">
        <v>67275.0</v>
      </c>
      <c r="AC594" s="24" t="s">
        <v>1963</v>
      </c>
      <c r="AD594" s="195">
        <v>4917.0</v>
      </c>
      <c r="AE594" s="38"/>
      <c r="AF594" s="209" t="str">
        <f t="shared" si="1"/>
        <v>Buenos Aires, Argentina</v>
      </c>
      <c r="AG594" s="209">
        <f t="shared" si="2"/>
        <v>1</v>
      </c>
      <c r="AH594" s="214">
        <f t="shared" si="3"/>
        <v>0</v>
      </c>
      <c r="AI594" s="214">
        <f t="shared" si="4"/>
        <v>0</v>
      </c>
      <c r="AJ594" s="213">
        <f t="shared" si="5"/>
        <v>76245</v>
      </c>
      <c r="AK594" s="213">
        <f t="shared" si="6"/>
        <v>76245</v>
      </c>
      <c r="AL594" s="156"/>
      <c r="AM594" s="156"/>
    </row>
    <row r="595">
      <c r="A595" s="209">
        <v>594.0</v>
      </c>
      <c r="B595" s="210">
        <v>44273.0</v>
      </c>
      <c r="C595" s="195" t="str">
        <f t="shared" si="7"/>
        <v>32021</v>
      </c>
      <c r="D595" s="211" t="s">
        <v>1964</v>
      </c>
      <c r="E595" s="209" t="s">
        <v>1965</v>
      </c>
      <c r="F595" s="211" t="s">
        <v>1966</v>
      </c>
      <c r="G595" s="209" t="s">
        <v>64</v>
      </c>
      <c r="H595" s="209" t="s">
        <v>41</v>
      </c>
      <c r="I595" s="209" t="s">
        <v>643</v>
      </c>
      <c r="J595" s="151"/>
      <c r="K595" s="212">
        <v>1.0</v>
      </c>
      <c r="L595" s="151"/>
      <c r="M595" s="151"/>
      <c r="N595" s="151"/>
      <c r="O595" s="151"/>
      <c r="P595" s="151"/>
      <c r="Q595" s="152"/>
      <c r="R595" s="209">
        <v>3.0</v>
      </c>
      <c r="S595" s="209" t="s">
        <v>105</v>
      </c>
      <c r="T595" s="209" t="s">
        <v>73</v>
      </c>
      <c r="U595" s="209" t="s">
        <v>67</v>
      </c>
      <c r="V595" s="209" t="s">
        <v>1470</v>
      </c>
      <c r="W595" s="153"/>
      <c r="X595" s="153"/>
      <c r="Y595" s="153"/>
      <c r="Z595" s="213">
        <v>14742.0</v>
      </c>
      <c r="AA595" s="213">
        <v>4054.0</v>
      </c>
      <c r="AB595" s="213">
        <v>20270.0</v>
      </c>
      <c r="AC595" s="24" t="s">
        <v>1967</v>
      </c>
      <c r="AD595" s="195">
        <v>5096.0</v>
      </c>
      <c r="AE595" s="38"/>
      <c r="AF595" s="209" t="str">
        <f t="shared" si="1"/>
        <v>Tierra de Fuego, Argentina</v>
      </c>
      <c r="AG595" s="209">
        <f t="shared" si="2"/>
        <v>1</v>
      </c>
      <c r="AH595" s="214">
        <f t="shared" si="3"/>
        <v>0</v>
      </c>
      <c r="AI595" s="214">
        <f t="shared" si="4"/>
        <v>14742</v>
      </c>
      <c r="AJ595" s="213">
        <f t="shared" si="5"/>
        <v>24324</v>
      </c>
      <c r="AK595" s="213">
        <f t="shared" si="6"/>
        <v>39066</v>
      </c>
      <c r="AL595" s="156"/>
      <c r="AM595" s="156"/>
    </row>
    <row r="596">
      <c r="A596" s="209">
        <v>595.0</v>
      </c>
      <c r="B596" s="210">
        <v>44273.0</v>
      </c>
      <c r="C596" s="195" t="str">
        <f t="shared" si="7"/>
        <v>32021</v>
      </c>
      <c r="D596" s="211" t="s">
        <v>1968</v>
      </c>
      <c r="E596" s="209" t="s">
        <v>1969</v>
      </c>
      <c r="F596" s="211" t="s">
        <v>1423</v>
      </c>
      <c r="G596" s="209" t="s">
        <v>64</v>
      </c>
      <c r="H596" s="209" t="s">
        <v>41</v>
      </c>
      <c r="I596" s="209" t="s">
        <v>643</v>
      </c>
      <c r="J596" s="212">
        <v>1.0</v>
      </c>
      <c r="K596" s="151"/>
      <c r="L596" s="151"/>
      <c r="M596" s="151"/>
      <c r="N596" s="151"/>
      <c r="O596" s="151"/>
      <c r="P596" s="151"/>
      <c r="Q596" s="152"/>
      <c r="R596" s="152"/>
      <c r="S596" s="209" t="s">
        <v>105</v>
      </c>
      <c r="T596" s="209" t="s">
        <v>66</v>
      </c>
      <c r="U596" s="209" t="s">
        <v>99</v>
      </c>
      <c r="V596" s="209" t="s">
        <v>1470</v>
      </c>
      <c r="W596" s="153"/>
      <c r="X596" s="153"/>
      <c r="Y596" s="153"/>
      <c r="Z596" s="153"/>
      <c r="AA596" s="213">
        <v>6143.0</v>
      </c>
      <c r="AB596" s="213">
        <v>30715.0</v>
      </c>
      <c r="AC596" s="24" t="s">
        <v>1970</v>
      </c>
      <c r="AD596" s="195">
        <v>5100.0</v>
      </c>
      <c r="AE596" s="38"/>
      <c r="AF596" s="209" t="str">
        <f t="shared" si="1"/>
        <v>Buenos Aires, Argentina</v>
      </c>
      <c r="AG596" s="209">
        <f t="shared" si="2"/>
        <v>1</v>
      </c>
      <c r="AH596" s="214">
        <f t="shared" si="3"/>
        <v>0</v>
      </c>
      <c r="AI596" s="214">
        <f t="shared" si="4"/>
        <v>0</v>
      </c>
      <c r="AJ596" s="213">
        <f t="shared" si="5"/>
        <v>36858</v>
      </c>
      <c r="AK596" s="213">
        <f t="shared" si="6"/>
        <v>36858</v>
      </c>
      <c r="AL596" s="156"/>
      <c r="AM596" s="156"/>
    </row>
    <row r="597">
      <c r="A597" s="209">
        <v>596.0</v>
      </c>
      <c r="B597" s="210">
        <v>44274.0</v>
      </c>
      <c r="C597" s="195" t="str">
        <f t="shared" si="7"/>
        <v>32021</v>
      </c>
      <c r="D597" s="211" t="s">
        <v>1971</v>
      </c>
      <c r="E597" s="209" t="s">
        <v>1972</v>
      </c>
      <c r="F597" s="211" t="s">
        <v>1463</v>
      </c>
      <c r="G597" s="209" t="s">
        <v>40</v>
      </c>
      <c r="H597" s="209" t="s">
        <v>41</v>
      </c>
      <c r="I597" s="209" t="s">
        <v>42</v>
      </c>
      <c r="J597" s="212">
        <v>1.0</v>
      </c>
      <c r="K597" s="212">
        <v>2.0</v>
      </c>
      <c r="L597" s="151"/>
      <c r="M597" s="151"/>
      <c r="N597" s="151"/>
      <c r="O597" s="151"/>
      <c r="P597" s="151"/>
      <c r="Q597" s="152"/>
      <c r="R597" s="152"/>
      <c r="S597" s="209" t="s">
        <v>189</v>
      </c>
      <c r="T597" s="209" t="s">
        <v>66</v>
      </c>
      <c r="U597" s="209" t="s">
        <v>163</v>
      </c>
      <c r="V597" s="209" t="s">
        <v>59</v>
      </c>
      <c r="W597" s="153"/>
      <c r="X597" s="153"/>
      <c r="Y597" s="153"/>
      <c r="Z597" s="153"/>
      <c r="AA597" s="213">
        <v>14251.0</v>
      </c>
      <c r="AB597" s="213">
        <v>101970.0</v>
      </c>
      <c r="AC597" s="24" t="s">
        <v>1973</v>
      </c>
      <c r="AD597" s="195">
        <v>5107.0</v>
      </c>
      <c r="AE597" s="38"/>
      <c r="AF597" s="209" t="str">
        <f t="shared" si="1"/>
        <v>Buenos Aires, Argentina</v>
      </c>
      <c r="AG597" s="209">
        <f t="shared" si="2"/>
        <v>3</v>
      </c>
      <c r="AH597" s="214">
        <f t="shared" si="3"/>
        <v>0</v>
      </c>
      <c r="AI597" s="214">
        <f t="shared" si="4"/>
        <v>0</v>
      </c>
      <c r="AJ597" s="213">
        <f t="shared" si="5"/>
        <v>116221</v>
      </c>
      <c r="AK597" s="213">
        <f t="shared" si="6"/>
        <v>116221</v>
      </c>
      <c r="AL597" s="156"/>
      <c r="AM597" s="156"/>
    </row>
    <row r="598">
      <c r="A598" s="209">
        <v>597.0</v>
      </c>
      <c r="B598" s="210">
        <v>44274.0</v>
      </c>
      <c r="C598" s="195" t="str">
        <f t="shared" si="7"/>
        <v>32021</v>
      </c>
      <c r="D598" s="211" t="s">
        <v>1974</v>
      </c>
      <c r="E598" s="209" t="s">
        <v>1754</v>
      </c>
      <c r="F598" s="211" t="s">
        <v>1423</v>
      </c>
      <c r="G598" s="209" t="s">
        <v>64</v>
      </c>
      <c r="H598" s="209" t="s">
        <v>41</v>
      </c>
      <c r="I598" s="209" t="s">
        <v>643</v>
      </c>
      <c r="J598" s="212">
        <v>1.0</v>
      </c>
      <c r="K598" s="151"/>
      <c r="L598" s="151"/>
      <c r="M598" s="151"/>
      <c r="N598" s="151"/>
      <c r="O598" s="151"/>
      <c r="P598" s="151"/>
      <c r="Q598" s="152"/>
      <c r="R598" s="152"/>
      <c r="S598" s="209" t="s">
        <v>189</v>
      </c>
      <c r="T598" s="209" t="s">
        <v>66</v>
      </c>
      <c r="U598" s="209" t="s">
        <v>67</v>
      </c>
      <c r="V598" s="209" t="s">
        <v>1470</v>
      </c>
      <c r="W598" s="153"/>
      <c r="X598" s="153"/>
      <c r="Y598" s="153"/>
      <c r="Z598" s="153"/>
      <c r="AA598" s="213">
        <v>6143.0</v>
      </c>
      <c r="AB598" s="213">
        <v>30715.0</v>
      </c>
      <c r="AC598" s="24" t="s">
        <v>1975</v>
      </c>
      <c r="AD598" s="195">
        <v>5109.0</v>
      </c>
      <c r="AE598" s="38"/>
      <c r="AF598" s="209" t="str">
        <f t="shared" si="1"/>
        <v>Buenos Aires, Argentina</v>
      </c>
      <c r="AG598" s="209">
        <f t="shared" si="2"/>
        <v>1</v>
      </c>
      <c r="AH598" s="214">
        <f t="shared" si="3"/>
        <v>0</v>
      </c>
      <c r="AI598" s="214">
        <f t="shared" si="4"/>
        <v>0</v>
      </c>
      <c r="AJ598" s="213">
        <f t="shared" si="5"/>
        <v>36858</v>
      </c>
      <c r="AK598" s="213">
        <f t="shared" si="6"/>
        <v>36858</v>
      </c>
      <c r="AL598" s="156"/>
      <c r="AM598" s="156"/>
    </row>
    <row r="599">
      <c r="A599" s="209">
        <v>598.0</v>
      </c>
      <c r="B599" s="210">
        <v>44278.0</v>
      </c>
      <c r="C599" s="195" t="str">
        <f t="shared" si="7"/>
        <v>32021</v>
      </c>
      <c r="D599" s="211" t="s">
        <v>1976</v>
      </c>
      <c r="E599" s="209" t="s">
        <v>1977</v>
      </c>
      <c r="F599" s="211" t="s">
        <v>1423</v>
      </c>
      <c r="G599" s="209" t="s">
        <v>64</v>
      </c>
      <c r="H599" s="209" t="s">
        <v>41</v>
      </c>
      <c r="I599" s="209" t="s">
        <v>643</v>
      </c>
      <c r="J599" s="212">
        <v>1.0</v>
      </c>
      <c r="K599" s="151"/>
      <c r="L599" s="151"/>
      <c r="M599" s="151"/>
      <c r="N599" s="151"/>
      <c r="O599" s="151"/>
      <c r="P599" s="151"/>
      <c r="Q599" s="152"/>
      <c r="R599" s="152"/>
      <c r="S599" s="209" t="s">
        <v>98</v>
      </c>
      <c r="T599" s="209" t="s">
        <v>83</v>
      </c>
      <c r="U599" s="209" t="s">
        <v>67</v>
      </c>
      <c r="V599" s="209" t="s">
        <v>1470</v>
      </c>
      <c r="W599" s="153"/>
      <c r="X599" s="153"/>
      <c r="Y599" s="153"/>
      <c r="Z599" s="153"/>
      <c r="AA599" s="213">
        <v>6143.0</v>
      </c>
      <c r="AB599" s="213">
        <v>30715.0</v>
      </c>
      <c r="AC599" s="24" t="s">
        <v>1978</v>
      </c>
      <c r="AD599" s="195">
        <v>5127.0</v>
      </c>
      <c r="AE599" s="38"/>
      <c r="AF599" s="209" t="str">
        <f t="shared" si="1"/>
        <v>Capital Federal, Argentina</v>
      </c>
      <c r="AG599" s="209">
        <f t="shared" si="2"/>
        <v>1</v>
      </c>
      <c r="AH599" s="214">
        <f t="shared" si="3"/>
        <v>0</v>
      </c>
      <c r="AI599" s="214">
        <f t="shared" si="4"/>
        <v>0</v>
      </c>
      <c r="AJ599" s="213">
        <f t="shared" si="5"/>
        <v>36858</v>
      </c>
      <c r="AK599" s="213">
        <f t="shared" si="6"/>
        <v>36858</v>
      </c>
      <c r="AL599" s="156"/>
      <c r="AM599" s="156"/>
    </row>
    <row r="600">
      <c r="A600" s="209">
        <v>599.0</v>
      </c>
      <c r="B600" s="210">
        <v>44278.0</v>
      </c>
      <c r="C600" s="195" t="str">
        <f t="shared" si="7"/>
        <v>32021</v>
      </c>
      <c r="D600" s="211" t="s">
        <v>1979</v>
      </c>
      <c r="E600" s="209" t="s">
        <v>1980</v>
      </c>
      <c r="F600" s="211" t="s">
        <v>1492</v>
      </c>
      <c r="G600" s="209" t="s">
        <v>64</v>
      </c>
      <c r="H600" s="209" t="s">
        <v>41</v>
      </c>
      <c r="I600" s="209" t="s">
        <v>643</v>
      </c>
      <c r="J600" s="151"/>
      <c r="K600" s="151"/>
      <c r="L600" s="151"/>
      <c r="M600" s="151"/>
      <c r="N600" s="212">
        <v>1.0</v>
      </c>
      <c r="O600" s="151"/>
      <c r="P600" s="151"/>
      <c r="Q600" s="152"/>
      <c r="R600" s="152"/>
      <c r="S600" s="209" t="s">
        <v>65</v>
      </c>
      <c r="T600" s="209" t="s">
        <v>83</v>
      </c>
      <c r="U600" s="209" t="s">
        <v>67</v>
      </c>
      <c r="V600" s="209" t="s">
        <v>1470</v>
      </c>
      <c r="W600" s="153"/>
      <c r="X600" s="153"/>
      <c r="Y600" s="153"/>
      <c r="Z600" s="153"/>
      <c r="AA600" s="213">
        <v>6143.0</v>
      </c>
      <c r="AB600" s="213">
        <v>0.0</v>
      </c>
      <c r="AC600" s="24" t="s">
        <v>1981</v>
      </c>
      <c r="AD600" s="195">
        <v>5131.0</v>
      </c>
      <c r="AE600" s="38"/>
      <c r="AF600" s="209" t="str">
        <f t="shared" si="1"/>
        <v>Capital Federal, Argentina</v>
      </c>
      <c r="AG600" s="209">
        <f t="shared" si="2"/>
        <v>1</v>
      </c>
      <c r="AH600" s="214">
        <f t="shared" si="3"/>
        <v>0</v>
      </c>
      <c r="AI600" s="214">
        <f t="shared" si="4"/>
        <v>0</v>
      </c>
      <c r="AJ600" s="213">
        <f t="shared" si="5"/>
        <v>6143</v>
      </c>
      <c r="AK600" s="213">
        <f t="shared" si="6"/>
        <v>6143</v>
      </c>
      <c r="AL600" s="156"/>
      <c r="AM600" s="156"/>
    </row>
    <row r="601">
      <c r="A601" s="209">
        <v>600.0</v>
      </c>
      <c r="B601" s="210">
        <v>44278.0</v>
      </c>
      <c r="C601" s="195" t="str">
        <f t="shared" si="7"/>
        <v>32021</v>
      </c>
      <c r="D601" s="211" t="s">
        <v>1982</v>
      </c>
      <c r="E601" s="209" t="s">
        <v>1983</v>
      </c>
      <c r="F601" s="211" t="s">
        <v>1415</v>
      </c>
      <c r="G601" s="209" t="s">
        <v>64</v>
      </c>
      <c r="H601" s="209" t="s">
        <v>41</v>
      </c>
      <c r="I601" s="209" t="s">
        <v>643</v>
      </c>
      <c r="J601" s="151"/>
      <c r="K601" s="212">
        <v>1.0</v>
      </c>
      <c r="L601" s="151"/>
      <c r="M601" s="151"/>
      <c r="N601" s="151"/>
      <c r="O601" s="151"/>
      <c r="P601" s="151"/>
      <c r="Q601" s="152"/>
      <c r="R601" s="152"/>
      <c r="S601" s="209" t="s">
        <v>65</v>
      </c>
      <c r="T601" s="209" t="s">
        <v>66</v>
      </c>
      <c r="U601" s="209" t="s">
        <v>67</v>
      </c>
      <c r="V601" s="209" t="s">
        <v>1984</v>
      </c>
      <c r="W601" s="153"/>
      <c r="X601" s="153"/>
      <c r="Y601" s="153"/>
      <c r="Z601" s="153"/>
      <c r="AA601" s="213">
        <v>4054.0</v>
      </c>
      <c r="AB601" s="213">
        <v>20270.0</v>
      </c>
      <c r="AC601" s="24" t="s">
        <v>1985</v>
      </c>
      <c r="AD601" s="195">
        <v>5135.0</v>
      </c>
      <c r="AE601" s="38"/>
      <c r="AF601" s="209" t="str">
        <f t="shared" si="1"/>
        <v>Buenos Aires, Argentina</v>
      </c>
      <c r="AG601" s="209">
        <f t="shared" si="2"/>
        <v>1</v>
      </c>
      <c r="AH601" s="214">
        <f t="shared" si="3"/>
        <v>0</v>
      </c>
      <c r="AI601" s="214">
        <f t="shared" si="4"/>
        <v>0</v>
      </c>
      <c r="AJ601" s="213">
        <f t="shared" si="5"/>
        <v>24324</v>
      </c>
      <c r="AK601" s="213">
        <f t="shared" si="6"/>
        <v>24324</v>
      </c>
      <c r="AL601" s="156"/>
      <c r="AM601" s="156"/>
    </row>
    <row r="602">
      <c r="A602" s="209">
        <v>601.0</v>
      </c>
      <c r="B602" s="210">
        <v>44280.0</v>
      </c>
      <c r="C602" s="195" t="str">
        <f t="shared" si="7"/>
        <v>32021</v>
      </c>
      <c r="D602" s="211" t="s">
        <v>1986</v>
      </c>
      <c r="E602" s="209" t="s">
        <v>1773</v>
      </c>
      <c r="F602" s="211" t="s">
        <v>1415</v>
      </c>
      <c r="G602" s="209" t="s">
        <v>64</v>
      </c>
      <c r="H602" s="209" t="s">
        <v>41</v>
      </c>
      <c r="I602" s="209" t="s">
        <v>643</v>
      </c>
      <c r="J602" s="151"/>
      <c r="K602" s="212">
        <v>1.0</v>
      </c>
      <c r="L602" s="151"/>
      <c r="M602" s="151"/>
      <c r="N602" s="151"/>
      <c r="O602" s="151"/>
      <c r="P602" s="151"/>
      <c r="Q602" s="152"/>
      <c r="R602" s="152"/>
      <c r="S602" s="209" t="s">
        <v>137</v>
      </c>
      <c r="T602" s="209" t="s">
        <v>83</v>
      </c>
      <c r="U602" s="209" t="s">
        <v>67</v>
      </c>
      <c r="V602" s="209" t="s">
        <v>1470</v>
      </c>
      <c r="W602" s="153"/>
      <c r="X602" s="153"/>
      <c r="Y602" s="153"/>
      <c r="Z602" s="153"/>
      <c r="AA602" s="213">
        <v>4054.0</v>
      </c>
      <c r="AB602" s="213">
        <v>20270.0</v>
      </c>
      <c r="AC602" s="24" t="s">
        <v>1987</v>
      </c>
      <c r="AD602" s="195">
        <v>5145.0</v>
      </c>
      <c r="AE602" s="38"/>
      <c r="AF602" s="209" t="str">
        <f t="shared" si="1"/>
        <v>Capital Federal, Argentina</v>
      </c>
      <c r="AG602" s="209">
        <f t="shared" si="2"/>
        <v>1</v>
      </c>
      <c r="AH602" s="214">
        <f t="shared" si="3"/>
        <v>0</v>
      </c>
      <c r="AI602" s="214">
        <f t="shared" si="4"/>
        <v>0</v>
      </c>
      <c r="AJ602" s="213">
        <f t="shared" si="5"/>
        <v>24324</v>
      </c>
      <c r="AK602" s="213">
        <f t="shared" si="6"/>
        <v>24324</v>
      </c>
      <c r="AL602" s="156"/>
      <c r="AM602" s="156"/>
    </row>
    <row r="603">
      <c r="A603" s="209">
        <v>602.0</v>
      </c>
      <c r="B603" s="210">
        <v>44281.0</v>
      </c>
      <c r="C603" s="195" t="str">
        <f t="shared" si="7"/>
        <v>32021</v>
      </c>
      <c r="D603" s="211" t="s">
        <v>1629</v>
      </c>
      <c r="E603" s="209" t="s">
        <v>1988</v>
      </c>
      <c r="F603" s="211" t="s">
        <v>1592</v>
      </c>
      <c r="G603" s="209" t="s">
        <v>64</v>
      </c>
      <c r="H603" s="209" t="s">
        <v>41</v>
      </c>
      <c r="I603" s="209" t="s">
        <v>42</v>
      </c>
      <c r="J603" s="212">
        <v>1.0</v>
      </c>
      <c r="K603" s="212">
        <v>1.0</v>
      </c>
      <c r="L603" s="151"/>
      <c r="M603" s="151"/>
      <c r="N603" s="151"/>
      <c r="O603" s="151"/>
      <c r="P603" s="151"/>
      <c r="Q603" s="152"/>
      <c r="R603" s="152"/>
      <c r="S603" s="209" t="s">
        <v>105</v>
      </c>
      <c r="T603" s="209" t="s">
        <v>66</v>
      </c>
      <c r="U603" s="209" t="s">
        <v>67</v>
      </c>
      <c r="V603" s="209" t="s">
        <v>59</v>
      </c>
      <c r="W603" s="153"/>
      <c r="X603" s="153"/>
      <c r="Y603" s="153"/>
      <c r="Z603" s="153"/>
      <c r="AA603" s="213">
        <v>10197.0</v>
      </c>
      <c r="AB603" s="213">
        <v>50985.0</v>
      </c>
      <c r="AC603" s="24" t="s">
        <v>1989</v>
      </c>
      <c r="AD603" s="195">
        <v>5151.0</v>
      </c>
      <c r="AE603" s="38"/>
      <c r="AF603" s="209" t="str">
        <f t="shared" si="1"/>
        <v>Buenos Aires, Argentina</v>
      </c>
      <c r="AG603" s="209">
        <f t="shared" si="2"/>
        <v>2</v>
      </c>
      <c r="AH603" s="214">
        <f t="shared" si="3"/>
        <v>0</v>
      </c>
      <c r="AI603" s="214">
        <f t="shared" si="4"/>
        <v>0</v>
      </c>
      <c r="AJ603" s="213">
        <f t="shared" si="5"/>
        <v>61182</v>
      </c>
      <c r="AK603" s="213">
        <f t="shared" si="6"/>
        <v>61182</v>
      </c>
      <c r="AL603" s="156"/>
      <c r="AM603" s="156"/>
    </row>
    <row r="604">
      <c r="A604" s="209">
        <v>603.0</v>
      </c>
      <c r="B604" s="210">
        <v>44281.0</v>
      </c>
      <c r="C604" s="195" t="str">
        <f t="shared" si="7"/>
        <v>32021</v>
      </c>
      <c r="D604" s="211" t="s">
        <v>1990</v>
      </c>
      <c r="E604" s="209" t="s">
        <v>1991</v>
      </c>
      <c r="F604" s="211" t="s">
        <v>1415</v>
      </c>
      <c r="G604" s="209" t="s">
        <v>64</v>
      </c>
      <c r="H604" s="209" t="s">
        <v>41</v>
      </c>
      <c r="I604" s="209" t="s">
        <v>643</v>
      </c>
      <c r="J604" s="151"/>
      <c r="K604" s="212">
        <v>1.0</v>
      </c>
      <c r="L604" s="151"/>
      <c r="M604" s="151"/>
      <c r="N604" s="151"/>
      <c r="O604" s="151"/>
      <c r="P604" s="151"/>
      <c r="Q604" s="152"/>
      <c r="R604" s="152"/>
      <c r="S604" s="209" t="s">
        <v>43</v>
      </c>
      <c r="T604" s="209" t="s">
        <v>73</v>
      </c>
      <c r="U604" s="209" t="s">
        <v>67</v>
      </c>
      <c r="V604" s="209" t="s">
        <v>1470</v>
      </c>
      <c r="W604" s="153"/>
      <c r="X604" s="153"/>
      <c r="Y604" s="153"/>
      <c r="Z604" s="153"/>
      <c r="AA604" s="213">
        <v>4054.0</v>
      </c>
      <c r="AB604" s="213">
        <v>16216.0</v>
      </c>
      <c r="AC604" s="24" t="s">
        <v>1992</v>
      </c>
      <c r="AD604" s="195">
        <v>5157.0</v>
      </c>
      <c r="AE604" s="38"/>
      <c r="AF604" s="209" t="str">
        <f t="shared" si="1"/>
        <v>Tierra de Fuego, Argentina</v>
      </c>
      <c r="AG604" s="209">
        <f t="shared" si="2"/>
        <v>1</v>
      </c>
      <c r="AH604" s="214">
        <f t="shared" si="3"/>
        <v>0</v>
      </c>
      <c r="AI604" s="214">
        <f t="shared" si="4"/>
        <v>0</v>
      </c>
      <c r="AJ604" s="213">
        <f t="shared" si="5"/>
        <v>20270</v>
      </c>
      <c r="AK604" s="213">
        <f t="shared" si="6"/>
        <v>20270</v>
      </c>
      <c r="AL604" s="156"/>
      <c r="AM604" s="156"/>
    </row>
    <row r="605">
      <c r="A605" s="216">
        <v>604.0</v>
      </c>
      <c r="B605" s="210">
        <v>44284.0</v>
      </c>
      <c r="C605" s="195" t="str">
        <f t="shared" si="7"/>
        <v>32021</v>
      </c>
      <c r="D605" s="217" t="s">
        <v>737</v>
      </c>
      <c r="E605" s="209" t="s">
        <v>1993</v>
      </c>
      <c r="F605" s="211" t="s">
        <v>1415</v>
      </c>
      <c r="G605" s="209" t="s">
        <v>64</v>
      </c>
      <c r="H605" s="209" t="s">
        <v>41</v>
      </c>
      <c r="I605" s="209" t="s">
        <v>42</v>
      </c>
      <c r="J605" s="151"/>
      <c r="K605" s="212">
        <v>1.0</v>
      </c>
      <c r="L605" s="151"/>
      <c r="M605" s="151"/>
      <c r="N605" s="151"/>
      <c r="O605" s="151"/>
      <c r="P605" s="151"/>
      <c r="Q605" s="152"/>
      <c r="R605" s="152"/>
      <c r="S605" s="209" t="s">
        <v>109</v>
      </c>
      <c r="T605" s="209" t="s">
        <v>66</v>
      </c>
      <c r="U605" s="209" t="s">
        <v>67</v>
      </c>
      <c r="V605" s="209" t="s">
        <v>78</v>
      </c>
      <c r="W605" s="153"/>
      <c r="X605" s="153"/>
      <c r="Y605" s="153"/>
      <c r="Z605" s="153"/>
      <c r="AA605" s="213">
        <v>4054.0</v>
      </c>
      <c r="AB605" s="213">
        <v>20270.0</v>
      </c>
      <c r="AC605" s="24" t="s">
        <v>1994</v>
      </c>
      <c r="AD605" s="195">
        <v>5163.0</v>
      </c>
      <c r="AE605" s="38"/>
      <c r="AF605" s="209" t="str">
        <f t="shared" si="1"/>
        <v>Buenos Aires, Argentina</v>
      </c>
      <c r="AG605" s="209">
        <f t="shared" si="2"/>
        <v>1</v>
      </c>
      <c r="AH605" s="214">
        <f t="shared" si="3"/>
        <v>0</v>
      </c>
      <c r="AI605" s="214">
        <f t="shared" si="4"/>
        <v>0</v>
      </c>
      <c r="AJ605" s="213">
        <f t="shared" si="5"/>
        <v>24324</v>
      </c>
      <c r="AK605" s="213">
        <f t="shared" si="6"/>
        <v>24324</v>
      </c>
      <c r="AL605" s="156"/>
      <c r="AM605" s="156"/>
    </row>
    <row r="606">
      <c r="A606" s="209">
        <v>605.0</v>
      </c>
      <c r="B606" s="210">
        <v>44285.0</v>
      </c>
      <c r="C606" s="195" t="str">
        <f t="shared" si="7"/>
        <v>32021</v>
      </c>
      <c r="D606" s="211" t="s">
        <v>1995</v>
      </c>
      <c r="E606" s="209" t="s">
        <v>1996</v>
      </c>
      <c r="F606" s="211" t="s">
        <v>1997</v>
      </c>
      <c r="G606" s="209" t="s">
        <v>40</v>
      </c>
      <c r="H606" s="209" t="s">
        <v>41</v>
      </c>
      <c r="I606" s="209" t="s">
        <v>42</v>
      </c>
      <c r="J606" s="212">
        <v>3.0</v>
      </c>
      <c r="K606" s="212">
        <v>1.0</v>
      </c>
      <c r="L606" s="151"/>
      <c r="M606" s="151"/>
      <c r="N606" s="151"/>
      <c r="O606" s="151"/>
      <c r="P606" s="151"/>
      <c r="Q606" s="152"/>
      <c r="R606" s="152"/>
      <c r="S606" s="209" t="s">
        <v>98</v>
      </c>
      <c r="T606" s="209" t="s">
        <v>66</v>
      </c>
      <c r="U606" s="209" t="s">
        <v>342</v>
      </c>
      <c r="V606" s="209" t="s">
        <v>78</v>
      </c>
      <c r="W606" s="153"/>
      <c r="X606" s="153"/>
      <c r="Y606" s="153"/>
      <c r="Z606" s="153"/>
      <c r="AA606" s="213">
        <v>22483.0</v>
      </c>
      <c r="AB606" s="213">
        <v>112415.0</v>
      </c>
      <c r="AC606" s="24" t="s">
        <v>1998</v>
      </c>
      <c r="AD606" s="195">
        <v>5173.0</v>
      </c>
      <c r="AE606" s="38"/>
      <c r="AF606" s="209" t="str">
        <f t="shared" si="1"/>
        <v>Buenos Aires, Argentina</v>
      </c>
      <c r="AG606" s="209">
        <f t="shared" si="2"/>
        <v>4</v>
      </c>
      <c r="AH606" s="214">
        <f t="shared" si="3"/>
        <v>0</v>
      </c>
      <c r="AI606" s="214">
        <f t="shared" si="4"/>
        <v>0</v>
      </c>
      <c r="AJ606" s="213">
        <f t="shared" si="5"/>
        <v>134898</v>
      </c>
      <c r="AK606" s="213">
        <f t="shared" si="6"/>
        <v>134898</v>
      </c>
      <c r="AL606" s="156"/>
      <c r="AM606" s="156"/>
    </row>
    <row r="607">
      <c r="A607" s="209">
        <v>606.0</v>
      </c>
      <c r="B607" s="210">
        <v>44285.0</v>
      </c>
      <c r="C607" s="195" t="str">
        <f t="shared" si="7"/>
        <v>32021</v>
      </c>
      <c r="D607" s="211" t="s">
        <v>1999</v>
      </c>
      <c r="E607" s="209" t="s">
        <v>2000</v>
      </c>
      <c r="F607" s="211" t="s">
        <v>1423</v>
      </c>
      <c r="G607" s="209" t="s">
        <v>40</v>
      </c>
      <c r="H607" s="209" t="s">
        <v>41</v>
      </c>
      <c r="I607" s="209" t="s">
        <v>643</v>
      </c>
      <c r="J607" s="212">
        <v>1.0</v>
      </c>
      <c r="K607" s="151"/>
      <c r="L607" s="151"/>
      <c r="M607" s="151"/>
      <c r="N607" s="151"/>
      <c r="O607" s="151"/>
      <c r="P607" s="151"/>
      <c r="Q607" s="152"/>
      <c r="R607" s="152"/>
      <c r="S607" s="209" t="s">
        <v>72</v>
      </c>
      <c r="T607" s="209" t="s">
        <v>66</v>
      </c>
      <c r="U607" s="209" t="s">
        <v>53</v>
      </c>
      <c r="V607" s="209" t="s">
        <v>1470</v>
      </c>
      <c r="W607" s="153"/>
      <c r="X607" s="153"/>
      <c r="Y607" s="153"/>
      <c r="Z607" s="153"/>
      <c r="AA607" s="213">
        <v>6143.0</v>
      </c>
      <c r="AB607" s="213">
        <v>30715.0</v>
      </c>
      <c r="AC607" s="24" t="s">
        <v>2001</v>
      </c>
      <c r="AD607" s="195">
        <v>5171.0</v>
      </c>
      <c r="AE607" s="38"/>
      <c r="AF607" s="209" t="str">
        <f t="shared" si="1"/>
        <v>Buenos Aires, Argentina</v>
      </c>
      <c r="AG607" s="209">
        <f t="shared" si="2"/>
        <v>1</v>
      </c>
      <c r="AH607" s="214">
        <f t="shared" si="3"/>
        <v>0</v>
      </c>
      <c r="AI607" s="214">
        <f t="shared" si="4"/>
        <v>0</v>
      </c>
      <c r="AJ607" s="213">
        <f t="shared" si="5"/>
        <v>36858</v>
      </c>
      <c r="AK607" s="213">
        <f t="shared" si="6"/>
        <v>36858</v>
      </c>
      <c r="AL607" s="156"/>
      <c r="AM607" s="156"/>
    </row>
    <row r="608">
      <c r="A608" s="209">
        <v>607.0</v>
      </c>
      <c r="B608" s="210">
        <v>44285.0</v>
      </c>
      <c r="C608" s="195" t="str">
        <f t="shared" si="7"/>
        <v>32021</v>
      </c>
      <c r="D608" s="211" t="s">
        <v>2002</v>
      </c>
      <c r="E608" s="209" t="s">
        <v>802</v>
      </c>
      <c r="F608" s="211" t="s">
        <v>2003</v>
      </c>
      <c r="G608" s="209" t="s">
        <v>64</v>
      </c>
      <c r="H608" s="209" t="s">
        <v>41</v>
      </c>
      <c r="I608" s="209" t="s">
        <v>643</v>
      </c>
      <c r="J608" s="151"/>
      <c r="K608" s="212">
        <v>6.0</v>
      </c>
      <c r="L608" s="212">
        <v>2.0</v>
      </c>
      <c r="M608" s="151"/>
      <c r="N608" s="151"/>
      <c r="O608" s="151"/>
      <c r="P608" s="151"/>
      <c r="Q608" s="152"/>
      <c r="R608" s="152"/>
      <c r="S608" s="209" t="s">
        <v>98</v>
      </c>
      <c r="T608" s="209" t="s">
        <v>83</v>
      </c>
      <c r="U608" s="209" t="s">
        <v>67</v>
      </c>
      <c r="V608" s="209" t="s">
        <v>84</v>
      </c>
      <c r="W608" s="153"/>
      <c r="X608" s="153"/>
      <c r="Y608" s="153"/>
      <c r="Z608" s="153"/>
      <c r="AA608" s="213">
        <v>29238.0</v>
      </c>
      <c r="AB608" s="213">
        <v>146190.0</v>
      </c>
      <c r="AC608" s="24" t="s">
        <v>2004</v>
      </c>
      <c r="AD608" s="195">
        <v>5187.0</v>
      </c>
      <c r="AE608" s="38"/>
      <c r="AF608" s="209" t="str">
        <f t="shared" si="1"/>
        <v>Capital Federal, Argentina</v>
      </c>
      <c r="AG608" s="209">
        <f t="shared" si="2"/>
        <v>8</v>
      </c>
      <c r="AH608" s="214">
        <f t="shared" si="3"/>
        <v>0</v>
      </c>
      <c r="AI608" s="214">
        <f t="shared" si="4"/>
        <v>0</v>
      </c>
      <c r="AJ608" s="213">
        <f t="shared" si="5"/>
        <v>175428</v>
      </c>
      <c r="AK608" s="213">
        <f t="shared" si="6"/>
        <v>175428</v>
      </c>
      <c r="AL608" s="156"/>
      <c r="AM608" s="156"/>
    </row>
    <row r="609">
      <c r="A609" s="209">
        <v>608.0</v>
      </c>
      <c r="B609" s="210">
        <v>44286.0</v>
      </c>
      <c r="C609" s="195" t="str">
        <f t="shared" si="7"/>
        <v>32021</v>
      </c>
      <c r="D609" s="211" t="s">
        <v>437</v>
      </c>
      <c r="E609" s="209" t="s">
        <v>438</v>
      </c>
      <c r="F609" s="211" t="s">
        <v>1415</v>
      </c>
      <c r="G609" s="209" t="s">
        <v>64</v>
      </c>
      <c r="H609" s="209" t="s">
        <v>41</v>
      </c>
      <c r="I609" s="209" t="s">
        <v>42</v>
      </c>
      <c r="J609" s="151"/>
      <c r="K609" s="212">
        <v>1.0</v>
      </c>
      <c r="L609" s="151"/>
      <c r="M609" s="151"/>
      <c r="N609" s="151"/>
      <c r="O609" s="151"/>
      <c r="P609" s="151"/>
      <c r="Q609" s="152"/>
      <c r="R609" s="152"/>
      <c r="S609" s="209" t="s">
        <v>105</v>
      </c>
      <c r="T609" s="209" t="s">
        <v>83</v>
      </c>
      <c r="U609" s="209" t="s">
        <v>67</v>
      </c>
      <c r="V609" s="209" t="s">
        <v>59</v>
      </c>
      <c r="W609" s="153"/>
      <c r="X609" s="153"/>
      <c r="Y609" s="153"/>
      <c r="Z609" s="153"/>
      <c r="AA609" s="213">
        <v>4054.0</v>
      </c>
      <c r="AB609" s="213">
        <v>20270.0</v>
      </c>
      <c r="AC609" s="24" t="s">
        <v>2005</v>
      </c>
      <c r="AD609" s="195">
        <v>5191.0</v>
      </c>
      <c r="AE609" s="38"/>
      <c r="AF609" s="209" t="str">
        <f t="shared" si="1"/>
        <v>Capital Federal, Argentina</v>
      </c>
      <c r="AG609" s="209">
        <f t="shared" si="2"/>
        <v>1</v>
      </c>
      <c r="AH609" s="214">
        <f t="shared" si="3"/>
        <v>0</v>
      </c>
      <c r="AI609" s="214">
        <f t="shared" si="4"/>
        <v>0</v>
      </c>
      <c r="AJ609" s="213">
        <f t="shared" si="5"/>
        <v>24324</v>
      </c>
      <c r="AK609" s="213">
        <f t="shared" si="6"/>
        <v>24324</v>
      </c>
      <c r="AL609" s="156"/>
      <c r="AM609" s="156"/>
    </row>
    <row r="610">
      <c r="A610" s="209">
        <v>609.0</v>
      </c>
      <c r="B610" s="210">
        <v>44286.0</v>
      </c>
      <c r="C610" s="195" t="str">
        <f t="shared" si="7"/>
        <v>32021</v>
      </c>
      <c r="D610" s="211" t="s">
        <v>2006</v>
      </c>
      <c r="E610" s="209" t="s">
        <v>2007</v>
      </c>
      <c r="F610" s="211" t="s">
        <v>2008</v>
      </c>
      <c r="G610" s="209" t="s">
        <v>64</v>
      </c>
      <c r="H610" s="209" t="s">
        <v>41</v>
      </c>
      <c r="I610" s="209" t="s">
        <v>643</v>
      </c>
      <c r="J610" s="151"/>
      <c r="K610" s="151"/>
      <c r="L610" s="151"/>
      <c r="M610" s="151"/>
      <c r="N610" s="212">
        <v>1.0</v>
      </c>
      <c r="O610" s="151"/>
      <c r="P610" s="151"/>
      <c r="Q610" s="152"/>
      <c r="R610" s="152"/>
      <c r="S610" s="209" t="s">
        <v>189</v>
      </c>
      <c r="T610" s="209" t="s">
        <v>66</v>
      </c>
      <c r="U610" s="209" t="s">
        <v>67</v>
      </c>
      <c r="V610" s="209" t="s">
        <v>1470</v>
      </c>
      <c r="W610" s="153"/>
      <c r="X610" s="153"/>
      <c r="Y610" s="153"/>
      <c r="Z610" s="153"/>
      <c r="AA610" s="213">
        <v>6143.0</v>
      </c>
      <c r="AB610" s="213">
        <v>0.0</v>
      </c>
      <c r="AC610" s="24" t="s">
        <v>2009</v>
      </c>
      <c r="AD610" s="195">
        <v>5193.0</v>
      </c>
      <c r="AE610" s="38"/>
      <c r="AF610" s="209" t="str">
        <f t="shared" si="1"/>
        <v>Buenos Aires, Argentina</v>
      </c>
      <c r="AG610" s="209">
        <f t="shared" si="2"/>
        <v>1</v>
      </c>
      <c r="AH610" s="214">
        <f t="shared" si="3"/>
        <v>0</v>
      </c>
      <c r="AI610" s="214">
        <f t="shared" si="4"/>
        <v>0</v>
      </c>
      <c r="AJ610" s="213">
        <f t="shared" si="5"/>
        <v>6143</v>
      </c>
      <c r="AK610" s="213">
        <f t="shared" si="6"/>
        <v>6143</v>
      </c>
      <c r="AL610" s="156"/>
      <c r="AM610" s="156"/>
    </row>
    <row r="611">
      <c r="A611" s="209">
        <v>610.0</v>
      </c>
      <c r="B611" s="210">
        <v>44286.0</v>
      </c>
      <c r="C611" s="195" t="str">
        <f t="shared" si="7"/>
        <v>32021</v>
      </c>
      <c r="D611" s="211" t="s">
        <v>2010</v>
      </c>
      <c r="E611" s="209" t="s">
        <v>2011</v>
      </c>
      <c r="F611" s="211" t="s">
        <v>2012</v>
      </c>
      <c r="G611" s="209" t="s">
        <v>40</v>
      </c>
      <c r="H611" s="209" t="s">
        <v>41</v>
      </c>
      <c r="I611" s="209" t="s">
        <v>42</v>
      </c>
      <c r="J611" s="212">
        <v>1.0</v>
      </c>
      <c r="K611" s="151"/>
      <c r="L611" s="151"/>
      <c r="M611" s="151"/>
      <c r="N611" s="212">
        <v>1.0</v>
      </c>
      <c r="O611" s="151"/>
      <c r="P611" s="151"/>
      <c r="Q611" s="152"/>
      <c r="R611" s="152"/>
      <c r="S611" s="209" t="s">
        <v>98</v>
      </c>
      <c r="T611" s="209" t="s">
        <v>58</v>
      </c>
      <c r="U611" s="209" t="s">
        <v>163</v>
      </c>
      <c r="V611" s="209" t="s">
        <v>78</v>
      </c>
      <c r="W611" s="153"/>
      <c r="X611" s="153"/>
      <c r="Y611" s="153"/>
      <c r="Z611" s="153"/>
      <c r="AA611" s="213">
        <v>12286.0</v>
      </c>
      <c r="AB611" s="213">
        <v>61430.0</v>
      </c>
      <c r="AC611" s="24" t="s">
        <v>2013</v>
      </c>
      <c r="AD611" s="195">
        <v>5207.0</v>
      </c>
      <c r="AE611" s="38"/>
      <c r="AF611" s="209" t="str">
        <f t="shared" si="1"/>
        <v>Córdoba, Argentina</v>
      </c>
      <c r="AG611" s="209">
        <f t="shared" si="2"/>
        <v>2</v>
      </c>
      <c r="AH611" s="214">
        <f t="shared" si="3"/>
        <v>0</v>
      </c>
      <c r="AI611" s="214">
        <f t="shared" si="4"/>
        <v>0</v>
      </c>
      <c r="AJ611" s="213">
        <f t="shared" si="5"/>
        <v>73716</v>
      </c>
      <c r="AK611" s="213">
        <f t="shared" si="6"/>
        <v>73716</v>
      </c>
      <c r="AL611" s="156"/>
      <c r="AM611" s="156"/>
    </row>
    <row r="612">
      <c r="A612" s="218">
        <v>611.0</v>
      </c>
      <c r="B612" s="219">
        <v>44287.0</v>
      </c>
      <c r="C612" s="195" t="str">
        <f t="shared" si="7"/>
        <v>42021</v>
      </c>
      <c r="D612" s="220" t="s">
        <v>2014</v>
      </c>
      <c r="E612" s="218" t="s">
        <v>2015</v>
      </c>
      <c r="F612" s="220" t="s">
        <v>2016</v>
      </c>
      <c r="G612" s="218" t="s">
        <v>64</v>
      </c>
      <c r="H612" s="218" t="s">
        <v>41</v>
      </c>
      <c r="I612" s="218" t="s">
        <v>42</v>
      </c>
      <c r="J612" s="127"/>
      <c r="K612" s="127"/>
      <c r="L612" s="127"/>
      <c r="M612" s="127"/>
      <c r="N612" s="221">
        <v>1.0</v>
      </c>
      <c r="O612" s="127"/>
      <c r="P612" s="127"/>
      <c r="Q612" s="128"/>
      <c r="R612" s="128"/>
      <c r="S612" s="218" t="s">
        <v>98</v>
      </c>
      <c r="T612" s="218" t="s">
        <v>73</v>
      </c>
      <c r="U612" s="218" t="s">
        <v>67</v>
      </c>
      <c r="V612" s="218" t="s">
        <v>78</v>
      </c>
      <c r="W612" s="129"/>
      <c r="X612" s="222">
        <v>687000.0</v>
      </c>
      <c r="Y612" s="129"/>
      <c r="Z612" s="129"/>
      <c r="AA612" s="222">
        <v>6338.0</v>
      </c>
      <c r="AB612" s="222">
        <v>0.0</v>
      </c>
      <c r="AC612" s="24" t="s">
        <v>2017</v>
      </c>
      <c r="AD612" s="195">
        <v>5199.0</v>
      </c>
      <c r="AE612" s="38"/>
      <c r="AF612" s="218" t="str">
        <f t="shared" si="1"/>
        <v>Tierra de Fuego, Argentina</v>
      </c>
      <c r="AG612" s="218">
        <f t="shared" si="2"/>
        <v>1</v>
      </c>
      <c r="AH612" s="223">
        <f t="shared" si="3"/>
        <v>687000</v>
      </c>
      <c r="AI612" s="223">
        <f t="shared" si="4"/>
        <v>0</v>
      </c>
      <c r="AJ612" s="222">
        <f t="shared" si="5"/>
        <v>6338</v>
      </c>
      <c r="AK612" s="222">
        <f t="shared" si="6"/>
        <v>693338</v>
      </c>
      <c r="AL612" s="132"/>
      <c r="AM612" s="132"/>
    </row>
    <row r="613">
      <c r="A613" s="218">
        <v>612.0</v>
      </c>
      <c r="B613" s="219">
        <v>44293.0</v>
      </c>
      <c r="C613" s="195" t="str">
        <f t="shared" si="7"/>
        <v>42021</v>
      </c>
      <c r="D613" s="220" t="s">
        <v>1855</v>
      </c>
      <c r="E613" s="218" t="s">
        <v>1856</v>
      </c>
      <c r="F613" s="220" t="s">
        <v>1415</v>
      </c>
      <c r="G613" s="218" t="s">
        <v>64</v>
      </c>
      <c r="H613" s="218" t="s">
        <v>41</v>
      </c>
      <c r="I613" s="218" t="s">
        <v>42</v>
      </c>
      <c r="J613" s="127"/>
      <c r="K613" s="221">
        <v>1.0</v>
      </c>
      <c r="L613" s="127"/>
      <c r="M613" s="127"/>
      <c r="N613" s="127"/>
      <c r="O613" s="127"/>
      <c r="P613" s="127"/>
      <c r="Q613" s="128"/>
      <c r="R613" s="128"/>
      <c r="S613" s="218" t="s">
        <v>89</v>
      </c>
      <c r="T613" s="218" t="s">
        <v>66</v>
      </c>
      <c r="U613" s="218" t="s">
        <v>67</v>
      </c>
      <c r="V613" s="218" t="s">
        <v>59</v>
      </c>
      <c r="W613" s="129"/>
      <c r="X613" s="129"/>
      <c r="Y613" s="129"/>
      <c r="Z613" s="129"/>
      <c r="AA613" s="222">
        <v>4183.0</v>
      </c>
      <c r="AB613" s="222">
        <v>20915.0</v>
      </c>
      <c r="AC613" s="24" t="s">
        <v>2018</v>
      </c>
      <c r="AD613" s="195">
        <v>5225.0</v>
      </c>
      <c r="AE613" s="38"/>
      <c r="AF613" s="218" t="str">
        <f t="shared" si="1"/>
        <v>Buenos Aires, Argentina</v>
      </c>
      <c r="AG613" s="218">
        <f t="shared" si="2"/>
        <v>1</v>
      </c>
      <c r="AH613" s="223">
        <f t="shared" si="3"/>
        <v>0</v>
      </c>
      <c r="AI613" s="223">
        <f t="shared" si="4"/>
        <v>0</v>
      </c>
      <c r="AJ613" s="222">
        <f t="shared" si="5"/>
        <v>25098</v>
      </c>
      <c r="AK613" s="222">
        <f t="shared" si="6"/>
        <v>25098</v>
      </c>
      <c r="AL613" s="132"/>
      <c r="AM613" s="132"/>
    </row>
    <row r="614">
      <c r="A614" s="218">
        <v>613.0</v>
      </c>
      <c r="B614" s="219">
        <v>44293.0</v>
      </c>
      <c r="C614" s="195" t="str">
        <f t="shared" si="7"/>
        <v>42021</v>
      </c>
      <c r="D614" s="220" t="s">
        <v>2019</v>
      </c>
      <c r="E614" s="218" t="s">
        <v>2020</v>
      </c>
      <c r="F614" s="220" t="s">
        <v>1423</v>
      </c>
      <c r="G614" s="218" t="s">
        <v>64</v>
      </c>
      <c r="H614" s="218" t="s">
        <v>41</v>
      </c>
      <c r="I614" s="218" t="s">
        <v>643</v>
      </c>
      <c r="J614" s="221">
        <v>1.0</v>
      </c>
      <c r="K614" s="127"/>
      <c r="L614" s="127"/>
      <c r="M614" s="127"/>
      <c r="N614" s="127"/>
      <c r="O614" s="127"/>
      <c r="P614" s="127"/>
      <c r="Q614" s="128"/>
      <c r="R614" s="128"/>
      <c r="S614" s="218" t="s">
        <v>43</v>
      </c>
      <c r="T614" s="218" t="s">
        <v>66</v>
      </c>
      <c r="U614" s="218" t="s">
        <v>67</v>
      </c>
      <c r="V614" s="218" t="s">
        <v>1470</v>
      </c>
      <c r="W614" s="129"/>
      <c r="X614" s="129"/>
      <c r="Y614" s="129"/>
      <c r="Z614" s="129"/>
      <c r="AA614" s="222">
        <v>6338.0</v>
      </c>
      <c r="AB614" s="222">
        <v>31690.0</v>
      </c>
      <c r="AC614" s="24" t="s">
        <v>2021</v>
      </c>
      <c r="AD614" s="195">
        <v>5233.0</v>
      </c>
      <c r="AE614" s="38"/>
      <c r="AF614" s="218" t="str">
        <f t="shared" si="1"/>
        <v>Buenos Aires, Argentina</v>
      </c>
      <c r="AG614" s="218">
        <f t="shared" si="2"/>
        <v>1</v>
      </c>
      <c r="AH614" s="223">
        <f t="shared" si="3"/>
        <v>0</v>
      </c>
      <c r="AI614" s="223">
        <f t="shared" si="4"/>
        <v>0</v>
      </c>
      <c r="AJ614" s="222">
        <f t="shared" si="5"/>
        <v>38028</v>
      </c>
      <c r="AK614" s="222">
        <f t="shared" si="6"/>
        <v>38028</v>
      </c>
      <c r="AL614" s="132"/>
      <c r="AM614" s="132"/>
    </row>
    <row r="615">
      <c r="A615" s="218">
        <v>614.0</v>
      </c>
      <c r="B615" s="219">
        <v>44294.0</v>
      </c>
      <c r="C615" s="195" t="str">
        <f t="shared" si="7"/>
        <v>42021</v>
      </c>
      <c r="D615" s="220" t="s">
        <v>2022</v>
      </c>
      <c r="E615" s="218" t="s">
        <v>1896</v>
      </c>
      <c r="F615" s="220" t="s">
        <v>1427</v>
      </c>
      <c r="G615" s="218" t="s">
        <v>64</v>
      </c>
      <c r="H615" s="218" t="s">
        <v>41</v>
      </c>
      <c r="I615" s="218" t="s">
        <v>643</v>
      </c>
      <c r="J615" s="127"/>
      <c r="K615" s="221">
        <v>2.0</v>
      </c>
      <c r="L615" s="127"/>
      <c r="M615" s="127"/>
      <c r="N615" s="127"/>
      <c r="O615" s="127"/>
      <c r="P615" s="127"/>
      <c r="Q615" s="128"/>
      <c r="R615" s="128"/>
      <c r="S615" s="218" t="s">
        <v>65</v>
      </c>
      <c r="T615" s="218" t="s">
        <v>83</v>
      </c>
      <c r="U615" s="218" t="s">
        <v>67</v>
      </c>
      <c r="V615" s="218" t="s">
        <v>1984</v>
      </c>
      <c r="W615" s="129"/>
      <c r="X615" s="129"/>
      <c r="Y615" s="129"/>
      <c r="Z615" s="129"/>
      <c r="AA615" s="222">
        <v>8366.0</v>
      </c>
      <c r="AB615" s="222">
        <v>41830.0</v>
      </c>
      <c r="AC615" s="24" t="s">
        <v>2023</v>
      </c>
      <c r="AD615" s="195">
        <v>5247.0</v>
      </c>
      <c r="AE615" s="38"/>
      <c r="AF615" s="218" t="str">
        <f t="shared" si="1"/>
        <v>Capital Federal, Argentina</v>
      </c>
      <c r="AG615" s="218">
        <f t="shared" si="2"/>
        <v>2</v>
      </c>
      <c r="AH615" s="223">
        <f t="shared" si="3"/>
        <v>0</v>
      </c>
      <c r="AI615" s="223">
        <f t="shared" si="4"/>
        <v>0</v>
      </c>
      <c r="AJ615" s="222">
        <f t="shared" si="5"/>
        <v>50196</v>
      </c>
      <c r="AK615" s="222">
        <f t="shared" si="6"/>
        <v>50196</v>
      </c>
      <c r="AL615" s="132"/>
      <c r="AM615" s="132"/>
    </row>
    <row r="616">
      <c r="A616" s="218">
        <v>615.0</v>
      </c>
      <c r="B616" s="219">
        <v>44294.0</v>
      </c>
      <c r="C616" s="195" t="str">
        <f t="shared" si="7"/>
        <v>42021</v>
      </c>
      <c r="D616" s="220" t="s">
        <v>2024</v>
      </c>
      <c r="E616" s="218" t="s">
        <v>2025</v>
      </c>
      <c r="F616" s="220" t="s">
        <v>1474</v>
      </c>
      <c r="G616" s="218" t="s">
        <v>64</v>
      </c>
      <c r="H616" s="218" t="s">
        <v>41</v>
      </c>
      <c r="I616" s="218" t="s">
        <v>643</v>
      </c>
      <c r="J616" s="221">
        <v>3.0</v>
      </c>
      <c r="K616" s="127"/>
      <c r="L616" s="127"/>
      <c r="M616" s="127"/>
      <c r="N616" s="127"/>
      <c r="O616" s="127"/>
      <c r="P616" s="127"/>
      <c r="Q616" s="128"/>
      <c r="R616" s="128"/>
      <c r="S616" s="218" t="s">
        <v>105</v>
      </c>
      <c r="T616" s="218" t="s">
        <v>83</v>
      </c>
      <c r="U616" s="218" t="s">
        <v>67</v>
      </c>
      <c r="V616" s="218" t="s">
        <v>1470</v>
      </c>
      <c r="W616" s="129"/>
      <c r="X616" s="129"/>
      <c r="Y616" s="129"/>
      <c r="Z616" s="129"/>
      <c r="AA616" s="222">
        <v>19014.0</v>
      </c>
      <c r="AB616" s="222">
        <v>95070.0</v>
      </c>
      <c r="AC616" s="24" t="s">
        <v>2026</v>
      </c>
      <c r="AD616" s="195">
        <v>5255.0</v>
      </c>
      <c r="AE616" s="38"/>
      <c r="AF616" s="218" t="str">
        <f t="shared" si="1"/>
        <v>Capital Federal, Argentina</v>
      </c>
      <c r="AG616" s="218">
        <f t="shared" si="2"/>
        <v>3</v>
      </c>
      <c r="AH616" s="223">
        <f t="shared" si="3"/>
        <v>0</v>
      </c>
      <c r="AI616" s="223">
        <f t="shared" si="4"/>
        <v>0</v>
      </c>
      <c r="AJ616" s="222">
        <f t="shared" si="5"/>
        <v>114084</v>
      </c>
      <c r="AK616" s="222">
        <f t="shared" si="6"/>
        <v>114084</v>
      </c>
      <c r="AL616" s="132"/>
      <c r="AM616" s="132"/>
    </row>
    <row r="617">
      <c r="A617" s="218">
        <v>616.0</v>
      </c>
      <c r="B617" s="219">
        <v>44294.0</v>
      </c>
      <c r="C617" s="195" t="str">
        <f t="shared" si="7"/>
        <v>42021</v>
      </c>
      <c r="D617" s="220" t="s">
        <v>2027</v>
      </c>
      <c r="E617" s="218" t="s">
        <v>2028</v>
      </c>
      <c r="F617" s="220" t="s">
        <v>1415</v>
      </c>
      <c r="G617" s="218" t="s">
        <v>64</v>
      </c>
      <c r="H617" s="218" t="s">
        <v>41</v>
      </c>
      <c r="I617" s="218" t="s">
        <v>643</v>
      </c>
      <c r="J617" s="127"/>
      <c r="K617" s="221">
        <v>1.0</v>
      </c>
      <c r="L617" s="127"/>
      <c r="M617" s="127"/>
      <c r="N617" s="127"/>
      <c r="O617" s="127"/>
      <c r="P617" s="127"/>
      <c r="Q617" s="128"/>
      <c r="R617" s="128"/>
      <c r="S617" s="218" t="s">
        <v>189</v>
      </c>
      <c r="T617" s="218" t="s">
        <v>73</v>
      </c>
      <c r="U617" s="218" t="s">
        <v>67</v>
      </c>
      <c r="V617" s="218" t="s">
        <v>1470</v>
      </c>
      <c r="W617" s="129"/>
      <c r="X617" s="129"/>
      <c r="Y617" s="129"/>
      <c r="Z617" s="129"/>
      <c r="AA617" s="222">
        <v>4183.0</v>
      </c>
      <c r="AB617" s="222">
        <v>20915.0</v>
      </c>
      <c r="AC617" s="24" t="s">
        <v>2029</v>
      </c>
      <c r="AD617" s="195">
        <v>5227.0</v>
      </c>
      <c r="AE617" s="38"/>
      <c r="AF617" s="218" t="str">
        <f t="shared" si="1"/>
        <v>Tierra de Fuego, Argentina</v>
      </c>
      <c r="AG617" s="218">
        <f t="shared" si="2"/>
        <v>1</v>
      </c>
      <c r="AH617" s="223">
        <f t="shared" si="3"/>
        <v>0</v>
      </c>
      <c r="AI617" s="223">
        <f t="shared" si="4"/>
        <v>0</v>
      </c>
      <c r="AJ617" s="222">
        <f t="shared" si="5"/>
        <v>25098</v>
      </c>
      <c r="AK617" s="222">
        <f t="shared" si="6"/>
        <v>25098</v>
      </c>
      <c r="AL617" s="132"/>
      <c r="AM617" s="132"/>
    </row>
    <row r="618">
      <c r="A618" s="218">
        <v>617.0</v>
      </c>
      <c r="B618" s="219">
        <v>44295.0</v>
      </c>
      <c r="C618" s="195" t="str">
        <f t="shared" si="7"/>
        <v>42021</v>
      </c>
      <c r="D618" s="220" t="s">
        <v>999</v>
      </c>
      <c r="E618" s="218" t="s">
        <v>1000</v>
      </c>
      <c r="F618" s="220" t="s">
        <v>1415</v>
      </c>
      <c r="G618" s="218" t="s">
        <v>64</v>
      </c>
      <c r="H618" s="218" t="s">
        <v>41</v>
      </c>
      <c r="I618" s="218" t="s">
        <v>643</v>
      </c>
      <c r="J618" s="127"/>
      <c r="K618" s="221">
        <v>1.0</v>
      </c>
      <c r="L618" s="127"/>
      <c r="M618" s="127"/>
      <c r="N618" s="127"/>
      <c r="O618" s="127"/>
      <c r="P618" s="127"/>
      <c r="Q618" s="128"/>
      <c r="R618" s="128"/>
      <c r="S618" s="218" t="s">
        <v>65</v>
      </c>
      <c r="T618" s="218" t="s">
        <v>66</v>
      </c>
      <c r="U618" s="218" t="s">
        <v>67</v>
      </c>
      <c r="V618" s="218" t="s">
        <v>1470</v>
      </c>
      <c r="W618" s="129"/>
      <c r="X618" s="129"/>
      <c r="Y618" s="129"/>
      <c r="Z618" s="129"/>
      <c r="AA618" s="222">
        <v>4183.0</v>
      </c>
      <c r="AB618" s="222">
        <v>20915.0</v>
      </c>
      <c r="AC618" s="24" t="s">
        <v>2030</v>
      </c>
      <c r="AD618" s="195">
        <v>5251.0</v>
      </c>
      <c r="AE618" s="38"/>
      <c r="AF618" s="218" t="str">
        <f t="shared" si="1"/>
        <v>Buenos Aires, Argentina</v>
      </c>
      <c r="AG618" s="218">
        <f t="shared" si="2"/>
        <v>1</v>
      </c>
      <c r="AH618" s="223">
        <f t="shared" si="3"/>
        <v>0</v>
      </c>
      <c r="AI618" s="223">
        <f t="shared" si="4"/>
        <v>0</v>
      </c>
      <c r="AJ618" s="222">
        <f t="shared" si="5"/>
        <v>25098</v>
      </c>
      <c r="AK618" s="222">
        <f t="shared" si="6"/>
        <v>25098</v>
      </c>
      <c r="AL618" s="132"/>
      <c r="AM618" s="132"/>
    </row>
    <row r="619">
      <c r="A619" s="218">
        <v>618.0</v>
      </c>
      <c r="B619" s="219">
        <v>44298.0</v>
      </c>
      <c r="C619" s="195" t="str">
        <f t="shared" si="7"/>
        <v>42021</v>
      </c>
      <c r="D619" s="220" t="s">
        <v>2031</v>
      </c>
      <c r="E619" s="218" t="s">
        <v>2032</v>
      </c>
      <c r="F619" s="220" t="s">
        <v>1412</v>
      </c>
      <c r="G619" s="218" t="s">
        <v>40</v>
      </c>
      <c r="H619" s="218" t="s">
        <v>41</v>
      </c>
      <c r="I619" s="218" t="s">
        <v>42</v>
      </c>
      <c r="J619" s="221">
        <v>2.0</v>
      </c>
      <c r="K619" s="127"/>
      <c r="L619" s="127"/>
      <c r="M619" s="127"/>
      <c r="N619" s="127"/>
      <c r="O619" s="127"/>
      <c r="P619" s="127"/>
      <c r="Q619" s="128"/>
      <c r="R619" s="128"/>
      <c r="S619" s="218" t="s">
        <v>109</v>
      </c>
      <c r="T619" s="218" t="s">
        <v>879</v>
      </c>
      <c r="U619" s="218" t="s">
        <v>342</v>
      </c>
      <c r="V619" s="218" t="s">
        <v>78</v>
      </c>
      <c r="W619" s="129"/>
      <c r="X619" s="129"/>
      <c r="Y619" s="129"/>
      <c r="Z619" s="129"/>
      <c r="AA619" s="222">
        <v>12676.0</v>
      </c>
      <c r="AB619" s="222">
        <v>63380.0</v>
      </c>
      <c r="AC619" s="24" t="s">
        <v>2033</v>
      </c>
      <c r="AD619" s="195">
        <v>5273.0</v>
      </c>
      <c r="AE619" s="38"/>
      <c r="AF619" s="218" t="str">
        <f t="shared" si="1"/>
        <v>Salta, Argentina</v>
      </c>
      <c r="AG619" s="218">
        <f t="shared" si="2"/>
        <v>2</v>
      </c>
      <c r="AH619" s="223">
        <f t="shared" si="3"/>
        <v>0</v>
      </c>
      <c r="AI619" s="223">
        <f t="shared" si="4"/>
        <v>0</v>
      </c>
      <c r="AJ619" s="222">
        <f t="shared" si="5"/>
        <v>76056</v>
      </c>
      <c r="AK619" s="222">
        <f t="shared" si="6"/>
        <v>76056</v>
      </c>
      <c r="AL619" s="132"/>
      <c r="AM619" s="132"/>
    </row>
    <row r="620">
      <c r="A620" s="218">
        <v>619.0</v>
      </c>
      <c r="B620" s="219">
        <v>44298.0</v>
      </c>
      <c r="C620" s="195" t="str">
        <f t="shared" si="7"/>
        <v>42021</v>
      </c>
      <c r="D620" s="220" t="s">
        <v>1976</v>
      </c>
      <c r="E620" s="218" t="s">
        <v>1977</v>
      </c>
      <c r="F620" s="220" t="s">
        <v>1423</v>
      </c>
      <c r="G620" s="218" t="s">
        <v>64</v>
      </c>
      <c r="H620" s="218" t="s">
        <v>41</v>
      </c>
      <c r="I620" s="218" t="s">
        <v>643</v>
      </c>
      <c r="J620" s="221">
        <v>1.0</v>
      </c>
      <c r="K620" s="127"/>
      <c r="L620" s="127"/>
      <c r="M620" s="127"/>
      <c r="N620" s="127"/>
      <c r="O620" s="127"/>
      <c r="P620" s="127"/>
      <c r="Q620" s="128"/>
      <c r="R620" s="128"/>
      <c r="S620" s="218" t="s">
        <v>98</v>
      </c>
      <c r="T620" s="218" t="s">
        <v>83</v>
      </c>
      <c r="U620" s="218" t="s">
        <v>67</v>
      </c>
      <c r="V620" s="218" t="s">
        <v>1470</v>
      </c>
      <c r="W620" s="129"/>
      <c r="X620" s="129"/>
      <c r="Y620" s="129"/>
      <c r="Z620" s="129"/>
      <c r="AA620" s="222">
        <v>6338.0</v>
      </c>
      <c r="AB620" s="222">
        <v>31690.0</v>
      </c>
      <c r="AC620" s="24" t="s">
        <v>2034</v>
      </c>
      <c r="AD620" s="195">
        <v>5277.0</v>
      </c>
      <c r="AE620" s="38"/>
      <c r="AF620" s="218" t="str">
        <f t="shared" si="1"/>
        <v>Capital Federal, Argentina</v>
      </c>
      <c r="AG620" s="218">
        <f t="shared" si="2"/>
        <v>1</v>
      </c>
      <c r="AH620" s="223">
        <f t="shared" si="3"/>
        <v>0</v>
      </c>
      <c r="AI620" s="223">
        <f t="shared" si="4"/>
        <v>0</v>
      </c>
      <c r="AJ620" s="222">
        <f t="shared" si="5"/>
        <v>38028</v>
      </c>
      <c r="AK620" s="222">
        <f t="shared" si="6"/>
        <v>38028</v>
      </c>
      <c r="AL620" s="132"/>
      <c r="AM620" s="132"/>
    </row>
    <row r="621">
      <c r="A621" s="218">
        <v>620.0</v>
      </c>
      <c r="B621" s="219">
        <v>44299.0</v>
      </c>
      <c r="C621" s="195" t="str">
        <f t="shared" si="7"/>
        <v>42021</v>
      </c>
      <c r="D621" s="220" t="s">
        <v>1375</v>
      </c>
      <c r="E621" s="218" t="s">
        <v>1922</v>
      </c>
      <c r="F621" s="220" t="s">
        <v>1492</v>
      </c>
      <c r="G621" s="218" t="s">
        <v>64</v>
      </c>
      <c r="H621" s="218" t="s">
        <v>41</v>
      </c>
      <c r="I621" s="218" t="s">
        <v>42</v>
      </c>
      <c r="J621" s="127"/>
      <c r="K621" s="127"/>
      <c r="L621" s="127"/>
      <c r="M621" s="127"/>
      <c r="N621" s="221">
        <v>1.0</v>
      </c>
      <c r="O621" s="127"/>
      <c r="P621" s="127"/>
      <c r="Q621" s="128"/>
      <c r="R621" s="128"/>
      <c r="S621" s="218" t="s">
        <v>98</v>
      </c>
      <c r="T621" s="218" t="s">
        <v>66</v>
      </c>
      <c r="U621" s="218" t="s">
        <v>99</v>
      </c>
      <c r="V621" s="218" t="s">
        <v>59</v>
      </c>
      <c r="W621" s="129"/>
      <c r="X621" s="129"/>
      <c r="Y621" s="129"/>
      <c r="Z621" s="129"/>
      <c r="AA621" s="222">
        <v>6338.0</v>
      </c>
      <c r="AB621" s="129" t="s">
        <v>926</v>
      </c>
      <c r="AC621" s="24" t="s">
        <v>2035</v>
      </c>
      <c r="AD621" s="195">
        <v>5285.0</v>
      </c>
      <c r="AE621" s="38"/>
      <c r="AF621" s="218" t="str">
        <f t="shared" si="1"/>
        <v>Buenos Aires, Argentina</v>
      </c>
      <c r="AG621" s="218">
        <f t="shared" si="2"/>
        <v>1</v>
      </c>
      <c r="AH621" s="223">
        <f t="shared" si="3"/>
        <v>0</v>
      </c>
      <c r="AI621" s="223">
        <f t="shared" si="4"/>
        <v>0</v>
      </c>
      <c r="AJ621" s="222">
        <f t="shared" si="5"/>
        <v>6338</v>
      </c>
      <c r="AK621" s="222">
        <f t="shared" si="6"/>
        <v>6338</v>
      </c>
      <c r="AL621" s="132"/>
      <c r="AM621" s="132"/>
    </row>
    <row r="622">
      <c r="A622" s="218">
        <v>621.0</v>
      </c>
      <c r="B622" s="219">
        <v>44301.0</v>
      </c>
      <c r="C622" s="195" t="str">
        <f t="shared" si="7"/>
        <v>42021</v>
      </c>
      <c r="D622" s="220" t="s">
        <v>2036</v>
      </c>
      <c r="E622" s="218" t="s">
        <v>2037</v>
      </c>
      <c r="F622" s="220" t="s">
        <v>1423</v>
      </c>
      <c r="G622" s="218" t="s">
        <v>40</v>
      </c>
      <c r="H622" s="218" t="s">
        <v>41</v>
      </c>
      <c r="I622" s="218" t="s">
        <v>42</v>
      </c>
      <c r="J622" s="221">
        <v>1.0</v>
      </c>
      <c r="K622" s="127"/>
      <c r="L622" s="127"/>
      <c r="M622" s="127"/>
      <c r="N622" s="127"/>
      <c r="O622" s="127"/>
      <c r="P622" s="127"/>
      <c r="Q622" s="128"/>
      <c r="R622" s="128"/>
      <c r="S622" s="218" t="s">
        <v>189</v>
      </c>
      <c r="T622" s="218" t="s">
        <v>66</v>
      </c>
      <c r="U622" s="218" t="s">
        <v>342</v>
      </c>
      <c r="V622" s="218" t="s">
        <v>78</v>
      </c>
      <c r="W622" s="129"/>
      <c r="X622" s="129"/>
      <c r="Y622" s="129"/>
      <c r="Z622" s="129"/>
      <c r="AA622" s="222">
        <v>6338.0</v>
      </c>
      <c r="AB622" s="222">
        <v>26396.5</v>
      </c>
      <c r="AC622" s="24" t="s">
        <v>2038</v>
      </c>
      <c r="AD622" s="195">
        <v>5309.0</v>
      </c>
      <c r="AE622" s="38"/>
      <c r="AF622" s="218" t="str">
        <f t="shared" si="1"/>
        <v>Buenos Aires, Argentina</v>
      </c>
      <c r="AG622" s="218">
        <f t="shared" si="2"/>
        <v>1</v>
      </c>
      <c r="AH622" s="223">
        <f t="shared" si="3"/>
        <v>0</v>
      </c>
      <c r="AI622" s="223">
        <f t="shared" si="4"/>
        <v>0</v>
      </c>
      <c r="AJ622" s="222">
        <f t="shared" si="5"/>
        <v>32734.5</v>
      </c>
      <c r="AK622" s="222">
        <f t="shared" si="6"/>
        <v>32734.5</v>
      </c>
      <c r="AL622" s="132"/>
      <c r="AM622" s="132"/>
    </row>
    <row r="623">
      <c r="A623" s="218">
        <v>622.0</v>
      </c>
      <c r="B623" s="219">
        <v>44301.0</v>
      </c>
      <c r="C623" s="195" t="str">
        <f t="shared" si="7"/>
        <v>42021</v>
      </c>
      <c r="D623" s="220" t="s">
        <v>2039</v>
      </c>
      <c r="E623" s="218" t="s">
        <v>2040</v>
      </c>
      <c r="F623" s="220" t="s">
        <v>1423</v>
      </c>
      <c r="G623" s="218" t="s">
        <v>40</v>
      </c>
      <c r="H623" s="218" t="s">
        <v>547</v>
      </c>
      <c r="I623" s="218" t="s">
        <v>42</v>
      </c>
      <c r="J623" s="221">
        <v>1.0</v>
      </c>
      <c r="K623" s="127"/>
      <c r="L623" s="127"/>
      <c r="M623" s="127"/>
      <c r="N623" s="127"/>
      <c r="O623" s="127"/>
      <c r="P623" s="127"/>
      <c r="Q623" s="128"/>
      <c r="R623" s="128"/>
      <c r="S623" s="218" t="s">
        <v>105</v>
      </c>
      <c r="T623" s="218" t="s">
        <v>66</v>
      </c>
      <c r="U623" s="218" t="s">
        <v>45</v>
      </c>
      <c r="V623" s="218" t="s">
        <v>78</v>
      </c>
      <c r="W623" s="129"/>
      <c r="X623" s="129"/>
      <c r="Y623" s="129"/>
      <c r="Z623" s="129"/>
      <c r="AA623" s="222">
        <v>3803.0</v>
      </c>
      <c r="AB623" s="222">
        <v>11409.0</v>
      </c>
      <c r="AC623" s="24" t="s">
        <v>2041</v>
      </c>
      <c r="AD623" s="195">
        <v>5311.0</v>
      </c>
      <c r="AE623" s="38"/>
      <c r="AF623" s="218" t="str">
        <f t="shared" si="1"/>
        <v>Buenos Aires, Argentina</v>
      </c>
      <c r="AG623" s="218">
        <f t="shared" si="2"/>
        <v>1</v>
      </c>
      <c r="AH623" s="223">
        <f t="shared" si="3"/>
        <v>0</v>
      </c>
      <c r="AI623" s="223">
        <f t="shared" si="4"/>
        <v>0</v>
      </c>
      <c r="AJ623" s="222">
        <f t="shared" si="5"/>
        <v>15212</v>
      </c>
      <c r="AK623" s="222">
        <f t="shared" si="6"/>
        <v>15212</v>
      </c>
      <c r="AL623" s="132"/>
      <c r="AM623" s="132"/>
    </row>
    <row r="624">
      <c r="A624" s="218">
        <v>623.0</v>
      </c>
      <c r="B624" s="219">
        <v>44301.0</v>
      </c>
      <c r="C624" s="195" t="str">
        <f t="shared" si="7"/>
        <v>42021</v>
      </c>
      <c r="D624" s="220" t="s">
        <v>2042</v>
      </c>
      <c r="E624" s="218" t="s">
        <v>2043</v>
      </c>
      <c r="F624" s="220" t="s">
        <v>1412</v>
      </c>
      <c r="G624" s="218" t="s">
        <v>40</v>
      </c>
      <c r="H624" s="218" t="s">
        <v>41</v>
      </c>
      <c r="I624" s="218" t="s">
        <v>42</v>
      </c>
      <c r="J624" s="221">
        <v>2.0</v>
      </c>
      <c r="K624" s="127"/>
      <c r="L624" s="127"/>
      <c r="M624" s="127"/>
      <c r="N624" s="127"/>
      <c r="O624" s="127"/>
      <c r="P624" s="127"/>
      <c r="Q624" s="128"/>
      <c r="R624" s="128"/>
      <c r="S624" s="218" t="s">
        <v>43</v>
      </c>
      <c r="T624" s="218" t="s">
        <v>73</v>
      </c>
      <c r="U624" s="218" t="s">
        <v>342</v>
      </c>
      <c r="V624" s="218" t="s">
        <v>78</v>
      </c>
      <c r="W624" s="129"/>
      <c r="X624" s="129"/>
      <c r="Y624" s="129"/>
      <c r="Z624" s="129"/>
      <c r="AA624" s="222">
        <v>12676.0</v>
      </c>
      <c r="AB624" s="222">
        <v>57042.0</v>
      </c>
      <c r="AC624" s="24" t="s">
        <v>2044</v>
      </c>
      <c r="AD624" s="195">
        <v>5303.0</v>
      </c>
      <c r="AE624" s="38"/>
      <c r="AF624" s="218" t="str">
        <f t="shared" si="1"/>
        <v>Tierra de Fuego, Argentina</v>
      </c>
      <c r="AG624" s="218">
        <f t="shared" si="2"/>
        <v>2</v>
      </c>
      <c r="AH624" s="223">
        <f t="shared" si="3"/>
        <v>0</v>
      </c>
      <c r="AI624" s="223">
        <f t="shared" si="4"/>
        <v>0</v>
      </c>
      <c r="AJ624" s="222">
        <f t="shared" si="5"/>
        <v>69718</v>
      </c>
      <c r="AK624" s="222">
        <f t="shared" si="6"/>
        <v>69718</v>
      </c>
      <c r="AL624" s="132"/>
      <c r="AM624" s="132"/>
    </row>
    <row r="625">
      <c r="A625" s="218">
        <v>624.0</v>
      </c>
      <c r="B625" s="219">
        <v>44302.0</v>
      </c>
      <c r="C625" s="195" t="str">
        <f t="shared" si="7"/>
        <v>42021</v>
      </c>
      <c r="D625" s="220" t="s">
        <v>2045</v>
      </c>
      <c r="E625" s="218" t="s">
        <v>2046</v>
      </c>
      <c r="F625" s="220" t="s">
        <v>1492</v>
      </c>
      <c r="G625" s="218" t="s">
        <v>64</v>
      </c>
      <c r="H625" s="218" t="s">
        <v>41</v>
      </c>
      <c r="I625" s="218" t="s">
        <v>643</v>
      </c>
      <c r="J625" s="127"/>
      <c r="K625" s="127"/>
      <c r="L625" s="127"/>
      <c r="M625" s="127"/>
      <c r="N625" s="221">
        <v>1.0</v>
      </c>
      <c r="O625" s="127"/>
      <c r="P625" s="127"/>
      <c r="Q625" s="128"/>
      <c r="R625" s="128"/>
      <c r="S625" s="218" t="s">
        <v>65</v>
      </c>
      <c r="T625" s="218" t="s">
        <v>66</v>
      </c>
      <c r="U625" s="218" t="s">
        <v>67</v>
      </c>
      <c r="V625" s="218" t="s">
        <v>1984</v>
      </c>
      <c r="W625" s="129"/>
      <c r="X625" s="129"/>
      <c r="Y625" s="129"/>
      <c r="Z625" s="129"/>
      <c r="AA625" s="222">
        <v>6338.0</v>
      </c>
      <c r="AB625" s="222">
        <v>0.0</v>
      </c>
      <c r="AC625" s="24" t="s">
        <v>2047</v>
      </c>
      <c r="AD625" s="195">
        <v>5315.0</v>
      </c>
      <c r="AE625" s="38"/>
      <c r="AF625" s="218" t="str">
        <f t="shared" si="1"/>
        <v>Buenos Aires, Argentina</v>
      </c>
      <c r="AG625" s="218">
        <f t="shared" si="2"/>
        <v>1</v>
      </c>
      <c r="AH625" s="223">
        <f t="shared" si="3"/>
        <v>0</v>
      </c>
      <c r="AI625" s="223">
        <f t="shared" si="4"/>
        <v>0</v>
      </c>
      <c r="AJ625" s="222">
        <f t="shared" si="5"/>
        <v>6338</v>
      </c>
      <c r="AK625" s="222">
        <f t="shared" si="6"/>
        <v>6338</v>
      </c>
      <c r="AL625" s="132"/>
      <c r="AM625" s="132"/>
    </row>
    <row r="626">
      <c r="A626" s="218">
        <v>625.0</v>
      </c>
      <c r="B626" s="219">
        <v>44302.0</v>
      </c>
      <c r="C626" s="195" t="str">
        <f t="shared" si="7"/>
        <v>42021</v>
      </c>
      <c r="D626" s="220" t="s">
        <v>2048</v>
      </c>
      <c r="E626" s="218" t="s">
        <v>2049</v>
      </c>
      <c r="F626" s="220" t="s">
        <v>1423</v>
      </c>
      <c r="G626" s="218" t="s">
        <v>64</v>
      </c>
      <c r="H626" s="218" t="s">
        <v>41</v>
      </c>
      <c r="I626" s="218" t="s">
        <v>643</v>
      </c>
      <c r="J626" s="221">
        <v>1.0</v>
      </c>
      <c r="K626" s="127"/>
      <c r="L626" s="127"/>
      <c r="M626" s="127"/>
      <c r="N626" s="127"/>
      <c r="O626" s="127"/>
      <c r="P626" s="127"/>
      <c r="Q626" s="128"/>
      <c r="R626" s="128"/>
      <c r="S626" s="218" t="s">
        <v>98</v>
      </c>
      <c r="T626" s="218" t="s">
        <v>58</v>
      </c>
      <c r="U626" s="218" t="s">
        <v>67</v>
      </c>
      <c r="V626" s="218" t="s">
        <v>1984</v>
      </c>
      <c r="W626" s="129"/>
      <c r="X626" s="129"/>
      <c r="Y626" s="129"/>
      <c r="Z626" s="129"/>
      <c r="AA626" s="222">
        <v>6338.0</v>
      </c>
      <c r="AB626" s="222">
        <v>31690.0</v>
      </c>
      <c r="AC626" s="24" t="s">
        <v>2050</v>
      </c>
      <c r="AD626" s="195">
        <v>5325.0</v>
      </c>
      <c r="AE626" s="38"/>
      <c r="AF626" s="218" t="str">
        <f t="shared" si="1"/>
        <v>Córdoba, Argentina</v>
      </c>
      <c r="AG626" s="218">
        <f t="shared" si="2"/>
        <v>1</v>
      </c>
      <c r="AH626" s="223">
        <f t="shared" si="3"/>
        <v>0</v>
      </c>
      <c r="AI626" s="223">
        <f t="shared" si="4"/>
        <v>0</v>
      </c>
      <c r="AJ626" s="222">
        <f t="shared" si="5"/>
        <v>38028</v>
      </c>
      <c r="AK626" s="222">
        <f t="shared" si="6"/>
        <v>38028</v>
      </c>
      <c r="AL626" s="132"/>
      <c r="AM626" s="132"/>
    </row>
    <row r="627">
      <c r="A627" s="218">
        <v>626.0</v>
      </c>
      <c r="B627" s="219">
        <v>44307.0</v>
      </c>
      <c r="C627" s="195" t="str">
        <f t="shared" si="7"/>
        <v>42021</v>
      </c>
      <c r="D627" s="220" t="s">
        <v>2051</v>
      </c>
      <c r="E627" s="218" t="s">
        <v>531</v>
      </c>
      <c r="F627" s="220" t="s">
        <v>2052</v>
      </c>
      <c r="G627" s="218" t="s">
        <v>64</v>
      </c>
      <c r="H627" s="218" t="s">
        <v>41</v>
      </c>
      <c r="I627" s="218" t="s">
        <v>643</v>
      </c>
      <c r="J627" s="221">
        <v>2.0</v>
      </c>
      <c r="K627" s="221">
        <v>1.0</v>
      </c>
      <c r="L627" s="127"/>
      <c r="M627" s="127"/>
      <c r="N627" s="127"/>
      <c r="O627" s="127"/>
      <c r="P627" s="127"/>
      <c r="Q627" s="128"/>
      <c r="R627" s="128"/>
      <c r="S627" s="218" t="s">
        <v>89</v>
      </c>
      <c r="T627" s="218" t="s">
        <v>66</v>
      </c>
      <c r="U627" s="218" t="s">
        <v>67</v>
      </c>
      <c r="V627" s="218" t="s">
        <v>84</v>
      </c>
      <c r="W627" s="129"/>
      <c r="X627" s="129"/>
      <c r="Y627" s="129"/>
      <c r="Z627" s="129"/>
      <c r="AA627" s="222">
        <v>16859.0</v>
      </c>
      <c r="AB627" s="222">
        <v>84295.0</v>
      </c>
      <c r="AC627" s="24" t="s">
        <v>2053</v>
      </c>
      <c r="AD627" s="195">
        <v>5339.0</v>
      </c>
      <c r="AE627" s="38"/>
      <c r="AF627" s="218" t="str">
        <f t="shared" si="1"/>
        <v>Buenos Aires, Argentina</v>
      </c>
      <c r="AG627" s="218">
        <f t="shared" si="2"/>
        <v>3</v>
      </c>
      <c r="AH627" s="223">
        <f t="shared" si="3"/>
        <v>0</v>
      </c>
      <c r="AI627" s="223">
        <f t="shared" si="4"/>
        <v>0</v>
      </c>
      <c r="AJ627" s="222">
        <f t="shared" si="5"/>
        <v>101154</v>
      </c>
      <c r="AK627" s="222">
        <f t="shared" si="6"/>
        <v>101154</v>
      </c>
      <c r="AL627" s="132"/>
      <c r="AM627" s="132"/>
    </row>
    <row r="628">
      <c r="A628" s="218">
        <v>627.0</v>
      </c>
      <c r="B628" s="219">
        <v>44309.0</v>
      </c>
      <c r="C628" s="195" t="str">
        <f t="shared" si="7"/>
        <v>42021</v>
      </c>
      <c r="D628" s="220" t="s">
        <v>2054</v>
      </c>
      <c r="E628" s="218" t="s">
        <v>2055</v>
      </c>
      <c r="F628" s="220" t="s">
        <v>2056</v>
      </c>
      <c r="G628" s="218" t="s">
        <v>40</v>
      </c>
      <c r="H628" s="218" t="s">
        <v>41</v>
      </c>
      <c r="I628" s="218" t="s">
        <v>42</v>
      </c>
      <c r="J628" s="221">
        <v>1.0</v>
      </c>
      <c r="K628" s="127"/>
      <c r="L628" s="127"/>
      <c r="M628" s="221">
        <v>1.0</v>
      </c>
      <c r="N628" s="127"/>
      <c r="O628" s="127"/>
      <c r="P628" s="127"/>
      <c r="Q628" s="128"/>
      <c r="R628" s="128"/>
      <c r="S628" s="218" t="s">
        <v>114</v>
      </c>
      <c r="T628" s="218" t="s">
        <v>539</v>
      </c>
      <c r="U628" s="218" t="s">
        <v>45</v>
      </c>
      <c r="V628" s="218" t="s">
        <v>59</v>
      </c>
      <c r="W628" s="129"/>
      <c r="X628" s="129"/>
      <c r="Y628" s="129"/>
      <c r="Z628" s="129"/>
      <c r="AA628" s="222">
        <v>12676.0</v>
      </c>
      <c r="AB628" s="222">
        <v>63380.0</v>
      </c>
      <c r="AC628" s="24" t="s">
        <v>2057</v>
      </c>
      <c r="AD628" s="195">
        <v>5347.0</v>
      </c>
      <c r="AE628" s="38"/>
      <c r="AF628" s="218" t="str">
        <f t="shared" si="1"/>
        <v>Misiones, Argentina</v>
      </c>
      <c r="AG628" s="218">
        <f t="shared" si="2"/>
        <v>2</v>
      </c>
      <c r="AH628" s="223">
        <f t="shared" si="3"/>
        <v>0</v>
      </c>
      <c r="AI628" s="223">
        <f t="shared" si="4"/>
        <v>0</v>
      </c>
      <c r="AJ628" s="222">
        <f t="shared" si="5"/>
        <v>76056</v>
      </c>
      <c r="AK628" s="222">
        <f t="shared" si="6"/>
        <v>76056</v>
      </c>
      <c r="AL628" s="132"/>
      <c r="AM628" s="132"/>
    </row>
    <row r="629">
      <c r="A629" s="218">
        <v>628.0</v>
      </c>
      <c r="B629" s="219">
        <v>44309.0</v>
      </c>
      <c r="C629" s="195" t="str">
        <f t="shared" si="7"/>
        <v>42021</v>
      </c>
      <c r="D629" s="220" t="s">
        <v>1872</v>
      </c>
      <c r="E629" s="218" t="s">
        <v>1873</v>
      </c>
      <c r="F629" s="220" t="s">
        <v>1427</v>
      </c>
      <c r="G629" s="218" t="s">
        <v>64</v>
      </c>
      <c r="H629" s="218" t="s">
        <v>41</v>
      </c>
      <c r="I629" s="218" t="s">
        <v>643</v>
      </c>
      <c r="J629" s="127"/>
      <c r="K629" s="221">
        <v>2.0</v>
      </c>
      <c r="L629" s="127"/>
      <c r="M629" s="127"/>
      <c r="N629" s="127"/>
      <c r="O629" s="127"/>
      <c r="P629" s="127"/>
      <c r="Q629" s="128"/>
      <c r="R629" s="128"/>
      <c r="S629" s="218" t="s">
        <v>189</v>
      </c>
      <c r="T629" s="218" t="s">
        <v>66</v>
      </c>
      <c r="U629" s="218" t="s">
        <v>99</v>
      </c>
      <c r="V629" s="218" t="s">
        <v>1984</v>
      </c>
      <c r="W629" s="129"/>
      <c r="X629" s="129"/>
      <c r="Y629" s="129"/>
      <c r="Z629" s="129"/>
      <c r="AA629" s="222">
        <v>8366.0</v>
      </c>
      <c r="AB629" s="222">
        <v>41830.0</v>
      </c>
      <c r="AC629" s="24" t="s">
        <v>2058</v>
      </c>
      <c r="AD629" s="195">
        <v>5345.0</v>
      </c>
      <c r="AE629" s="38"/>
      <c r="AF629" s="218" t="str">
        <f t="shared" si="1"/>
        <v>Buenos Aires, Argentina</v>
      </c>
      <c r="AG629" s="218">
        <f t="shared" si="2"/>
        <v>2</v>
      </c>
      <c r="AH629" s="223">
        <f t="shared" si="3"/>
        <v>0</v>
      </c>
      <c r="AI629" s="223">
        <f t="shared" si="4"/>
        <v>0</v>
      </c>
      <c r="AJ629" s="222">
        <f t="shared" si="5"/>
        <v>50196</v>
      </c>
      <c r="AK629" s="222">
        <f t="shared" si="6"/>
        <v>50196</v>
      </c>
      <c r="AL629" s="132"/>
      <c r="AM629" s="132"/>
    </row>
    <row r="630">
      <c r="A630" s="218">
        <v>629.0</v>
      </c>
      <c r="B630" s="219">
        <v>44312.0</v>
      </c>
      <c r="C630" s="195" t="str">
        <f t="shared" si="7"/>
        <v>42021</v>
      </c>
      <c r="D630" s="220" t="s">
        <v>1961</v>
      </c>
      <c r="E630" s="218" t="s">
        <v>1962</v>
      </c>
      <c r="F630" s="220" t="s">
        <v>2059</v>
      </c>
      <c r="G630" s="218" t="s">
        <v>64</v>
      </c>
      <c r="H630" s="218" t="s">
        <v>227</v>
      </c>
      <c r="I630" s="218" t="s">
        <v>643</v>
      </c>
      <c r="J630" s="221">
        <v>7.0</v>
      </c>
      <c r="K630" s="127"/>
      <c r="L630" s="127"/>
      <c r="M630" s="127"/>
      <c r="N630" s="127"/>
      <c r="O630" s="127"/>
      <c r="P630" s="127"/>
      <c r="Q630" s="128"/>
      <c r="R630" s="128"/>
      <c r="S630" s="218" t="s">
        <v>89</v>
      </c>
      <c r="T630" s="218" t="s">
        <v>83</v>
      </c>
      <c r="U630" s="218" t="s">
        <v>53</v>
      </c>
      <c r="V630" s="218" t="s">
        <v>84</v>
      </c>
      <c r="W630" s="129"/>
      <c r="X630" s="129"/>
      <c r="Y630" s="129"/>
      <c r="Z630" s="129"/>
      <c r="AA630" s="222">
        <v>66542.0</v>
      </c>
      <c r="AB630" s="222">
        <v>399252.0</v>
      </c>
      <c r="AC630" s="24" t="s">
        <v>2060</v>
      </c>
      <c r="AD630" s="195">
        <v>5357.0</v>
      </c>
      <c r="AE630" s="38"/>
      <c r="AF630" s="218" t="str">
        <f t="shared" si="1"/>
        <v>Capital Federal, Argentina</v>
      </c>
      <c r="AG630" s="218">
        <f t="shared" si="2"/>
        <v>7</v>
      </c>
      <c r="AH630" s="223">
        <f t="shared" si="3"/>
        <v>0</v>
      </c>
      <c r="AI630" s="223">
        <f t="shared" si="4"/>
        <v>0</v>
      </c>
      <c r="AJ630" s="222">
        <f t="shared" si="5"/>
        <v>465794</v>
      </c>
      <c r="AK630" s="222">
        <f t="shared" si="6"/>
        <v>465794</v>
      </c>
      <c r="AL630" s="132"/>
      <c r="AM630" s="132"/>
    </row>
    <row r="631">
      <c r="A631" s="218">
        <v>630.0</v>
      </c>
      <c r="B631" s="219">
        <v>44314.0</v>
      </c>
      <c r="C631" s="195" t="str">
        <f t="shared" si="7"/>
        <v>42021</v>
      </c>
      <c r="D631" s="220" t="s">
        <v>2061</v>
      </c>
      <c r="E631" s="218" t="s">
        <v>2062</v>
      </c>
      <c r="F631" s="220" t="s">
        <v>2063</v>
      </c>
      <c r="G631" s="218" t="s">
        <v>40</v>
      </c>
      <c r="H631" s="218" t="s">
        <v>41</v>
      </c>
      <c r="I631" s="218" t="s">
        <v>42</v>
      </c>
      <c r="J631" s="221">
        <v>2.0</v>
      </c>
      <c r="K631" s="221">
        <v>2.0</v>
      </c>
      <c r="L631" s="127"/>
      <c r="M631" s="221">
        <v>1.0</v>
      </c>
      <c r="N631" s="127"/>
      <c r="O631" s="127"/>
      <c r="P631" s="127"/>
      <c r="Q631" s="128"/>
      <c r="R631" s="128"/>
      <c r="S631" s="218" t="s">
        <v>105</v>
      </c>
      <c r="T631" s="218" t="s">
        <v>66</v>
      </c>
      <c r="U631" s="218" t="s">
        <v>53</v>
      </c>
      <c r="V631" s="218" t="s">
        <v>78</v>
      </c>
      <c r="W631" s="129"/>
      <c r="X631" s="129"/>
      <c r="Y631" s="129"/>
      <c r="Z631" s="129"/>
      <c r="AA631" s="222">
        <v>27380.0</v>
      </c>
      <c r="AB631" s="222">
        <v>136900.0</v>
      </c>
      <c r="AC631" s="24" t="s">
        <v>2064</v>
      </c>
      <c r="AD631" s="195">
        <v>5363.0</v>
      </c>
      <c r="AE631" s="38"/>
      <c r="AF631" s="218" t="str">
        <f t="shared" si="1"/>
        <v>Buenos Aires, Argentina</v>
      </c>
      <c r="AG631" s="218">
        <f t="shared" si="2"/>
        <v>5</v>
      </c>
      <c r="AH631" s="223">
        <f t="shared" si="3"/>
        <v>0</v>
      </c>
      <c r="AI631" s="223">
        <f t="shared" si="4"/>
        <v>0</v>
      </c>
      <c r="AJ631" s="222">
        <f t="shared" si="5"/>
        <v>164280</v>
      </c>
      <c r="AK631" s="222">
        <f t="shared" si="6"/>
        <v>164280</v>
      </c>
      <c r="AL631" s="132"/>
      <c r="AM631" s="132"/>
    </row>
    <row r="632">
      <c r="A632" s="218">
        <v>631.0</v>
      </c>
      <c r="B632" s="219">
        <v>44314.0</v>
      </c>
      <c r="C632" s="195" t="str">
        <f t="shared" si="7"/>
        <v>42021</v>
      </c>
      <c r="D632" s="220" t="s">
        <v>2065</v>
      </c>
      <c r="E632" s="218" t="s">
        <v>2066</v>
      </c>
      <c r="F632" s="220" t="s">
        <v>1427</v>
      </c>
      <c r="G632" s="218" t="s">
        <v>64</v>
      </c>
      <c r="H632" s="218" t="s">
        <v>41</v>
      </c>
      <c r="I632" s="218" t="s">
        <v>643</v>
      </c>
      <c r="J632" s="127"/>
      <c r="K632" s="221">
        <v>2.0</v>
      </c>
      <c r="L632" s="127"/>
      <c r="M632" s="127"/>
      <c r="N632" s="127"/>
      <c r="O632" s="127"/>
      <c r="P632" s="127"/>
      <c r="Q632" s="128"/>
      <c r="R632" s="128"/>
      <c r="S632" s="218" t="s">
        <v>72</v>
      </c>
      <c r="T632" s="218" t="s">
        <v>73</v>
      </c>
      <c r="U632" s="218" t="s">
        <v>67</v>
      </c>
      <c r="V632" s="218" t="s">
        <v>1984</v>
      </c>
      <c r="W632" s="129"/>
      <c r="X632" s="129"/>
      <c r="Y632" s="129"/>
      <c r="Z632" s="129"/>
      <c r="AA632" s="222">
        <v>8366.0</v>
      </c>
      <c r="AB632" s="222">
        <v>41830.0</v>
      </c>
      <c r="AC632" s="24" t="s">
        <v>2067</v>
      </c>
      <c r="AD632" s="195">
        <v>5366.0</v>
      </c>
      <c r="AE632" s="38"/>
      <c r="AF632" s="218" t="str">
        <f t="shared" si="1"/>
        <v>Tierra de Fuego, Argentina</v>
      </c>
      <c r="AG632" s="218">
        <f t="shared" si="2"/>
        <v>2</v>
      </c>
      <c r="AH632" s="223">
        <f t="shared" si="3"/>
        <v>0</v>
      </c>
      <c r="AI632" s="223">
        <f t="shared" si="4"/>
        <v>0</v>
      </c>
      <c r="AJ632" s="222">
        <f t="shared" si="5"/>
        <v>50196</v>
      </c>
      <c r="AK632" s="222">
        <f t="shared" si="6"/>
        <v>50196</v>
      </c>
      <c r="AL632" s="132"/>
      <c r="AM632" s="132"/>
    </row>
    <row r="633">
      <c r="A633" s="218">
        <v>632.0</v>
      </c>
      <c r="B633" s="219">
        <v>44316.0</v>
      </c>
      <c r="C633" s="195" t="str">
        <f t="shared" si="7"/>
        <v>42021</v>
      </c>
      <c r="D633" s="220" t="s">
        <v>2068</v>
      </c>
      <c r="E633" s="218" t="s">
        <v>2069</v>
      </c>
      <c r="F633" s="220" t="s">
        <v>1474</v>
      </c>
      <c r="G633" s="218" t="s">
        <v>40</v>
      </c>
      <c r="H633" s="218" t="s">
        <v>547</v>
      </c>
      <c r="I633" s="218" t="s">
        <v>42</v>
      </c>
      <c r="J633" s="221">
        <v>3.0</v>
      </c>
      <c r="K633" s="127"/>
      <c r="L633" s="127"/>
      <c r="M633" s="127"/>
      <c r="N633" s="127"/>
      <c r="O633" s="127"/>
      <c r="P633" s="127"/>
      <c r="Q633" s="128"/>
      <c r="R633" s="128"/>
      <c r="S633" s="218" t="s">
        <v>109</v>
      </c>
      <c r="T633" s="218" t="s">
        <v>66</v>
      </c>
      <c r="U633" s="218" t="s">
        <v>342</v>
      </c>
      <c r="V633" s="218" t="s">
        <v>78</v>
      </c>
      <c r="W633" s="129"/>
      <c r="X633" s="129"/>
      <c r="Y633" s="129"/>
      <c r="Z633" s="129"/>
      <c r="AA633" s="222">
        <v>11409.0</v>
      </c>
      <c r="AB633" s="222">
        <v>51340.5</v>
      </c>
      <c r="AC633" s="24" t="s">
        <v>2070</v>
      </c>
      <c r="AD633" s="195">
        <v>5371.0</v>
      </c>
      <c r="AE633" s="38"/>
      <c r="AF633" s="218" t="str">
        <f t="shared" si="1"/>
        <v>Buenos Aires, Argentina</v>
      </c>
      <c r="AG633" s="218">
        <f t="shared" si="2"/>
        <v>3</v>
      </c>
      <c r="AH633" s="223">
        <f t="shared" si="3"/>
        <v>0</v>
      </c>
      <c r="AI633" s="223">
        <f t="shared" si="4"/>
        <v>0</v>
      </c>
      <c r="AJ633" s="222">
        <f t="shared" si="5"/>
        <v>62749.5</v>
      </c>
      <c r="AK633" s="222">
        <f t="shared" si="6"/>
        <v>62749.5</v>
      </c>
      <c r="AL633" s="132"/>
      <c r="AM633" s="132"/>
    </row>
    <row r="634">
      <c r="A634" s="218">
        <v>633.0</v>
      </c>
      <c r="B634" s="219">
        <v>44316.0</v>
      </c>
      <c r="C634" s="195" t="str">
        <f t="shared" si="7"/>
        <v>42021</v>
      </c>
      <c r="D634" s="220" t="s">
        <v>2071</v>
      </c>
      <c r="E634" s="218" t="s">
        <v>2072</v>
      </c>
      <c r="F634" s="220" t="s">
        <v>2073</v>
      </c>
      <c r="G634" s="218" t="s">
        <v>40</v>
      </c>
      <c r="H634" s="218" t="s">
        <v>41</v>
      </c>
      <c r="I634" s="218" t="s">
        <v>42</v>
      </c>
      <c r="J634" s="221">
        <v>1.0</v>
      </c>
      <c r="K634" s="221">
        <v>1.0</v>
      </c>
      <c r="L634" s="127"/>
      <c r="M634" s="221">
        <v>1.0</v>
      </c>
      <c r="N634" s="127"/>
      <c r="O634" s="127"/>
      <c r="P634" s="127"/>
      <c r="Q634" s="128"/>
      <c r="R634" s="128"/>
      <c r="S634" s="218" t="s">
        <v>98</v>
      </c>
      <c r="T634" s="218" t="s">
        <v>83</v>
      </c>
      <c r="U634" s="218" t="s">
        <v>45</v>
      </c>
      <c r="V634" s="218" t="s">
        <v>59</v>
      </c>
      <c r="W634" s="129"/>
      <c r="X634" s="129"/>
      <c r="Y634" s="129"/>
      <c r="Z634" s="129"/>
      <c r="AA634" s="222">
        <v>16859.0</v>
      </c>
      <c r="AB634" s="222">
        <v>84295.0</v>
      </c>
      <c r="AC634" s="24" t="s">
        <v>2074</v>
      </c>
      <c r="AD634" s="195">
        <v>5377.0</v>
      </c>
      <c r="AE634" s="38"/>
      <c r="AF634" s="218" t="str">
        <f t="shared" si="1"/>
        <v>Capital Federal, Argentina</v>
      </c>
      <c r="AG634" s="218">
        <f t="shared" si="2"/>
        <v>3</v>
      </c>
      <c r="AH634" s="223">
        <f t="shared" si="3"/>
        <v>0</v>
      </c>
      <c r="AI634" s="223">
        <f t="shared" si="4"/>
        <v>0</v>
      </c>
      <c r="AJ634" s="222">
        <f t="shared" si="5"/>
        <v>101154</v>
      </c>
      <c r="AK634" s="222">
        <f t="shared" si="6"/>
        <v>101154</v>
      </c>
      <c r="AL634" s="132"/>
      <c r="AM634" s="132"/>
    </row>
    <row r="635">
      <c r="A635" s="224">
        <v>634.0</v>
      </c>
      <c r="B635" s="225">
        <v>44317.0</v>
      </c>
      <c r="C635" s="195" t="str">
        <f t="shared" si="7"/>
        <v>52021</v>
      </c>
      <c r="D635" s="226" t="s">
        <v>2075</v>
      </c>
      <c r="E635" s="224" t="s">
        <v>2076</v>
      </c>
      <c r="F635" s="226" t="s">
        <v>1423</v>
      </c>
      <c r="G635" s="224" t="s">
        <v>64</v>
      </c>
      <c r="H635" s="224" t="s">
        <v>41</v>
      </c>
      <c r="I635" s="224" t="s">
        <v>643</v>
      </c>
      <c r="J635" s="227">
        <v>1.0</v>
      </c>
      <c r="K635" s="228"/>
      <c r="L635" s="228"/>
      <c r="M635" s="228"/>
      <c r="N635" s="228"/>
      <c r="O635" s="228"/>
      <c r="P635" s="228"/>
      <c r="Q635" s="229"/>
      <c r="R635" s="229"/>
      <c r="S635" s="224" t="s">
        <v>72</v>
      </c>
      <c r="T635" s="224" t="s">
        <v>83</v>
      </c>
      <c r="U635" s="224" t="s">
        <v>99</v>
      </c>
      <c r="V635" s="224" t="s">
        <v>1470</v>
      </c>
      <c r="W635" s="230"/>
      <c r="X635" s="230"/>
      <c r="Y635" s="230"/>
      <c r="Z635" s="230"/>
      <c r="AA635" s="231">
        <v>6663.0</v>
      </c>
      <c r="AB635" s="231">
        <v>33315.0</v>
      </c>
      <c r="AC635" s="24" t="s">
        <v>2077</v>
      </c>
      <c r="AD635" s="195">
        <v>5385.0</v>
      </c>
      <c r="AE635" s="38"/>
      <c r="AF635" s="224" t="str">
        <f t="shared" si="1"/>
        <v>Capital Federal, Argentina</v>
      </c>
      <c r="AG635" s="224">
        <f t="shared" si="2"/>
        <v>1</v>
      </c>
      <c r="AH635" s="232">
        <f t="shared" si="3"/>
        <v>0</v>
      </c>
      <c r="AI635" s="232">
        <f t="shared" si="4"/>
        <v>0</v>
      </c>
      <c r="AJ635" s="231">
        <f t="shared" si="5"/>
        <v>39978</v>
      </c>
      <c r="AK635" s="231">
        <f t="shared" si="6"/>
        <v>39978</v>
      </c>
      <c r="AL635" s="233"/>
      <c r="AM635" s="233"/>
    </row>
    <row r="636">
      <c r="A636" s="224">
        <v>635.0</v>
      </c>
      <c r="B636" s="225">
        <v>44321.0</v>
      </c>
      <c r="C636" s="195" t="str">
        <f t="shared" si="7"/>
        <v>52021</v>
      </c>
      <c r="D636" s="226" t="s">
        <v>1821</v>
      </c>
      <c r="E636" s="224" t="s">
        <v>1822</v>
      </c>
      <c r="F636" s="226" t="s">
        <v>1415</v>
      </c>
      <c r="G636" s="224" t="s">
        <v>64</v>
      </c>
      <c r="H636" s="224" t="s">
        <v>41</v>
      </c>
      <c r="I636" s="224" t="s">
        <v>643</v>
      </c>
      <c r="J636" s="228"/>
      <c r="K636" s="227">
        <v>1.0</v>
      </c>
      <c r="L636" s="228"/>
      <c r="M636" s="228"/>
      <c r="N636" s="228"/>
      <c r="O636" s="228"/>
      <c r="P636" s="228"/>
      <c r="Q636" s="229"/>
      <c r="R636" s="229"/>
      <c r="S636" s="224" t="s">
        <v>65</v>
      </c>
      <c r="T636" s="224" t="s">
        <v>66</v>
      </c>
      <c r="U636" s="224" t="s">
        <v>99</v>
      </c>
      <c r="V636" s="224" t="s">
        <v>1470</v>
      </c>
      <c r="W636" s="230"/>
      <c r="X636" s="230"/>
      <c r="Y636" s="230"/>
      <c r="Z636" s="230"/>
      <c r="AA636" s="231">
        <v>4397.0</v>
      </c>
      <c r="AB636" s="231">
        <v>21985.0</v>
      </c>
      <c r="AC636" s="24" t="s">
        <v>2078</v>
      </c>
      <c r="AD636" s="195">
        <v>5397.0</v>
      </c>
      <c r="AE636" s="38"/>
      <c r="AF636" s="224" t="str">
        <f t="shared" si="1"/>
        <v>Buenos Aires, Argentina</v>
      </c>
      <c r="AG636" s="224">
        <f t="shared" si="2"/>
        <v>1</v>
      </c>
      <c r="AH636" s="232">
        <f t="shared" si="3"/>
        <v>0</v>
      </c>
      <c r="AI636" s="232">
        <f t="shared" si="4"/>
        <v>0</v>
      </c>
      <c r="AJ636" s="231">
        <f t="shared" si="5"/>
        <v>26382</v>
      </c>
      <c r="AK636" s="231">
        <f t="shared" si="6"/>
        <v>26382</v>
      </c>
      <c r="AL636" s="233"/>
      <c r="AM636" s="233"/>
    </row>
    <row r="637">
      <c r="A637" s="224">
        <v>636.0</v>
      </c>
      <c r="B637" s="225">
        <v>44322.0</v>
      </c>
      <c r="C637" s="195" t="str">
        <f t="shared" si="7"/>
        <v>52021</v>
      </c>
      <c r="D637" s="226" t="s">
        <v>2079</v>
      </c>
      <c r="E637" s="224" t="s">
        <v>2080</v>
      </c>
      <c r="F637" s="226" t="s">
        <v>1423</v>
      </c>
      <c r="G637" s="224" t="s">
        <v>64</v>
      </c>
      <c r="H637" s="224" t="s">
        <v>41</v>
      </c>
      <c r="I637" s="224" t="s">
        <v>42</v>
      </c>
      <c r="J637" s="227">
        <v>1.0</v>
      </c>
      <c r="K637" s="228"/>
      <c r="L637" s="228"/>
      <c r="M637" s="228"/>
      <c r="N637" s="228"/>
      <c r="O637" s="228"/>
      <c r="P637" s="228"/>
      <c r="Q637" s="229"/>
      <c r="R637" s="229"/>
      <c r="S637" s="224" t="s">
        <v>65</v>
      </c>
      <c r="T637" s="224" t="s">
        <v>66</v>
      </c>
      <c r="U637" s="224" t="s">
        <v>67</v>
      </c>
      <c r="V637" s="224" t="s">
        <v>78</v>
      </c>
      <c r="W637" s="230"/>
      <c r="X637" s="230"/>
      <c r="Y637" s="230"/>
      <c r="Z637" s="230"/>
      <c r="AA637" s="231">
        <v>6663.0</v>
      </c>
      <c r="AB637" s="231">
        <v>33315.0</v>
      </c>
      <c r="AC637" s="24" t="s">
        <v>2081</v>
      </c>
      <c r="AD637" s="195">
        <v>5391.0</v>
      </c>
      <c r="AE637" s="38"/>
      <c r="AF637" s="224" t="str">
        <f t="shared" si="1"/>
        <v>Buenos Aires, Argentina</v>
      </c>
      <c r="AG637" s="224">
        <f t="shared" si="2"/>
        <v>1</v>
      </c>
      <c r="AH637" s="232">
        <f t="shared" si="3"/>
        <v>0</v>
      </c>
      <c r="AI637" s="232">
        <f t="shared" si="4"/>
        <v>0</v>
      </c>
      <c r="AJ637" s="231">
        <f t="shared" si="5"/>
        <v>39978</v>
      </c>
      <c r="AK637" s="231">
        <f t="shared" si="6"/>
        <v>39978</v>
      </c>
      <c r="AL637" s="233"/>
      <c r="AM637" s="233"/>
    </row>
    <row r="638">
      <c r="A638" s="224">
        <v>637.0</v>
      </c>
      <c r="B638" s="225">
        <v>44322.0</v>
      </c>
      <c r="C638" s="195" t="str">
        <f t="shared" si="7"/>
        <v>52021</v>
      </c>
      <c r="D638" s="226" t="s">
        <v>1813</v>
      </c>
      <c r="E638" s="224" t="s">
        <v>2082</v>
      </c>
      <c r="F638" s="226" t="s">
        <v>12</v>
      </c>
      <c r="G638" s="224" t="s">
        <v>64</v>
      </c>
      <c r="H638" s="224" t="s">
        <v>547</v>
      </c>
      <c r="I638" s="224" t="s">
        <v>42</v>
      </c>
      <c r="J638" s="228"/>
      <c r="K638" s="228"/>
      <c r="L638" s="228"/>
      <c r="M638" s="227">
        <v>1.0</v>
      </c>
      <c r="N638" s="228"/>
      <c r="O638" s="228"/>
      <c r="P638" s="228"/>
      <c r="Q638" s="229"/>
      <c r="R638" s="229"/>
      <c r="S638" s="224" t="s">
        <v>167</v>
      </c>
      <c r="T638" s="224" t="s">
        <v>66</v>
      </c>
      <c r="U638" s="224" t="s">
        <v>67</v>
      </c>
      <c r="V638" s="224" t="s">
        <v>59</v>
      </c>
      <c r="W638" s="230"/>
      <c r="X638" s="230"/>
      <c r="Y638" s="230"/>
      <c r="Z638" s="230"/>
      <c r="AA638" s="231">
        <v>3998.0</v>
      </c>
      <c r="AB638" s="231">
        <v>0.0</v>
      </c>
      <c r="AC638" s="24" t="s">
        <v>2083</v>
      </c>
      <c r="AD638" s="195">
        <v>4855.0</v>
      </c>
      <c r="AE638" s="38"/>
      <c r="AF638" s="224" t="str">
        <f t="shared" si="1"/>
        <v>Buenos Aires, Argentina</v>
      </c>
      <c r="AG638" s="224">
        <f t="shared" si="2"/>
        <v>1</v>
      </c>
      <c r="AH638" s="232">
        <f t="shared" si="3"/>
        <v>0</v>
      </c>
      <c r="AI638" s="232">
        <f t="shared" si="4"/>
        <v>0</v>
      </c>
      <c r="AJ638" s="231">
        <f t="shared" si="5"/>
        <v>3998</v>
      </c>
      <c r="AK638" s="231">
        <f t="shared" si="6"/>
        <v>3998</v>
      </c>
      <c r="AL638" s="233"/>
      <c r="AM638" s="233"/>
    </row>
    <row r="639">
      <c r="A639" s="224">
        <v>638.0</v>
      </c>
      <c r="B639" s="225">
        <v>44323.0</v>
      </c>
      <c r="C639" s="195" t="str">
        <f t="shared" si="7"/>
        <v>52021</v>
      </c>
      <c r="D639" s="226" t="s">
        <v>2084</v>
      </c>
      <c r="E639" s="224" t="s">
        <v>2085</v>
      </c>
      <c r="F639" s="226" t="s">
        <v>1423</v>
      </c>
      <c r="G639" s="224" t="s">
        <v>64</v>
      </c>
      <c r="H639" s="224" t="s">
        <v>41</v>
      </c>
      <c r="I639" s="224" t="s">
        <v>643</v>
      </c>
      <c r="J639" s="227">
        <v>1.0</v>
      </c>
      <c r="K639" s="228"/>
      <c r="L639" s="228"/>
      <c r="M639" s="228"/>
      <c r="N639" s="228"/>
      <c r="O639" s="228"/>
      <c r="P639" s="228"/>
      <c r="Q639" s="229"/>
      <c r="R639" s="229"/>
      <c r="S639" s="224" t="s">
        <v>167</v>
      </c>
      <c r="T639" s="224" t="s">
        <v>83</v>
      </c>
      <c r="U639" s="224" t="s">
        <v>99</v>
      </c>
      <c r="V639" s="224" t="s">
        <v>1470</v>
      </c>
      <c r="W639" s="230"/>
      <c r="X639" s="230"/>
      <c r="Y639" s="230"/>
      <c r="Z639" s="230"/>
      <c r="AA639" s="231">
        <v>6663.0</v>
      </c>
      <c r="AB639" s="231">
        <v>33315.0</v>
      </c>
      <c r="AC639" s="24" t="s">
        <v>2086</v>
      </c>
      <c r="AD639" s="195">
        <v>5411.0</v>
      </c>
      <c r="AE639" s="38"/>
      <c r="AF639" s="224" t="str">
        <f t="shared" si="1"/>
        <v>Capital Federal, Argentina</v>
      </c>
      <c r="AG639" s="224">
        <f t="shared" si="2"/>
        <v>1</v>
      </c>
      <c r="AH639" s="232">
        <f t="shared" si="3"/>
        <v>0</v>
      </c>
      <c r="AI639" s="232">
        <f t="shared" si="4"/>
        <v>0</v>
      </c>
      <c r="AJ639" s="231">
        <f t="shared" si="5"/>
        <v>39978</v>
      </c>
      <c r="AK639" s="231">
        <f t="shared" si="6"/>
        <v>39978</v>
      </c>
      <c r="AL639" s="233"/>
      <c r="AM639" s="233"/>
    </row>
    <row r="640">
      <c r="A640" s="224">
        <v>639.0</v>
      </c>
      <c r="B640" s="225">
        <v>44326.0</v>
      </c>
      <c r="C640" s="195" t="str">
        <f t="shared" si="7"/>
        <v>52021</v>
      </c>
      <c r="D640" s="226" t="s">
        <v>1979</v>
      </c>
      <c r="E640" s="224" t="s">
        <v>1980</v>
      </c>
      <c r="F640" s="226" t="s">
        <v>2087</v>
      </c>
      <c r="G640" s="224" t="s">
        <v>64</v>
      </c>
      <c r="H640" s="224" t="s">
        <v>41</v>
      </c>
      <c r="I640" s="224" t="s">
        <v>643</v>
      </c>
      <c r="J640" s="227">
        <v>8.0</v>
      </c>
      <c r="K640" s="228"/>
      <c r="L640" s="228"/>
      <c r="M640" s="228"/>
      <c r="N640" s="228"/>
      <c r="O640" s="228"/>
      <c r="P640" s="228"/>
      <c r="Q640" s="229"/>
      <c r="R640" s="229"/>
      <c r="S640" s="224" t="s">
        <v>65</v>
      </c>
      <c r="T640" s="224" t="s">
        <v>83</v>
      </c>
      <c r="U640" s="224" t="s">
        <v>99</v>
      </c>
      <c r="V640" s="224" t="s">
        <v>84</v>
      </c>
      <c r="W640" s="230"/>
      <c r="X640" s="230"/>
      <c r="Y640" s="230"/>
      <c r="Z640" s="230"/>
      <c r="AA640" s="231">
        <v>47974.0</v>
      </c>
      <c r="AB640" s="231">
        <v>213216.0</v>
      </c>
      <c r="AC640" s="24" t="s">
        <v>2088</v>
      </c>
      <c r="AD640" s="195">
        <v>5419.0</v>
      </c>
      <c r="AE640" s="38"/>
      <c r="AF640" s="224" t="str">
        <f t="shared" si="1"/>
        <v>Capital Federal, Argentina</v>
      </c>
      <c r="AG640" s="224">
        <f t="shared" si="2"/>
        <v>8</v>
      </c>
      <c r="AH640" s="232">
        <f t="shared" si="3"/>
        <v>0</v>
      </c>
      <c r="AI640" s="232">
        <f t="shared" si="4"/>
        <v>0</v>
      </c>
      <c r="AJ640" s="231">
        <f t="shared" si="5"/>
        <v>261190</v>
      </c>
      <c r="AK640" s="231">
        <f t="shared" si="6"/>
        <v>261190</v>
      </c>
      <c r="AL640" s="233"/>
      <c r="AM640" s="233"/>
    </row>
    <row r="641">
      <c r="A641" s="224">
        <v>640.0</v>
      </c>
      <c r="B641" s="225">
        <v>44327.0</v>
      </c>
      <c r="C641" s="195" t="str">
        <f t="shared" si="7"/>
        <v>52021</v>
      </c>
      <c r="D641" s="226" t="s">
        <v>2089</v>
      </c>
      <c r="E641" s="224" t="s">
        <v>2090</v>
      </c>
      <c r="F641" s="226" t="s">
        <v>1415</v>
      </c>
      <c r="G641" s="224" t="s">
        <v>64</v>
      </c>
      <c r="H641" s="224" t="s">
        <v>41</v>
      </c>
      <c r="I641" s="224" t="s">
        <v>643</v>
      </c>
      <c r="J641" s="228"/>
      <c r="K641" s="227">
        <v>1.0</v>
      </c>
      <c r="L641" s="228"/>
      <c r="M641" s="228"/>
      <c r="N641" s="228"/>
      <c r="O641" s="228"/>
      <c r="P641" s="228"/>
      <c r="Q641" s="229"/>
      <c r="R641" s="229"/>
      <c r="S641" s="224" t="s">
        <v>89</v>
      </c>
      <c r="T641" s="224" t="s">
        <v>66</v>
      </c>
      <c r="U641" s="224" t="s">
        <v>99</v>
      </c>
      <c r="V641" s="224" t="s">
        <v>1984</v>
      </c>
      <c r="W641" s="230"/>
      <c r="X641" s="230"/>
      <c r="Y641" s="230"/>
      <c r="Z641" s="230"/>
      <c r="AA641" s="231">
        <v>4397.0</v>
      </c>
      <c r="AB641" s="231">
        <v>21985.0</v>
      </c>
      <c r="AC641" s="24" t="s">
        <v>2091</v>
      </c>
      <c r="AD641" s="195">
        <v>5427.0</v>
      </c>
      <c r="AE641" s="38"/>
      <c r="AF641" s="224" t="str">
        <f t="shared" si="1"/>
        <v>Buenos Aires, Argentina</v>
      </c>
      <c r="AG641" s="224">
        <f t="shared" si="2"/>
        <v>1</v>
      </c>
      <c r="AH641" s="232">
        <f t="shared" si="3"/>
        <v>0</v>
      </c>
      <c r="AI641" s="232">
        <f t="shared" si="4"/>
        <v>0</v>
      </c>
      <c r="AJ641" s="231">
        <f t="shared" si="5"/>
        <v>26382</v>
      </c>
      <c r="AK641" s="231">
        <f t="shared" si="6"/>
        <v>26382</v>
      </c>
      <c r="AL641" s="233"/>
      <c r="AM641" s="233"/>
    </row>
    <row r="642">
      <c r="A642" s="224">
        <v>641.0</v>
      </c>
      <c r="B642" s="225">
        <v>44327.0</v>
      </c>
      <c r="C642" s="195" t="str">
        <f t="shared" si="7"/>
        <v>52021</v>
      </c>
      <c r="D642" s="226" t="s">
        <v>2092</v>
      </c>
      <c r="E642" s="224" t="s">
        <v>2093</v>
      </c>
      <c r="F642" s="226" t="s">
        <v>1415</v>
      </c>
      <c r="G642" s="224" t="s">
        <v>64</v>
      </c>
      <c r="H642" s="224" t="s">
        <v>41</v>
      </c>
      <c r="I642" s="224" t="s">
        <v>643</v>
      </c>
      <c r="J642" s="228"/>
      <c r="K642" s="227">
        <v>1.0</v>
      </c>
      <c r="L642" s="228"/>
      <c r="M642" s="228"/>
      <c r="N642" s="228"/>
      <c r="O642" s="228"/>
      <c r="P642" s="228"/>
      <c r="Q642" s="229"/>
      <c r="R642" s="229"/>
      <c r="S642" s="224" t="s">
        <v>65</v>
      </c>
      <c r="T642" s="224" t="s">
        <v>66</v>
      </c>
      <c r="U642" s="224" t="s">
        <v>99</v>
      </c>
      <c r="V642" s="224" t="s">
        <v>1984</v>
      </c>
      <c r="W642" s="230"/>
      <c r="X642" s="230"/>
      <c r="Y642" s="230"/>
      <c r="Z642" s="230"/>
      <c r="AA642" s="231">
        <v>4397.0</v>
      </c>
      <c r="AB642" s="231">
        <v>21985.0</v>
      </c>
      <c r="AC642" s="24" t="s">
        <v>2094</v>
      </c>
      <c r="AD642" s="195">
        <v>5425.0</v>
      </c>
      <c r="AE642" s="38"/>
      <c r="AF642" s="224" t="str">
        <f t="shared" si="1"/>
        <v>Buenos Aires, Argentina</v>
      </c>
      <c r="AG642" s="224">
        <f t="shared" si="2"/>
        <v>1</v>
      </c>
      <c r="AH642" s="232">
        <f t="shared" si="3"/>
        <v>0</v>
      </c>
      <c r="AI642" s="232">
        <f t="shared" si="4"/>
        <v>0</v>
      </c>
      <c r="AJ642" s="231">
        <f t="shared" si="5"/>
        <v>26382</v>
      </c>
      <c r="AK642" s="231">
        <f t="shared" si="6"/>
        <v>26382</v>
      </c>
      <c r="AL642" s="233"/>
      <c r="AM642" s="233"/>
    </row>
    <row r="643">
      <c r="A643" s="224">
        <v>642.0</v>
      </c>
      <c r="B643" s="225">
        <v>44328.0</v>
      </c>
      <c r="C643" s="195" t="str">
        <f t="shared" si="7"/>
        <v>52021</v>
      </c>
      <c r="D643" s="226" t="s">
        <v>2095</v>
      </c>
      <c r="E643" s="224" t="s">
        <v>2096</v>
      </c>
      <c r="F643" s="226" t="s">
        <v>1423</v>
      </c>
      <c r="G643" s="224" t="s">
        <v>40</v>
      </c>
      <c r="H643" s="224" t="s">
        <v>547</v>
      </c>
      <c r="I643" s="224" t="s">
        <v>42</v>
      </c>
      <c r="J643" s="227">
        <v>1.0</v>
      </c>
      <c r="K643" s="228"/>
      <c r="L643" s="228"/>
      <c r="M643" s="228"/>
      <c r="N643" s="228"/>
      <c r="O643" s="228"/>
      <c r="P643" s="228"/>
      <c r="Q643" s="229"/>
      <c r="R643" s="229"/>
      <c r="S643" s="224" t="s">
        <v>98</v>
      </c>
      <c r="T643" s="224" t="s">
        <v>267</v>
      </c>
      <c r="U643" s="224" t="s">
        <v>45</v>
      </c>
      <c r="V643" s="224" t="s">
        <v>78</v>
      </c>
      <c r="W643" s="230"/>
      <c r="X643" s="230"/>
      <c r="Y643" s="230"/>
      <c r="Z643" s="230"/>
      <c r="AA643" s="231">
        <v>3998.0</v>
      </c>
      <c r="AB643" s="231">
        <v>19990.0</v>
      </c>
      <c r="AC643" s="24" t="s">
        <v>2097</v>
      </c>
      <c r="AD643" s="195">
        <v>5437.0</v>
      </c>
      <c r="AE643" s="38"/>
      <c r="AF643" s="224" t="str">
        <f t="shared" si="1"/>
        <v>Entre Ríos, Argentina</v>
      </c>
      <c r="AG643" s="224">
        <f t="shared" si="2"/>
        <v>1</v>
      </c>
      <c r="AH643" s="232">
        <f t="shared" si="3"/>
        <v>0</v>
      </c>
      <c r="AI643" s="232">
        <f t="shared" si="4"/>
        <v>0</v>
      </c>
      <c r="AJ643" s="231">
        <f t="shared" si="5"/>
        <v>23988</v>
      </c>
      <c r="AK643" s="231">
        <f t="shared" si="6"/>
        <v>23988</v>
      </c>
      <c r="AL643" s="233"/>
      <c r="AM643" s="233"/>
    </row>
    <row r="644">
      <c r="A644" s="224">
        <v>643.0</v>
      </c>
      <c r="B644" s="225">
        <v>44329.0</v>
      </c>
      <c r="C644" s="195" t="str">
        <f t="shared" si="7"/>
        <v>52021</v>
      </c>
      <c r="D644" s="226" t="s">
        <v>2098</v>
      </c>
      <c r="E644" s="224" t="s">
        <v>2099</v>
      </c>
      <c r="F644" s="226" t="s">
        <v>2100</v>
      </c>
      <c r="G644" s="224" t="s">
        <v>64</v>
      </c>
      <c r="H644" s="224" t="s">
        <v>41</v>
      </c>
      <c r="I644" s="224" t="s">
        <v>643</v>
      </c>
      <c r="J644" s="228"/>
      <c r="K644" s="227">
        <v>27.0</v>
      </c>
      <c r="L644" s="228"/>
      <c r="M644" s="228"/>
      <c r="N644" s="228"/>
      <c r="O644" s="228"/>
      <c r="P644" s="228"/>
      <c r="Q644" s="229"/>
      <c r="R644" s="229"/>
      <c r="S644" s="224" t="s">
        <v>89</v>
      </c>
      <c r="T644" s="224" t="s">
        <v>66</v>
      </c>
      <c r="U644" s="224" t="s">
        <v>1259</v>
      </c>
      <c r="V644" s="224" t="s">
        <v>84</v>
      </c>
      <c r="W644" s="230"/>
      <c r="X644" s="230"/>
      <c r="Y644" s="230"/>
      <c r="Z644" s="230"/>
      <c r="AA644" s="231">
        <v>118719.0</v>
      </c>
      <c r="AB644" s="231">
        <v>477250.0</v>
      </c>
      <c r="AC644" s="24" t="s">
        <v>2101</v>
      </c>
      <c r="AD644" s="195">
        <v>5441.0</v>
      </c>
      <c r="AE644" s="38"/>
      <c r="AF644" s="224" t="str">
        <f t="shared" si="1"/>
        <v>Buenos Aires, Argentina</v>
      </c>
      <c r="AG644" s="224">
        <f t="shared" si="2"/>
        <v>27</v>
      </c>
      <c r="AH644" s="232">
        <f t="shared" si="3"/>
        <v>0</v>
      </c>
      <c r="AI644" s="232">
        <f t="shared" si="4"/>
        <v>0</v>
      </c>
      <c r="AJ644" s="231">
        <f t="shared" si="5"/>
        <v>595969</v>
      </c>
      <c r="AK644" s="231">
        <f t="shared" si="6"/>
        <v>595969</v>
      </c>
      <c r="AL644" s="233"/>
      <c r="AM644" s="233"/>
    </row>
    <row r="645">
      <c r="A645" s="224">
        <v>644.0</v>
      </c>
      <c r="B645" s="225">
        <v>44329.0</v>
      </c>
      <c r="C645" s="195" t="str">
        <f t="shared" si="7"/>
        <v>52021</v>
      </c>
      <c r="D645" s="226" t="s">
        <v>2102</v>
      </c>
      <c r="E645" s="224" t="s">
        <v>2103</v>
      </c>
      <c r="F645" s="226" t="s">
        <v>1423</v>
      </c>
      <c r="G645" s="224" t="s">
        <v>40</v>
      </c>
      <c r="H645" s="224" t="s">
        <v>41</v>
      </c>
      <c r="I645" s="224" t="s">
        <v>643</v>
      </c>
      <c r="J645" s="227">
        <v>1.0</v>
      </c>
      <c r="K645" s="228"/>
      <c r="L645" s="228"/>
      <c r="M645" s="228"/>
      <c r="N645" s="228"/>
      <c r="O645" s="228"/>
      <c r="P645" s="228"/>
      <c r="Q645" s="229"/>
      <c r="R645" s="229"/>
      <c r="S645" s="224" t="s">
        <v>65</v>
      </c>
      <c r="T645" s="224" t="s">
        <v>66</v>
      </c>
      <c r="U645" s="224" t="s">
        <v>53</v>
      </c>
      <c r="V645" s="224" t="s">
        <v>1984</v>
      </c>
      <c r="W645" s="230"/>
      <c r="X645" s="230"/>
      <c r="Y645" s="230"/>
      <c r="Z645" s="230"/>
      <c r="AA645" s="231">
        <v>6663.0</v>
      </c>
      <c r="AB645" s="231">
        <v>33315.0</v>
      </c>
      <c r="AC645" s="24" t="s">
        <v>2104</v>
      </c>
      <c r="AD645" s="195">
        <v>5449.0</v>
      </c>
      <c r="AE645" s="38"/>
      <c r="AF645" s="224" t="str">
        <f t="shared" si="1"/>
        <v>Buenos Aires, Argentina</v>
      </c>
      <c r="AG645" s="224">
        <f t="shared" si="2"/>
        <v>1</v>
      </c>
      <c r="AH645" s="232">
        <f t="shared" si="3"/>
        <v>0</v>
      </c>
      <c r="AI645" s="232">
        <f t="shared" si="4"/>
        <v>0</v>
      </c>
      <c r="AJ645" s="231">
        <f t="shared" si="5"/>
        <v>39978</v>
      </c>
      <c r="AK645" s="231">
        <f t="shared" si="6"/>
        <v>39978</v>
      </c>
      <c r="AL645" s="233"/>
      <c r="AM645" s="233"/>
    </row>
    <row r="646">
      <c r="A646" s="224">
        <v>645.0</v>
      </c>
      <c r="B646" s="225">
        <v>44329.0</v>
      </c>
      <c r="C646" s="195" t="str">
        <f t="shared" si="7"/>
        <v>52021</v>
      </c>
      <c r="D646" s="226" t="s">
        <v>1640</v>
      </c>
      <c r="E646" s="224" t="s">
        <v>2105</v>
      </c>
      <c r="F646" s="226" t="s">
        <v>1415</v>
      </c>
      <c r="G646" s="224" t="s">
        <v>64</v>
      </c>
      <c r="H646" s="224" t="s">
        <v>41</v>
      </c>
      <c r="I646" s="224" t="s">
        <v>643</v>
      </c>
      <c r="J646" s="228"/>
      <c r="K646" s="227">
        <v>1.0</v>
      </c>
      <c r="L646" s="228"/>
      <c r="M646" s="228"/>
      <c r="N646" s="228"/>
      <c r="O646" s="228"/>
      <c r="P646" s="228"/>
      <c r="Q646" s="229"/>
      <c r="R646" s="229"/>
      <c r="S646" s="224" t="s">
        <v>189</v>
      </c>
      <c r="T646" s="224" t="s">
        <v>66</v>
      </c>
      <c r="U646" s="224" t="s">
        <v>99</v>
      </c>
      <c r="V646" s="224" t="s">
        <v>1984</v>
      </c>
      <c r="W646" s="230"/>
      <c r="X646" s="230"/>
      <c r="Y646" s="230"/>
      <c r="Z646" s="230"/>
      <c r="AA646" s="231">
        <v>4397.0</v>
      </c>
      <c r="AB646" s="231">
        <v>21985.0</v>
      </c>
      <c r="AC646" s="24" t="s">
        <v>2106</v>
      </c>
      <c r="AD646" s="195">
        <v>5453.0</v>
      </c>
      <c r="AE646" s="38"/>
      <c r="AF646" s="224" t="str">
        <f t="shared" si="1"/>
        <v>Buenos Aires, Argentina</v>
      </c>
      <c r="AG646" s="224">
        <f t="shared" si="2"/>
        <v>1</v>
      </c>
      <c r="AH646" s="232">
        <f t="shared" si="3"/>
        <v>0</v>
      </c>
      <c r="AI646" s="232">
        <f t="shared" si="4"/>
        <v>0</v>
      </c>
      <c r="AJ646" s="231">
        <f t="shared" si="5"/>
        <v>26382</v>
      </c>
      <c r="AK646" s="231">
        <f t="shared" si="6"/>
        <v>26382</v>
      </c>
      <c r="AL646" s="233"/>
      <c r="AM646" s="233"/>
    </row>
    <row r="647">
      <c r="A647" s="224">
        <v>646.0</v>
      </c>
      <c r="B647" s="225">
        <v>44333.0</v>
      </c>
      <c r="C647" s="195" t="str">
        <f t="shared" si="7"/>
        <v>52021</v>
      </c>
      <c r="D647" s="226" t="s">
        <v>2107</v>
      </c>
      <c r="E647" s="224" t="s">
        <v>2108</v>
      </c>
      <c r="F647" s="226" t="s">
        <v>1423</v>
      </c>
      <c r="G647" s="224" t="s">
        <v>64</v>
      </c>
      <c r="H647" s="224" t="s">
        <v>41</v>
      </c>
      <c r="I647" s="224" t="s">
        <v>643</v>
      </c>
      <c r="J647" s="227">
        <v>1.0</v>
      </c>
      <c r="K647" s="228"/>
      <c r="L647" s="228"/>
      <c r="M647" s="228"/>
      <c r="N647" s="228"/>
      <c r="O647" s="228"/>
      <c r="P647" s="228"/>
      <c r="Q647" s="229"/>
      <c r="R647" s="229"/>
      <c r="S647" s="224" t="s">
        <v>89</v>
      </c>
      <c r="T647" s="224" t="s">
        <v>66</v>
      </c>
      <c r="U647" s="224" t="s">
        <v>99</v>
      </c>
      <c r="V647" s="224" t="s">
        <v>1984</v>
      </c>
      <c r="W647" s="230"/>
      <c r="X647" s="230"/>
      <c r="Y647" s="230"/>
      <c r="Z647" s="230"/>
      <c r="AA647" s="231">
        <v>6663.0</v>
      </c>
      <c r="AB647" s="231">
        <v>33315.0</v>
      </c>
      <c r="AC647" s="24" t="s">
        <v>2109</v>
      </c>
      <c r="AD647" s="195">
        <v>5461.0</v>
      </c>
      <c r="AE647" s="38"/>
      <c r="AF647" s="224" t="str">
        <f t="shared" si="1"/>
        <v>Buenos Aires, Argentina</v>
      </c>
      <c r="AG647" s="224">
        <f t="shared" si="2"/>
        <v>1</v>
      </c>
      <c r="AH647" s="232">
        <f t="shared" si="3"/>
        <v>0</v>
      </c>
      <c r="AI647" s="232">
        <f t="shared" si="4"/>
        <v>0</v>
      </c>
      <c r="AJ647" s="231">
        <f t="shared" si="5"/>
        <v>39978</v>
      </c>
      <c r="AK647" s="231">
        <f t="shared" si="6"/>
        <v>39978</v>
      </c>
      <c r="AL647" s="233"/>
      <c r="AM647" s="233"/>
    </row>
    <row r="648">
      <c r="A648" s="224">
        <v>647.0</v>
      </c>
      <c r="B648" s="225">
        <v>44333.0</v>
      </c>
      <c r="C648" s="195" t="str">
        <f t="shared" si="7"/>
        <v>52021</v>
      </c>
      <c r="D648" s="226" t="s">
        <v>1895</v>
      </c>
      <c r="E648" s="224" t="s">
        <v>1896</v>
      </c>
      <c r="F648" s="226" t="s">
        <v>1592</v>
      </c>
      <c r="G648" s="224" t="s">
        <v>64</v>
      </c>
      <c r="H648" s="224" t="s">
        <v>41</v>
      </c>
      <c r="I648" s="224" t="s">
        <v>643</v>
      </c>
      <c r="J648" s="227">
        <v>1.0</v>
      </c>
      <c r="K648" s="227">
        <v>1.0</v>
      </c>
      <c r="L648" s="228"/>
      <c r="M648" s="228"/>
      <c r="N648" s="228"/>
      <c r="O648" s="228"/>
      <c r="P648" s="228"/>
      <c r="Q648" s="229"/>
      <c r="R648" s="229"/>
      <c r="S648" s="224" t="s">
        <v>65</v>
      </c>
      <c r="T648" s="224" t="s">
        <v>83</v>
      </c>
      <c r="U648" s="224" t="s">
        <v>67</v>
      </c>
      <c r="V648" s="224" t="s">
        <v>1984</v>
      </c>
      <c r="W648" s="230"/>
      <c r="X648" s="230"/>
      <c r="Y648" s="230"/>
      <c r="Z648" s="230"/>
      <c r="AA648" s="231">
        <v>11060.0</v>
      </c>
      <c r="AB648" s="231">
        <v>55300.0</v>
      </c>
      <c r="AC648" s="24" t="s">
        <v>2110</v>
      </c>
      <c r="AD648" s="195">
        <v>5465.0</v>
      </c>
      <c r="AE648" s="38"/>
      <c r="AF648" s="224" t="str">
        <f t="shared" si="1"/>
        <v>Capital Federal, Argentina</v>
      </c>
      <c r="AG648" s="224">
        <f t="shared" si="2"/>
        <v>2</v>
      </c>
      <c r="AH648" s="232">
        <f t="shared" si="3"/>
        <v>0</v>
      </c>
      <c r="AI648" s="232">
        <f t="shared" si="4"/>
        <v>0</v>
      </c>
      <c r="AJ648" s="231">
        <f t="shared" si="5"/>
        <v>66360</v>
      </c>
      <c r="AK648" s="231">
        <f t="shared" si="6"/>
        <v>66360</v>
      </c>
      <c r="AL648" s="233"/>
      <c r="AM648" s="233"/>
    </row>
    <row r="649">
      <c r="A649" s="224">
        <v>648.0</v>
      </c>
      <c r="B649" s="225">
        <v>44335.0</v>
      </c>
      <c r="C649" s="195" t="str">
        <f t="shared" si="7"/>
        <v>52021</v>
      </c>
      <c r="D649" s="226" t="s">
        <v>2111</v>
      </c>
      <c r="E649" s="224" t="s">
        <v>2112</v>
      </c>
      <c r="F649" s="226" t="s">
        <v>2056</v>
      </c>
      <c r="G649" s="224" t="s">
        <v>40</v>
      </c>
      <c r="H649" s="224" t="s">
        <v>41</v>
      </c>
      <c r="I649" s="224" t="s">
        <v>42</v>
      </c>
      <c r="J649" s="227">
        <v>1.0</v>
      </c>
      <c r="K649" s="228"/>
      <c r="L649" s="228"/>
      <c r="M649" s="227">
        <v>1.0</v>
      </c>
      <c r="N649" s="228"/>
      <c r="O649" s="228"/>
      <c r="P649" s="228"/>
      <c r="Q649" s="229"/>
      <c r="R649" s="229"/>
      <c r="S649" s="224" t="s">
        <v>105</v>
      </c>
      <c r="T649" s="224" t="s">
        <v>83</v>
      </c>
      <c r="U649" s="224" t="s">
        <v>53</v>
      </c>
      <c r="V649" s="224" t="s">
        <v>59</v>
      </c>
      <c r="W649" s="230"/>
      <c r="X649" s="230"/>
      <c r="Y649" s="230"/>
      <c r="Z649" s="230"/>
      <c r="AA649" s="231">
        <v>13326.0</v>
      </c>
      <c r="AB649" s="231">
        <v>66630.0</v>
      </c>
      <c r="AC649" s="24" t="s">
        <v>2113</v>
      </c>
      <c r="AD649" s="195">
        <v>5473.0</v>
      </c>
      <c r="AE649" s="38"/>
      <c r="AF649" s="224" t="str">
        <f t="shared" si="1"/>
        <v>Capital Federal, Argentina</v>
      </c>
      <c r="AG649" s="224">
        <f t="shared" si="2"/>
        <v>2</v>
      </c>
      <c r="AH649" s="232">
        <f t="shared" si="3"/>
        <v>0</v>
      </c>
      <c r="AI649" s="232">
        <f t="shared" si="4"/>
        <v>0</v>
      </c>
      <c r="AJ649" s="231">
        <f t="shared" si="5"/>
        <v>79956</v>
      </c>
      <c r="AK649" s="231">
        <f t="shared" si="6"/>
        <v>79956</v>
      </c>
      <c r="AL649" s="233"/>
      <c r="AM649" s="233"/>
    </row>
    <row r="650">
      <c r="A650" s="224">
        <v>649.0</v>
      </c>
      <c r="B650" s="225">
        <v>44336.0</v>
      </c>
      <c r="C650" s="195" t="str">
        <f t="shared" si="7"/>
        <v>52021</v>
      </c>
      <c r="D650" s="226" t="s">
        <v>2048</v>
      </c>
      <c r="E650" s="224">
        <v>2.0275742997E10</v>
      </c>
      <c r="F650" s="226" t="s">
        <v>2114</v>
      </c>
      <c r="G650" s="224" t="s">
        <v>64</v>
      </c>
      <c r="H650" s="224" t="s">
        <v>41</v>
      </c>
      <c r="I650" s="224" t="s">
        <v>643</v>
      </c>
      <c r="J650" s="228"/>
      <c r="K650" s="228"/>
      <c r="L650" s="228"/>
      <c r="M650" s="228"/>
      <c r="N650" s="228"/>
      <c r="O650" s="228"/>
      <c r="P650" s="228"/>
      <c r="Q650" s="229"/>
      <c r="R650" s="229"/>
      <c r="S650" s="224" t="s">
        <v>98</v>
      </c>
      <c r="T650" s="224" t="s">
        <v>58</v>
      </c>
      <c r="U650" s="224" t="s">
        <v>99</v>
      </c>
      <c r="V650" s="224" t="s">
        <v>1984</v>
      </c>
      <c r="W650" s="230"/>
      <c r="X650" s="230"/>
      <c r="Y650" s="230"/>
      <c r="Z650" s="230"/>
      <c r="AA650" s="231">
        <v>0.0</v>
      </c>
      <c r="AB650" s="231">
        <v>23321.0</v>
      </c>
      <c r="AC650" s="24" t="s">
        <v>2115</v>
      </c>
      <c r="AD650" s="195">
        <v>5481.0</v>
      </c>
      <c r="AE650" s="38"/>
      <c r="AF650" s="224" t="str">
        <f t="shared" si="1"/>
        <v>Córdoba, Argentina</v>
      </c>
      <c r="AG650" s="224">
        <f t="shared" si="2"/>
        <v>0</v>
      </c>
      <c r="AH650" s="232">
        <f t="shared" si="3"/>
        <v>0</v>
      </c>
      <c r="AI650" s="232">
        <f t="shared" si="4"/>
        <v>0</v>
      </c>
      <c r="AJ650" s="231">
        <f t="shared" si="5"/>
        <v>23321</v>
      </c>
      <c r="AK650" s="231">
        <f t="shared" si="6"/>
        <v>23321</v>
      </c>
      <c r="AL650" s="233"/>
      <c r="AM650" s="233"/>
    </row>
    <row r="651">
      <c r="A651" s="224">
        <v>650.0</v>
      </c>
      <c r="B651" s="225">
        <v>44336.0</v>
      </c>
      <c r="C651" s="195" t="str">
        <f t="shared" si="7"/>
        <v>52021</v>
      </c>
      <c r="D651" s="226" t="s">
        <v>2116</v>
      </c>
      <c r="E651" s="224" t="s">
        <v>2117</v>
      </c>
      <c r="F651" s="226" t="s">
        <v>1415</v>
      </c>
      <c r="G651" s="224" t="s">
        <v>64</v>
      </c>
      <c r="H651" s="224" t="s">
        <v>41</v>
      </c>
      <c r="I651" s="224" t="s">
        <v>643</v>
      </c>
      <c r="J651" s="228"/>
      <c r="K651" s="227">
        <v>1.0</v>
      </c>
      <c r="L651" s="228"/>
      <c r="M651" s="228"/>
      <c r="N651" s="228"/>
      <c r="O651" s="228"/>
      <c r="P651" s="228"/>
      <c r="Q651" s="229"/>
      <c r="R651" s="229"/>
      <c r="S651" s="224" t="s">
        <v>137</v>
      </c>
      <c r="T651" s="224" t="s">
        <v>66</v>
      </c>
      <c r="U651" s="224" t="s">
        <v>99</v>
      </c>
      <c r="V651" s="224" t="s">
        <v>1984</v>
      </c>
      <c r="W651" s="230"/>
      <c r="X651" s="230"/>
      <c r="Y651" s="230"/>
      <c r="Z651" s="230"/>
      <c r="AA651" s="231">
        <v>4397.0</v>
      </c>
      <c r="AB651" s="231">
        <v>21985.0</v>
      </c>
      <c r="AC651" s="24" t="s">
        <v>2118</v>
      </c>
      <c r="AD651" s="195">
        <v>5487.0</v>
      </c>
      <c r="AE651" s="38"/>
      <c r="AF651" s="224" t="str">
        <f t="shared" si="1"/>
        <v>Buenos Aires, Argentina</v>
      </c>
      <c r="AG651" s="224">
        <f t="shared" si="2"/>
        <v>1</v>
      </c>
      <c r="AH651" s="232">
        <f t="shared" si="3"/>
        <v>0</v>
      </c>
      <c r="AI651" s="232">
        <f t="shared" si="4"/>
        <v>0</v>
      </c>
      <c r="AJ651" s="231">
        <f t="shared" si="5"/>
        <v>26382</v>
      </c>
      <c r="AK651" s="231">
        <f t="shared" si="6"/>
        <v>26382</v>
      </c>
      <c r="AL651" s="233"/>
      <c r="AM651" s="233"/>
    </row>
    <row r="652">
      <c r="A652" s="224">
        <v>651.0</v>
      </c>
      <c r="B652" s="225">
        <v>44336.0</v>
      </c>
      <c r="C652" s="195" t="str">
        <f t="shared" si="7"/>
        <v>52021</v>
      </c>
      <c r="D652" s="226" t="s">
        <v>2119</v>
      </c>
      <c r="E652" s="224" t="s">
        <v>1988</v>
      </c>
      <c r="F652" s="226" t="s">
        <v>1592</v>
      </c>
      <c r="G652" s="224" t="s">
        <v>64</v>
      </c>
      <c r="H652" s="224" t="s">
        <v>41</v>
      </c>
      <c r="I652" s="224" t="s">
        <v>643</v>
      </c>
      <c r="J652" s="227">
        <v>1.0</v>
      </c>
      <c r="K652" s="227">
        <v>1.0</v>
      </c>
      <c r="L652" s="228"/>
      <c r="M652" s="228"/>
      <c r="N652" s="228"/>
      <c r="O652" s="228"/>
      <c r="P652" s="228"/>
      <c r="Q652" s="229"/>
      <c r="R652" s="229"/>
      <c r="S652" s="224" t="s">
        <v>105</v>
      </c>
      <c r="T652" s="224" t="s">
        <v>66</v>
      </c>
      <c r="U652" s="224" t="s">
        <v>99</v>
      </c>
      <c r="V652" s="224" t="s">
        <v>1470</v>
      </c>
      <c r="W652" s="230"/>
      <c r="X652" s="230"/>
      <c r="Y652" s="230"/>
      <c r="Z652" s="230"/>
      <c r="AA652" s="231">
        <v>11060.0</v>
      </c>
      <c r="AB652" s="231">
        <v>55300.0</v>
      </c>
      <c r="AC652" s="24" t="s">
        <v>2120</v>
      </c>
      <c r="AD652" s="195">
        <v>5489.0</v>
      </c>
      <c r="AE652" s="38"/>
      <c r="AF652" s="224" t="str">
        <f t="shared" si="1"/>
        <v>Buenos Aires, Argentina</v>
      </c>
      <c r="AG652" s="224">
        <f t="shared" si="2"/>
        <v>2</v>
      </c>
      <c r="AH652" s="232">
        <f t="shared" si="3"/>
        <v>0</v>
      </c>
      <c r="AI652" s="232">
        <f t="shared" si="4"/>
        <v>0</v>
      </c>
      <c r="AJ652" s="231">
        <f t="shared" si="5"/>
        <v>66360</v>
      </c>
      <c r="AK652" s="231">
        <f t="shared" si="6"/>
        <v>66360</v>
      </c>
      <c r="AL652" s="233"/>
      <c r="AM652" s="233"/>
    </row>
    <row r="653">
      <c r="A653" s="224">
        <v>652.0</v>
      </c>
      <c r="B653" s="225">
        <v>44337.0</v>
      </c>
      <c r="C653" s="195" t="str">
        <f t="shared" si="7"/>
        <v>52021</v>
      </c>
      <c r="D653" s="226" t="s">
        <v>2121</v>
      </c>
      <c r="E653" s="224" t="s">
        <v>2122</v>
      </c>
      <c r="F653" s="226" t="s">
        <v>2123</v>
      </c>
      <c r="G653" s="224" t="s">
        <v>40</v>
      </c>
      <c r="H653" s="224" t="s">
        <v>41</v>
      </c>
      <c r="I653" s="224" t="s">
        <v>42</v>
      </c>
      <c r="J653" s="227">
        <v>1.0</v>
      </c>
      <c r="K653" s="227">
        <v>4.0</v>
      </c>
      <c r="L653" s="228"/>
      <c r="M653" s="228"/>
      <c r="N653" s="228"/>
      <c r="O653" s="228"/>
      <c r="P653" s="228"/>
      <c r="Q653" s="229"/>
      <c r="R653" s="229"/>
      <c r="S653" s="224" t="s">
        <v>105</v>
      </c>
      <c r="T653" s="224" t="s">
        <v>66</v>
      </c>
      <c r="U653" s="224" t="s">
        <v>163</v>
      </c>
      <c r="V653" s="224" t="s">
        <v>78</v>
      </c>
      <c r="W653" s="230"/>
      <c r="X653" s="230"/>
      <c r="Y653" s="230"/>
      <c r="Z653" s="230"/>
      <c r="AA653" s="231">
        <v>24251.0</v>
      </c>
      <c r="AB653" s="231">
        <v>97004.0</v>
      </c>
      <c r="AC653" s="24" t="s">
        <v>2124</v>
      </c>
      <c r="AD653" s="195">
        <v>5491.0</v>
      </c>
      <c r="AE653" s="38"/>
      <c r="AF653" s="224" t="str">
        <f t="shared" si="1"/>
        <v>Buenos Aires, Argentina</v>
      </c>
      <c r="AG653" s="224">
        <f t="shared" si="2"/>
        <v>5</v>
      </c>
      <c r="AH653" s="232">
        <f t="shared" si="3"/>
        <v>0</v>
      </c>
      <c r="AI653" s="232">
        <f t="shared" si="4"/>
        <v>0</v>
      </c>
      <c r="AJ653" s="231">
        <f t="shared" si="5"/>
        <v>121255</v>
      </c>
      <c r="AK653" s="231">
        <f t="shared" si="6"/>
        <v>121255</v>
      </c>
      <c r="AL653" s="233"/>
      <c r="AM653" s="233"/>
    </row>
    <row r="654">
      <c r="A654" s="224">
        <v>653.0</v>
      </c>
      <c r="B654" s="225">
        <v>44340.0</v>
      </c>
      <c r="C654" s="195" t="str">
        <f t="shared" si="7"/>
        <v>52021</v>
      </c>
      <c r="D654" s="226" t="s">
        <v>2125</v>
      </c>
      <c r="E654" s="224" t="s">
        <v>2126</v>
      </c>
      <c r="F654" s="226" t="s">
        <v>1503</v>
      </c>
      <c r="G654" s="224" t="s">
        <v>64</v>
      </c>
      <c r="H654" s="224" t="s">
        <v>41</v>
      </c>
      <c r="I654" s="224" t="s">
        <v>643</v>
      </c>
      <c r="J654" s="228"/>
      <c r="K654" s="227">
        <v>4.0</v>
      </c>
      <c r="L654" s="228"/>
      <c r="M654" s="228"/>
      <c r="N654" s="228"/>
      <c r="O654" s="228"/>
      <c r="P654" s="228"/>
      <c r="Q654" s="229"/>
      <c r="R654" s="229"/>
      <c r="S654" s="224" t="s">
        <v>65</v>
      </c>
      <c r="T654" s="224" t="s">
        <v>66</v>
      </c>
      <c r="U654" s="224" t="s">
        <v>99</v>
      </c>
      <c r="V654" s="224" t="s">
        <v>84</v>
      </c>
      <c r="W654" s="230"/>
      <c r="X654" s="230"/>
      <c r="Y654" s="230"/>
      <c r="Z654" s="230"/>
      <c r="AA654" s="231">
        <v>17588.0</v>
      </c>
      <c r="AB654" s="231">
        <v>87940.0</v>
      </c>
      <c r="AC654" s="24" t="s">
        <v>2127</v>
      </c>
      <c r="AD654" s="195">
        <v>5503.0</v>
      </c>
      <c r="AE654" s="38"/>
      <c r="AF654" s="224" t="str">
        <f t="shared" si="1"/>
        <v>Buenos Aires, Argentina</v>
      </c>
      <c r="AG654" s="224">
        <f t="shared" si="2"/>
        <v>4</v>
      </c>
      <c r="AH654" s="232">
        <f t="shared" si="3"/>
        <v>0</v>
      </c>
      <c r="AI654" s="232">
        <f t="shared" si="4"/>
        <v>0</v>
      </c>
      <c r="AJ654" s="231">
        <f t="shared" si="5"/>
        <v>105528</v>
      </c>
      <c r="AK654" s="231">
        <f t="shared" si="6"/>
        <v>105528</v>
      </c>
      <c r="AL654" s="233"/>
      <c r="AM654" s="233"/>
    </row>
    <row r="655">
      <c r="A655" s="224">
        <v>654.0</v>
      </c>
      <c r="B655" s="225">
        <v>44343.0</v>
      </c>
      <c r="C655" s="195" t="str">
        <f t="shared" si="7"/>
        <v>52021</v>
      </c>
      <c r="D655" s="226" t="s">
        <v>2128</v>
      </c>
      <c r="E655" s="224" t="s">
        <v>2129</v>
      </c>
      <c r="F655" s="226" t="s">
        <v>2114</v>
      </c>
      <c r="G655" s="224" t="s">
        <v>64</v>
      </c>
      <c r="H655" s="224" t="s">
        <v>41</v>
      </c>
      <c r="I655" s="224" t="s">
        <v>643</v>
      </c>
      <c r="J655" s="228"/>
      <c r="K655" s="228"/>
      <c r="L655" s="228"/>
      <c r="M655" s="228"/>
      <c r="N655" s="228"/>
      <c r="O655" s="228"/>
      <c r="P655" s="228"/>
      <c r="Q655" s="229"/>
      <c r="R655" s="229"/>
      <c r="S655" s="224" t="s">
        <v>51</v>
      </c>
      <c r="T655" s="224" t="s">
        <v>83</v>
      </c>
      <c r="U655" s="224" t="s">
        <v>67</v>
      </c>
      <c r="V655" s="224" t="s">
        <v>1984</v>
      </c>
      <c r="W655" s="230"/>
      <c r="X655" s="230"/>
      <c r="Y655" s="230"/>
      <c r="Z655" s="230"/>
      <c r="AA655" s="231">
        <v>0.0</v>
      </c>
      <c r="AB655" s="231">
        <v>23321.0</v>
      </c>
      <c r="AC655" s="24" t="s">
        <v>2130</v>
      </c>
      <c r="AD655" s="195">
        <v>5511.0</v>
      </c>
      <c r="AE655" s="38"/>
      <c r="AF655" s="224" t="str">
        <f t="shared" si="1"/>
        <v>Capital Federal, Argentina</v>
      </c>
      <c r="AG655" s="224">
        <f t="shared" si="2"/>
        <v>0</v>
      </c>
      <c r="AH655" s="232">
        <f t="shared" si="3"/>
        <v>0</v>
      </c>
      <c r="AI655" s="232">
        <f t="shared" si="4"/>
        <v>0</v>
      </c>
      <c r="AJ655" s="231">
        <f t="shared" si="5"/>
        <v>23321</v>
      </c>
      <c r="AK655" s="231">
        <f t="shared" si="6"/>
        <v>23321</v>
      </c>
      <c r="AL655" s="233"/>
      <c r="AM655" s="233"/>
    </row>
    <row r="656">
      <c r="A656" s="224">
        <v>655.0</v>
      </c>
      <c r="B656" s="225">
        <v>44344.0</v>
      </c>
      <c r="C656" s="195" t="str">
        <f t="shared" si="7"/>
        <v>52021</v>
      </c>
      <c r="D656" s="226" t="s">
        <v>2131</v>
      </c>
      <c r="E656" s="224" t="s">
        <v>2132</v>
      </c>
      <c r="F656" s="226" t="s">
        <v>1423</v>
      </c>
      <c r="G656" s="224" t="s">
        <v>40</v>
      </c>
      <c r="H656" s="224" t="s">
        <v>547</v>
      </c>
      <c r="I656" s="224" t="s">
        <v>42</v>
      </c>
      <c r="J656" s="227">
        <v>1.0</v>
      </c>
      <c r="K656" s="228"/>
      <c r="L656" s="228"/>
      <c r="M656" s="228"/>
      <c r="N656" s="228"/>
      <c r="O656" s="228"/>
      <c r="P656" s="228"/>
      <c r="Q656" s="229"/>
      <c r="R656" s="229"/>
      <c r="S656" s="224" t="s">
        <v>204</v>
      </c>
      <c r="T656" s="224" t="s">
        <v>66</v>
      </c>
      <c r="U656" s="224" t="s">
        <v>342</v>
      </c>
      <c r="V656" s="224" t="s">
        <v>78</v>
      </c>
      <c r="W656" s="230"/>
      <c r="X656" s="230"/>
      <c r="Y656" s="230"/>
      <c r="Z656" s="230"/>
      <c r="AA656" s="231">
        <v>3998.0</v>
      </c>
      <c r="AB656" s="231">
        <v>16991.5</v>
      </c>
      <c r="AC656" s="24" t="s">
        <v>2133</v>
      </c>
      <c r="AD656" s="195">
        <v>5517.0</v>
      </c>
      <c r="AE656" s="38"/>
      <c r="AF656" s="224" t="str">
        <f t="shared" si="1"/>
        <v>Buenos Aires, Argentina</v>
      </c>
      <c r="AG656" s="224">
        <f t="shared" si="2"/>
        <v>1</v>
      </c>
      <c r="AH656" s="232">
        <f t="shared" si="3"/>
        <v>0</v>
      </c>
      <c r="AI656" s="232">
        <f t="shared" si="4"/>
        <v>0</v>
      </c>
      <c r="AJ656" s="231">
        <f t="shared" si="5"/>
        <v>20989.5</v>
      </c>
      <c r="AK656" s="231">
        <f t="shared" si="6"/>
        <v>20989.5</v>
      </c>
      <c r="AL656" s="233"/>
      <c r="AM656" s="233"/>
    </row>
    <row r="657">
      <c r="A657" s="224">
        <v>656.0</v>
      </c>
      <c r="B657" s="225">
        <v>44347.0</v>
      </c>
      <c r="C657" s="195" t="str">
        <f t="shared" si="7"/>
        <v>52021</v>
      </c>
      <c r="D657" s="226" t="s">
        <v>2134</v>
      </c>
      <c r="E657" s="224" t="s">
        <v>2135</v>
      </c>
      <c r="F657" s="226" t="s">
        <v>2056</v>
      </c>
      <c r="G657" s="224" t="s">
        <v>40</v>
      </c>
      <c r="H657" s="224" t="s">
        <v>41</v>
      </c>
      <c r="I657" s="224" t="s">
        <v>42</v>
      </c>
      <c r="J657" s="227">
        <v>1.0</v>
      </c>
      <c r="K657" s="228"/>
      <c r="L657" s="228"/>
      <c r="M657" s="227">
        <v>1.0</v>
      </c>
      <c r="N657" s="228"/>
      <c r="O657" s="228"/>
      <c r="P657" s="228"/>
      <c r="Q657" s="229"/>
      <c r="R657" s="229"/>
      <c r="S657" s="224" t="s">
        <v>137</v>
      </c>
      <c r="T657" s="224" t="s">
        <v>66</v>
      </c>
      <c r="U657" s="224" t="s">
        <v>53</v>
      </c>
      <c r="V657" s="224" t="s">
        <v>59</v>
      </c>
      <c r="W657" s="230"/>
      <c r="X657" s="230"/>
      <c r="Y657" s="230"/>
      <c r="Z657" s="230"/>
      <c r="AA657" s="231">
        <v>13326.0</v>
      </c>
      <c r="AB657" s="231">
        <v>66630.0</v>
      </c>
      <c r="AC657" s="24" t="s">
        <v>2136</v>
      </c>
      <c r="AD657" s="195">
        <v>5523.0</v>
      </c>
      <c r="AE657" s="38"/>
      <c r="AF657" s="224" t="str">
        <f t="shared" si="1"/>
        <v>Buenos Aires, Argentina</v>
      </c>
      <c r="AG657" s="224">
        <f t="shared" si="2"/>
        <v>2</v>
      </c>
      <c r="AH657" s="232">
        <f t="shared" si="3"/>
        <v>0</v>
      </c>
      <c r="AI657" s="232">
        <f t="shared" si="4"/>
        <v>0</v>
      </c>
      <c r="AJ657" s="231">
        <f t="shared" si="5"/>
        <v>79956</v>
      </c>
      <c r="AK657" s="231">
        <f t="shared" si="6"/>
        <v>79956</v>
      </c>
      <c r="AL657" s="233"/>
      <c r="AM657" s="233"/>
    </row>
    <row r="658">
      <c r="A658" s="224">
        <v>657.0</v>
      </c>
      <c r="B658" s="225">
        <v>44347.0</v>
      </c>
      <c r="C658" s="195" t="str">
        <f t="shared" si="7"/>
        <v>52021</v>
      </c>
      <c r="D658" s="226" t="s">
        <v>1995</v>
      </c>
      <c r="E658" s="224" t="s">
        <v>1996</v>
      </c>
      <c r="F658" s="226" t="s">
        <v>13</v>
      </c>
      <c r="G658" s="224" t="s">
        <v>64</v>
      </c>
      <c r="H658" s="224" t="s">
        <v>41</v>
      </c>
      <c r="I658" s="224" t="s">
        <v>42</v>
      </c>
      <c r="J658" s="228"/>
      <c r="K658" s="228"/>
      <c r="L658" s="228"/>
      <c r="M658" s="228"/>
      <c r="N658" s="227">
        <v>1.0</v>
      </c>
      <c r="O658" s="228"/>
      <c r="P658" s="228"/>
      <c r="Q658" s="229"/>
      <c r="R658" s="229"/>
      <c r="S658" s="224" t="s">
        <v>98</v>
      </c>
      <c r="T658" s="224" t="s">
        <v>66</v>
      </c>
      <c r="U658" s="224" t="s">
        <v>67</v>
      </c>
      <c r="V658" s="224" t="s">
        <v>78</v>
      </c>
      <c r="W658" s="230"/>
      <c r="X658" s="230"/>
      <c r="Y658" s="230"/>
      <c r="Z658" s="230"/>
      <c r="AA658" s="231">
        <v>6663.0</v>
      </c>
      <c r="AB658" s="231">
        <v>13326.0</v>
      </c>
      <c r="AC658" s="24" t="s">
        <v>2137</v>
      </c>
      <c r="AD658" s="195">
        <v>5531.0</v>
      </c>
      <c r="AE658" s="38"/>
      <c r="AF658" s="224" t="str">
        <f t="shared" si="1"/>
        <v>Buenos Aires, Argentina</v>
      </c>
      <c r="AG658" s="224">
        <f t="shared" si="2"/>
        <v>1</v>
      </c>
      <c r="AH658" s="232">
        <f t="shared" si="3"/>
        <v>0</v>
      </c>
      <c r="AI658" s="232">
        <f t="shared" si="4"/>
        <v>0</v>
      </c>
      <c r="AJ658" s="231">
        <f t="shared" si="5"/>
        <v>19989</v>
      </c>
      <c r="AK658" s="231">
        <f t="shared" si="6"/>
        <v>19989</v>
      </c>
      <c r="AL658" s="233"/>
      <c r="AM658" s="233"/>
    </row>
    <row r="659">
      <c r="A659" s="224">
        <v>658.0</v>
      </c>
      <c r="B659" s="225">
        <v>44347.0</v>
      </c>
      <c r="C659" s="195" t="str">
        <f t="shared" si="7"/>
        <v>52021</v>
      </c>
      <c r="D659" s="226" t="s">
        <v>1961</v>
      </c>
      <c r="E659" s="224" t="s">
        <v>1962</v>
      </c>
      <c r="F659" s="226" t="s">
        <v>1423</v>
      </c>
      <c r="G659" s="224" t="s">
        <v>64</v>
      </c>
      <c r="H659" s="224" t="s">
        <v>227</v>
      </c>
      <c r="I659" s="224" t="s">
        <v>643</v>
      </c>
      <c r="J659" s="227">
        <v>1.0</v>
      </c>
      <c r="K659" s="228"/>
      <c r="L659" s="228"/>
      <c r="M659" s="228"/>
      <c r="N659" s="228"/>
      <c r="O659" s="228"/>
      <c r="P659" s="228"/>
      <c r="Q659" s="229"/>
      <c r="R659" s="229"/>
      <c r="S659" s="224" t="s">
        <v>89</v>
      </c>
      <c r="T659" s="224" t="s">
        <v>83</v>
      </c>
      <c r="U659" s="224" t="s">
        <v>99</v>
      </c>
      <c r="V659" s="224" t="s">
        <v>84</v>
      </c>
      <c r="W659" s="230"/>
      <c r="X659" s="230"/>
      <c r="Y659" s="230"/>
      <c r="Z659" s="230"/>
      <c r="AA659" s="231">
        <v>9994.0</v>
      </c>
      <c r="AB659" s="231">
        <v>59964.0</v>
      </c>
      <c r="AC659" s="24" t="s">
        <v>2138</v>
      </c>
      <c r="AD659" s="195">
        <v>5525.0</v>
      </c>
      <c r="AE659" s="38"/>
      <c r="AF659" s="224" t="str">
        <f t="shared" si="1"/>
        <v>Capital Federal, Argentina</v>
      </c>
      <c r="AG659" s="224">
        <f t="shared" si="2"/>
        <v>1</v>
      </c>
      <c r="AH659" s="232">
        <f t="shared" si="3"/>
        <v>0</v>
      </c>
      <c r="AI659" s="232">
        <f t="shared" si="4"/>
        <v>0</v>
      </c>
      <c r="AJ659" s="231">
        <f t="shared" si="5"/>
        <v>69958</v>
      </c>
      <c r="AK659" s="231">
        <f t="shared" si="6"/>
        <v>69958</v>
      </c>
      <c r="AL659" s="233"/>
      <c r="AM659" s="233"/>
    </row>
    <row r="660">
      <c r="A660" s="224">
        <v>659.0</v>
      </c>
      <c r="B660" s="225">
        <v>44347.0</v>
      </c>
      <c r="C660" s="195" t="str">
        <f t="shared" si="7"/>
        <v>52021</v>
      </c>
      <c r="D660" s="226" t="s">
        <v>2139</v>
      </c>
      <c r="E660" s="224" t="s">
        <v>2140</v>
      </c>
      <c r="F660" s="226" t="s">
        <v>2141</v>
      </c>
      <c r="G660" s="224" t="s">
        <v>40</v>
      </c>
      <c r="H660" s="224" t="s">
        <v>41</v>
      </c>
      <c r="I660" s="224" t="s">
        <v>643</v>
      </c>
      <c r="J660" s="227">
        <v>1.0</v>
      </c>
      <c r="K660" s="227">
        <v>1.0</v>
      </c>
      <c r="L660" s="228"/>
      <c r="M660" s="227">
        <v>1.0</v>
      </c>
      <c r="N660" s="228"/>
      <c r="O660" s="228"/>
      <c r="P660" s="228"/>
      <c r="Q660" s="229"/>
      <c r="R660" s="229"/>
      <c r="S660" s="224" t="s">
        <v>65</v>
      </c>
      <c r="T660" s="224" t="s">
        <v>83</v>
      </c>
      <c r="U660" s="224" t="s">
        <v>45</v>
      </c>
      <c r="V660" s="224" t="s">
        <v>1984</v>
      </c>
      <c r="W660" s="230"/>
      <c r="X660" s="230"/>
      <c r="Y660" s="230"/>
      <c r="Z660" s="230"/>
      <c r="AA660" s="231">
        <v>17723.0</v>
      </c>
      <c r="AB660" s="231">
        <v>70891.0</v>
      </c>
      <c r="AC660" s="24" t="s">
        <v>2142</v>
      </c>
      <c r="AD660" s="195">
        <v>5533.0</v>
      </c>
      <c r="AE660" s="38"/>
      <c r="AF660" s="224" t="str">
        <f t="shared" si="1"/>
        <v>Capital Federal, Argentina</v>
      </c>
      <c r="AG660" s="224">
        <f t="shared" si="2"/>
        <v>3</v>
      </c>
      <c r="AH660" s="232">
        <f t="shared" si="3"/>
        <v>0</v>
      </c>
      <c r="AI660" s="232">
        <f t="shared" si="4"/>
        <v>0</v>
      </c>
      <c r="AJ660" s="231">
        <f t="shared" si="5"/>
        <v>88614</v>
      </c>
      <c r="AK660" s="231">
        <f t="shared" si="6"/>
        <v>88614</v>
      </c>
      <c r="AL660" s="233"/>
      <c r="AM660" s="233"/>
    </row>
    <row r="661">
      <c r="A661" s="224">
        <v>660.0</v>
      </c>
      <c r="B661" s="225">
        <v>44347.0</v>
      </c>
      <c r="C661" s="195" t="str">
        <f t="shared" si="7"/>
        <v>52021</v>
      </c>
      <c r="D661" s="226" t="s">
        <v>2143</v>
      </c>
      <c r="E661" s="224" t="s">
        <v>2144</v>
      </c>
      <c r="F661" s="226" t="s">
        <v>12</v>
      </c>
      <c r="G661" s="224" t="s">
        <v>64</v>
      </c>
      <c r="H661" s="224" t="s">
        <v>41</v>
      </c>
      <c r="I661" s="224" t="s">
        <v>643</v>
      </c>
      <c r="J661" s="228"/>
      <c r="K661" s="228"/>
      <c r="L661" s="228"/>
      <c r="M661" s="227">
        <v>1.0</v>
      </c>
      <c r="N661" s="228"/>
      <c r="O661" s="228"/>
      <c r="P661" s="228"/>
      <c r="Q661" s="229"/>
      <c r="R661" s="229"/>
      <c r="S661" s="224" t="s">
        <v>89</v>
      </c>
      <c r="T661" s="224" t="s">
        <v>66</v>
      </c>
      <c r="U661" s="224" t="s">
        <v>99</v>
      </c>
      <c r="V661" s="224" t="s">
        <v>1984</v>
      </c>
      <c r="W661" s="230"/>
      <c r="X661" s="230"/>
      <c r="Y661" s="230"/>
      <c r="Z661" s="230"/>
      <c r="AA661" s="231">
        <v>6663.0</v>
      </c>
      <c r="AB661" s="231">
        <v>23320.0</v>
      </c>
      <c r="AC661" s="24" t="s">
        <v>2145</v>
      </c>
      <c r="AD661" s="195">
        <v>5547.0</v>
      </c>
      <c r="AE661" s="38"/>
      <c r="AF661" s="224" t="str">
        <f t="shared" si="1"/>
        <v>Buenos Aires, Argentina</v>
      </c>
      <c r="AG661" s="224">
        <f t="shared" si="2"/>
        <v>1</v>
      </c>
      <c r="AH661" s="232">
        <f t="shared" si="3"/>
        <v>0</v>
      </c>
      <c r="AI661" s="232">
        <f t="shared" si="4"/>
        <v>0</v>
      </c>
      <c r="AJ661" s="231">
        <f t="shared" si="5"/>
        <v>29983</v>
      </c>
      <c r="AK661" s="231">
        <f t="shared" si="6"/>
        <v>29983</v>
      </c>
      <c r="AL661" s="233"/>
      <c r="AM661" s="233"/>
    </row>
    <row r="662">
      <c r="A662" s="234">
        <v>661.0</v>
      </c>
      <c r="B662" s="235">
        <v>44349.0</v>
      </c>
      <c r="C662" s="195" t="str">
        <f t="shared" si="7"/>
        <v>62021</v>
      </c>
      <c r="D662" s="236" t="s">
        <v>2045</v>
      </c>
      <c r="E662" s="234" t="s">
        <v>2046</v>
      </c>
      <c r="F662" s="236" t="s">
        <v>1415</v>
      </c>
      <c r="G662" s="234" t="s">
        <v>64</v>
      </c>
      <c r="H662" s="234" t="s">
        <v>41</v>
      </c>
      <c r="I662" s="234" t="s">
        <v>643</v>
      </c>
      <c r="J662" s="237"/>
      <c r="K662" s="238">
        <v>1.0</v>
      </c>
      <c r="L662" s="237"/>
      <c r="M662" s="237"/>
      <c r="N662" s="237"/>
      <c r="O662" s="237"/>
      <c r="P662" s="237"/>
      <c r="Q662" s="239"/>
      <c r="R662" s="239"/>
      <c r="S662" s="234" t="s">
        <v>65</v>
      </c>
      <c r="T662" s="234" t="s">
        <v>66</v>
      </c>
      <c r="U662" s="234" t="s">
        <v>99</v>
      </c>
      <c r="V662" s="234" t="s">
        <v>1984</v>
      </c>
      <c r="W662" s="240"/>
      <c r="X662" s="240"/>
      <c r="Y662" s="240"/>
      <c r="Z662" s="240"/>
      <c r="AA662" s="241">
        <v>4604.0</v>
      </c>
      <c r="AB662" s="241">
        <v>21018.0</v>
      </c>
      <c r="AC662" s="24" t="s">
        <v>2146</v>
      </c>
      <c r="AD662" s="195">
        <v>5549.0</v>
      </c>
      <c r="AE662" s="38"/>
      <c r="AF662" s="234" t="str">
        <f t="shared" si="1"/>
        <v>Buenos Aires, Argentina</v>
      </c>
      <c r="AG662" s="234">
        <f t="shared" si="2"/>
        <v>1</v>
      </c>
      <c r="AH662" s="242">
        <f t="shared" si="3"/>
        <v>0</v>
      </c>
      <c r="AI662" s="242">
        <f t="shared" si="4"/>
        <v>0</v>
      </c>
      <c r="AJ662" s="241">
        <f t="shared" si="5"/>
        <v>25622</v>
      </c>
      <c r="AK662" s="241">
        <f t="shared" si="6"/>
        <v>25622</v>
      </c>
      <c r="AL662" s="243"/>
      <c r="AM662" s="243"/>
    </row>
    <row r="663">
      <c r="A663" s="234">
        <v>662.0</v>
      </c>
      <c r="B663" s="235">
        <v>44350.0</v>
      </c>
      <c r="C663" s="195" t="str">
        <f t="shared" si="7"/>
        <v>62021</v>
      </c>
      <c r="D663" s="236" t="s">
        <v>2147</v>
      </c>
      <c r="E663" s="234" t="s">
        <v>2148</v>
      </c>
      <c r="F663" s="236" t="s">
        <v>1423</v>
      </c>
      <c r="G663" s="234" t="s">
        <v>40</v>
      </c>
      <c r="H663" s="234" t="s">
        <v>41</v>
      </c>
      <c r="I663" s="234" t="s">
        <v>643</v>
      </c>
      <c r="J663" s="238">
        <v>1.0</v>
      </c>
      <c r="K663" s="237"/>
      <c r="L663" s="237"/>
      <c r="M663" s="237"/>
      <c r="N663" s="237"/>
      <c r="O663" s="237"/>
      <c r="P663" s="237"/>
      <c r="Q663" s="239"/>
      <c r="R663" s="239"/>
      <c r="S663" s="234" t="s">
        <v>114</v>
      </c>
      <c r="T663" s="234" t="s">
        <v>66</v>
      </c>
      <c r="U663" s="234" t="s">
        <v>342</v>
      </c>
      <c r="V663" s="234" t="s">
        <v>1984</v>
      </c>
      <c r="W663" s="240"/>
      <c r="X663" s="240"/>
      <c r="Y663" s="240"/>
      <c r="Z663" s="240"/>
      <c r="AA663" s="241">
        <v>6913.0</v>
      </c>
      <c r="AB663" s="241">
        <v>31108.0</v>
      </c>
      <c r="AC663" s="24" t="s">
        <v>2149</v>
      </c>
      <c r="AD663" s="195">
        <v>5559.0</v>
      </c>
      <c r="AE663" s="38"/>
      <c r="AF663" s="234" t="str">
        <f t="shared" si="1"/>
        <v>Buenos Aires, Argentina</v>
      </c>
      <c r="AG663" s="234">
        <f t="shared" si="2"/>
        <v>1</v>
      </c>
      <c r="AH663" s="242">
        <f t="shared" si="3"/>
        <v>0</v>
      </c>
      <c r="AI663" s="242">
        <f t="shared" si="4"/>
        <v>0</v>
      </c>
      <c r="AJ663" s="241">
        <f t="shared" si="5"/>
        <v>38021</v>
      </c>
      <c r="AK663" s="241">
        <f t="shared" si="6"/>
        <v>38021</v>
      </c>
      <c r="AL663" s="243"/>
      <c r="AM663" s="243"/>
    </row>
    <row r="664">
      <c r="A664" s="234">
        <v>663.0</v>
      </c>
      <c r="B664" s="235">
        <v>44354.0</v>
      </c>
      <c r="C664" s="195" t="str">
        <f t="shared" si="7"/>
        <v>62021</v>
      </c>
      <c r="D664" s="236" t="s">
        <v>2150</v>
      </c>
      <c r="E664" s="234" t="s">
        <v>2151</v>
      </c>
      <c r="F664" s="236" t="s">
        <v>1423</v>
      </c>
      <c r="G664" s="234" t="s">
        <v>64</v>
      </c>
      <c r="H664" s="234" t="s">
        <v>41</v>
      </c>
      <c r="I664" s="234" t="s">
        <v>643</v>
      </c>
      <c r="J664" s="238">
        <v>1.0</v>
      </c>
      <c r="K664" s="237"/>
      <c r="L664" s="237"/>
      <c r="M664" s="237"/>
      <c r="N664" s="237"/>
      <c r="O664" s="237"/>
      <c r="P664" s="237"/>
      <c r="Q664" s="239"/>
      <c r="R664" s="239"/>
      <c r="S664" s="234" t="s">
        <v>65</v>
      </c>
      <c r="T664" s="234" t="s">
        <v>879</v>
      </c>
      <c r="U664" s="234" t="s">
        <v>99</v>
      </c>
      <c r="V664" s="234" t="s">
        <v>1984</v>
      </c>
      <c r="W664" s="240"/>
      <c r="X664" s="240"/>
      <c r="Y664" s="240"/>
      <c r="Z664" s="240"/>
      <c r="AA664" s="241">
        <v>6913.0</v>
      </c>
      <c r="AB664" s="241">
        <v>31108.0</v>
      </c>
      <c r="AC664" s="24" t="s">
        <v>2152</v>
      </c>
      <c r="AD664" s="195">
        <v>5565.0</v>
      </c>
      <c r="AE664" s="38"/>
      <c r="AF664" s="234" t="str">
        <f t="shared" si="1"/>
        <v>Salta, Argentina</v>
      </c>
      <c r="AG664" s="234">
        <f t="shared" si="2"/>
        <v>1</v>
      </c>
      <c r="AH664" s="242">
        <f t="shared" si="3"/>
        <v>0</v>
      </c>
      <c r="AI664" s="242">
        <f t="shared" si="4"/>
        <v>0</v>
      </c>
      <c r="AJ664" s="241">
        <f t="shared" si="5"/>
        <v>38021</v>
      </c>
      <c r="AK664" s="241">
        <f t="shared" si="6"/>
        <v>38021</v>
      </c>
      <c r="AL664" s="243"/>
      <c r="AM664" s="243"/>
    </row>
    <row r="665">
      <c r="A665" s="234">
        <v>664.0</v>
      </c>
      <c r="B665" s="235">
        <v>44354.0</v>
      </c>
      <c r="C665" s="195" t="str">
        <f t="shared" si="7"/>
        <v>62021</v>
      </c>
      <c r="D665" s="236" t="s">
        <v>2153</v>
      </c>
      <c r="E665" s="234" t="s">
        <v>2154</v>
      </c>
      <c r="F665" s="236" t="s">
        <v>2155</v>
      </c>
      <c r="G665" s="234" t="s">
        <v>64</v>
      </c>
      <c r="H665" s="234" t="s">
        <v>41</v>
      </c>
      <c r="I665" s="234" t="s">
        <v>643</v>
      </c>
      <c r="J665" s="237"/>
      <c r="K665" s="237"/>
      <c r="L665" s="237"/>
      <c r="M665" s="237"/>
      <c r="N665" s="237"/>
      <c r="O665" s="237"/>
      <c r="P665" s="237"/>
      <c r="Q665" s="239"/>
      <c r="R665" s="239"/>
      <c r="S665" s="234" t="s">
        <v>65</v>
      </c>
      <c r="T665" s="234" t="s">
        <v>66</v>
      </c>
      <c r="U665" s="234" t="s">
        <v>99</v>
      </c>
      <c r="V665" s="234" t="s">
        <v>1984</v>
      </c>
      <c r="W665" s="240"/>
      <c r="X665" s="240"/>
      <c r="Y665" s="240"/>
      <c r="Z665" s="240"/>
      <c r="AA665" s="241">
        <v>0.0</v>
      </c>
      <c r="AB665" s="241">
        <v>62217.0</v>
      </c>
      <c r="AC665" s="24" t="s">
        <v>2156</v>
      </c>
      <c r="AD665" s="195">
        <v>5569.0</v>
      </c>
      <c r="AE665" s="38"/>
      <c r="AF665" s="234" t="str">
        <f t="shared" si="1"/>
        <v>Buenos Aires, Argentina</v>
      </c>
      <c r="AG665" s="234">
        <f t="shared" si="2"/>
        <v>0</v>
      </c>
      <c r="AH665" s="242">
        <f t="shared" si="3"/>
        <v>0</v>
      </c>
      <c r="AI665" s="242">
        <f t="shared" si="4"/>
        <v>0</v>
      </c>
      <c r="AJ665" s="241">
        <f t="shared" si="5"/>
        <v>62217</v>
      </c>
      <c r="AK665" s="241">
        <f t="shared" si="6"/>
        <v>62217</v>
      </c>
      <c r="AL665" s="243"/>
      <c r="AM665" s="243"/>
    </row>
    <row r="666">
      <c r="A666" s="234">
        <v>665.0</v>
      </c>
      <c r="B666" s="235">
        <v>44356.0</v>
      </c>
      <c r="C666" s="195" t="str">
        <f t="shared" si="7"/>
        <v>62021</v>
      </c>
      <c r="D666" s="236" t="s">
        <v>1941</v>
      </c>
      <c r="E666" s="234" t="s">
        <v>1942</v>
      </c>
      <c r="F666" s="236" t="s">
        <v>12</v>
      </c>
      <c r="G666" s="234" t="s">
        <v>64</v>
      </c>
      <c r="H666" s="234" t="s">
        <v>41</v>
      </c>
      <c r="I666" s="234" t="s">
        <v>42</v>
      </c>
      <c r="J666" s="237"/>
      <c r="K666" s="237"/>
      <c r="L666" s="237"/>
      <c r="M666" s="238">
        <v>1.0</v>
      </c>
      <c r="N666" s="237"/>
      <c r="O666" s="237"/>
      <c r="P666" s="237"/>
      <c r="Q666" s="239"/>
      <c r="R666" s="239"/>
      <c r="S666" s="234" t="s">
        <v>72</v>
      </c>
      <c r="T666" s="234" t="s">
        <v>66</v>
      </c>
      <c r="U666" s="234" t="s">
        <v>67</v>
      </c>
      <c r="V666" s="234" t="s">
        <v>59</v>
      </c>
      <c r="W666" s="240"/>
      <c r="X666" s="240"/>
      <c r="Y666" s="240"/>
      <c r="Z666" s="240"/>
      <c r="AA666" s="241">
        <v>6913.0</v>
      </c>
      <c r="AB666" s="241">
        <v>0.0</v>
      </c>
      <c r="AC666" s="24" t="s">
        <v>1943</v>
      </c>
      <c r="AD666" s="195">
        <v>5047.0</v>
      </c>
      <c r="AE666" s="38"/>
      <c r="AF666" s="234" t="str">
        <f t="shared" si="1"/>
        <v>Buenos Aires, Argentina</v>
      </c>
      <c r="AG666" s="234">
        <f t="shared" si="2"/>
        <v>1</v>
      </c>
      <c r="AH666" s="242">
        <f t="shared" si="3"/>
        <v>0</v>
      </c>
      <c r="AI666" s="242">
        <f t="shared" si="4"/>
        <v>0</v>
      </c>
      <c r="AJ666" s="241">
        <f t="shared" si="5"/>
        <v>6913</v>
      </c>
      <c r="AK666" s="241">
        <f t="shared" si="6"/>
        <v>6913</v>
      </c>
      <c r="AL666" s="243"/>
      <c r="AM666" s="243"/>
    </row>
    <row r="667">
      <c r="A667" s="234">
        <v>666.0</v>
      </c>
      <c r="B667" s="235">
        <v>44361.0</v>
      </c>
      <c r="C667" s="195" t="str">
        <f t="shared" si="7"/>
        <v>62021</v>
      </c>
      <c r="D667" s="236" t="s">
        <v>2121</v>
      </c>
      <c r="E667" s="234" t="s">
        <v>2122</v>
      </c>
      <c r="F667" s="236" t="s">
        <v>12</v>
      </c>
      <c r="G667" s="234" t="s">
        <v>64</v>
      </c>
      <c r="H667" s="234" t="s">
        <v>41</v>
      </c>
      <c r="I667" s="234" t="s">
        <v>42</v>
      </c>
      <c r="J667" s="237"/>
      <c r="K667" s="237"/>
      <c r="L667" s="237"/>
      <c r="M667" s="238">
        <v>1.0</v>
      </c>
      <c r="N667" s="237"/>
      <c r="O667" s="237"/>
      <c r="P667" s="237"/>
      <c r="Q667" s="239"/>
      <c r="R667" s="239"/>
      <c r="S667" s="234" t="s">
        <v>105</v>
      </c>
      <c r="T667" s="234" t="s">
        <v>66</v>
      </c>
      <c r="U667" s="234" t="s">
        <v>67</v>
      </c>
      <c r="V667" s="234" t="s">
        <v>78</v>
      </c>
      <c r="W667" s="240"/>
      <c r="X667" s="240"/>
      <c r="Y667" s="240"/>
      <c r="Z667" s="240"/>
      <c r="AA667" s="241">
        <v>6913.0</v>
      </c>
      <c r="AB667" s="241">
        <v>34565.0</v>
      </c>
      <c r="AC667" s="24" t="s">
        <v>2157</v>
      </c>
      <c r="AD667" s="195">
        <v>5589.0</v>
      </c>
      <c r="AE667" s="38"/>
      <c r="AF667" s="234" t="str">
        <f t="shared" si="1"/>
        <v>Buenos Aires, Argentina</v>
      </c>
      <c r="AG667" s="234">
        <f t="shared" si="2"/>
        <v>1</v>
      </c>
      <c r="AH667" s="242">
        <f t="shared" si="3"/>
        <v>0</v>
      </c>
      <c r="AI667" s="242">
        <f t="shared" si="4"/>
        <v>0</v>
      </c>
      <c r="AJ667" s="241">
        <f t="shared" si="5"/>
        <v>41478</v>
      </c>
      <c r="AK667" s="241">
        <f t="shared" si="6"/>
        <v>41478</v>
      </c>
      <c r="AL667" s="243"/>
      <c r="AM667" s="243"/>
    </row>
    <row r="668">
      <c r="A668" s="234">
        <v>667.0</v>
      </c>
      <c r="B668" s="235">
        <v>44361.0</v>
      </c>
      <c r="C668" s="195" t="str">
        <f t="shared" si="7"/>
        <v>62021</v>
      </c>
      <c r="D668" s="236" t="s">
        <v>2048</v>
      </c>
      <c r="E668" s="234" t="s">
        <v>2049</v>
      </c>
      <c r="F668" s="236" t="s">
        <v>1423</v>
      </c>
      <c r="G668" s="234" t="s">
        <v>64</v>
      </c>
      <c r="H668" s="234" t="s">
        <v>41</v>
      </c>
      <c r="I668" s="234" t="s">
        <v>643</v>
      </c>
      <c r="J668" s="238">
        <v>1.0</v>
      </c>
      <c r="K668" s="237"/>
      <c r="L668" s="237"/>
      <c r="M668" s="237"/>
      <c r="N668" s="237"/>
      <c r="O668" s="237"/>
      <c r="P668" s="237"/>
      <c r="Q668" s="239"/>
      <c r="R668" s="239"/>
      <c r="S668" s="234" t="s">
        <v>98</v>
      </c>
      <c r="T668" s="234" t="s">
        <v>58</v>
      </c>
      <c r="U668" s="234" t="s">
        <v>99</v>
      </c>
      <c r="V668" s="234" t="s">
        <v>1984</v>
      </c>
      <c r="W668" s="240"/>
      <c r="X668" s="240"/>
      <c r="Y668" s="240"/>
      <c r="Z668" s="240"/>
      <c r="AA668" s="241">
        <v>6913.0</v>
      </c>
      <c r="AB668" s="241">
        <v>31108.0</v>
      </c>
      <c r="AC668" s="24" t="s">
        <v>2158</v>
      </c>
      <c r="AD668" s="201">
        <v>5593.0</v>
      </c>
      <c r="AE668" s="134"/>
      <c r="AF668" s="234" t="str">
        <f t="shared" si="1"/>
        <v>Córdoba, Argentina</v>
      </c>
      <c r="AG668" s="234">
        <f t="shared" si="2"/>
        <v>1</v>
      </c>
      <c r="AH668" s="242">
        <f t="shared" si="3"/>
        <v>0</v>
      </c>
      <c r="AI668" s="242">
        <f t="shared" si="4"/>
        <v>0</v>
      </c>
      <c r="AJ668" s="241">
        <f t="shared" si="5"/>
        <v>38021</v>
      </c>
      <c r="AK668" s="241">
        <f t="shared" si="6"/>
        <v>38021</v>
      </c>
      <c r="AL668" s="243"/>
      <c r="AM668" s="243"/>
    </row>
    <row r="669">
      <c r="A669" s="234">
        <v>668.0</v>
      </c>
      <c r="B669" s="235">
        <v>44361.0</v>
      </c>
      <c r="C669" s="195" t="str">
        <f t="shared" si="7"/>
        <v>62021</v>
      </c>
      <c r="D669" s="236" t="s">
        <v>2159</v>
      </c>
      <c r="E669" s="234" t="s">
        <v>2160</v>
      </c>
      <c r="F669" s="236" t="s">
        <v>2161</v>
      </c>
      <c r="G669" s="234" t="s">
        <v>40</v>
      </c>
      <c r="H669" s="234" t="s">
        <v>41</v>
      </c>
      <c r="I669" s="234" t="s">
        <v>643</v>
      </c>
      <c r="J669" s="238">
        <v>3.0</v>
      </c>
      <c r="K669" s="237"/>
      <c r="L669" s="237"/>
      <c r="M669" s="238">
        <v>1.0</v>
      </c>
      <c r="N669" s="237"/>
      <c r="O669" s="237"/>
      <c r="P669" s="237"/>
      <c r="Q669" s="239"/>
      <c r="R669" s="239"/>
      <c r="S669" s="234" t="s">
        <v>72</v>
      </c>
      <c r="T669" s="234" t="s">
        <v>66</v>
      </c>
      <c r="U669" s="234" t="s">
        <v>342</v>
      </c>
      <c r="V669" s="234" t="s">
        <v>1984</v>
      </c>
      <c r="W669" s="240"/>
      <c r="X669" s="240"/>
      <c r="Y669" s="240"/>
      <c r="Z669" s="240"/>
      <c r="AA669" s="241">
        <v>27652.0</v>
      </c>
      <c r="AB669" s="241">
        <v>124434.0</v>
      </c>
      <c r="AC669" s="24" t="s">
        <v>2162</v>
      </c>
      <c r="AD669" s="195">
        <v>5597.0</v>
      </c>
      <c r="AE669" s="38"/>
      <c r="AF669" s="234" t="str">
        <f t="shared" si="1"/>
        <v>Buenos Aires, Argentina</v>
      </c>
      <c r="AG669" s="234">
        <f t="shared" si="2"/>
        <v>4</v>
      </c>
      <c r="AH669" s="242">
        <f t="shared" si="3"/>
        <v>0</v>
      </c>
      <c r="AI669" s="242">
        <f t="shared" si="4"/>
        <v>0</v>
      </c>
      <c r="AJ669" s="241">
        <f t="shared" si="5"/>
        <v>152086</v>
      </c>
      <c r="AK669" s="241">
        <f t="shared" si="6"/>
        <v>152086</v>
      </c>
      <c r="AL669" s="243"/>
      <c r="AM669" s="243"/>
    </row>
    <row r="670">
      <c r="A670" s="234">
        <v>669.0</v>
      </c>
      <c r="B670" s="235">
        <v>44361.0</v>
      </c>
      <c r="C670" s="195" t="str">
        <f t="shared" si="7"/>
        <v>62021</v>
      </c>
      <c r="D670" s="236" t="s">
        <v>2163</v>
      </c>
      <c r="E670" s="234" t="s">
        <v>2164</v>
      </c>
      <c r="F670" s="236" t="s">
        <v>1412</v>
      </c>
      <c r="G670" s="234" t="s">
        <v>64</v>
      </c>
      <c r="H670" s="234" t="s">
        <v>41</v>
      </c>
      <c r="I670" s="234" t="s">
        <v>643</v>
      </c>
      <c r="J670" s="238">
        <v>2.0</v>
      </c>
      <c r="K670" s="237"/>
      <c r="L670" s="237"/>
      <c r="M670" s="237"/>
      <c r="N670" s="237"/>
      <c r="O670" s="237"/>
      <c r="P670" s="237"/>
      <c r="Q670" s="239"/>
      <c r="R670" s="239"/>
      <c r="S670" s="234" t="s">
        <v>65</v>
      </c>
      <c r="T670" s="234" t="s">
        <v>66</v>
      </c>
      <c r="U670" s="234" t="s">
        <v>67</v>
      </c>
      <c r="V670" s="234" t="s">
        <v>1984</v>
      </c>
      <c r="W670" s="240"/>
      <c r="X670" s="240"/>
      <c r="Y670" s="240"/>
      <c r="Z670" s="240"/>
      <c r="AA670" s="241">
        <v>13826.0</v>
      </c>
      <c r="AB670" s="241">
        <v>55995.0</v>
      </c>
      <c r="AC670" s="24" t="s">
        <v>2165</v>
      </c>
      <c r="AD670" s="195">
        <v>5595.0</v>
      </c>
      <c r="AE670" s="38"/>
      <c r="AF670" s="234" t="str">
        <f t="shared" si="1"/>
        <v>Buenos Aires, Argentina</v>
      </c>
      <c r="AG670" s="234">
        <f t="shared" si="2"/>
        <v>2</v>
      </c>
      <c r="AH670" s="242">
        <f t="shared" si="3"/>
        <v>0</v>
      </c>
      <c r="AI670" s="242">
        <f t="shared" si="4"/>
        <v>0</v>
      </c>
      <c r="AJ670" s="241">
        <f t="shared" si="5"/>
        <v>69821</v>
      </c>
      <c r="AK670" s="241">
        <f t="shared" si="6"/>
        <v>69821</v>
      </c>
      <c r="AL670" s="243"/>
      <c r="AM670" s="243"/>
    </row>
    <row r="671">
      <c r="A671" s="234">
        <v>670.0</v>
      </c>
      <c r="B671" s="235">
        <v>44365.0</v>
      </c>
      <c r="C671" s="195" t="str">
        <f t="shared" si="7"/>
        <v>62021</v>
      </c>
      <c r="D671" s="236" t="s">
        <v>2166</v>
      </c>
      <c r="E671" s="234" t="s">
        <v>2167</v>
      </c>
      <c r="F671" s="236" t="s">
        <v>1423</v>
      </c>
      <c r="G671" s="234" t="s">
        <v>64</v>
      </c>
      <c r="H671" s="234" t="s">
        <v>41</v>
      </c>
      <c r="I671" s="234" t="s">
        <v>643</v>
      </c>
      <c r="J671" s="238">
        <v>1.0</v>
      </c>
      <c r="K671" s="237"/>
      <c r="L671" s="237"/>
      <c r="M671" s="237"/>
      <c r="N671" s="237"/>
      <c r="O671" s="237"/>
      <c r="P671" s="237"/>
      <c r="Q671" s="239"/>
      <c r="R671" s="239"/>
      <c r="S671" s="234" t="s">
        <v>72</v>
      </c>
      <c r="T671" s="234" t="s">
        <v>879</v>
      </c>
      <c r="U671" s="234" t="s">
        <v>99</v>
      </c>
      <c r="V671" s="234" t="s">
        <v>1984</v>
      </c>
      <c r="W671" s="240"/>
      <c r="X671" s="240"/>
      <c r="Y671" s="240"/>
      <c r="Z671" s="240"/>
      <c r="AA671" s="241">
        <v>6913.0</v>
      </c>
      <c r="AB671" s="241">
        <v>27653.0</v>
      </c>
      <c r="AC671" s="24" t="s">
        <v>2168</v>
      </c>
      <c r="AD671" s="195">
        <v>5613.0</v>
      </c>
      <c r="AE671" s="38"/>
      <c r="AF671" s="234" t="str">
        <f t="shared" si="1"/>
        <v>Salta, Argentina</v>
      </c>
      <c r="AG671" s="234">
        <f t="shared" si="2"/>
        <v>1</v>
      </c>
      <c r="AH671" s="242">
        <f t="shared" si="3"/>
        <v>0</v>
      </c>
      <c r="AI671" s="242">
        <f t="shared" si="4"/>
        <v>0</v>
      </c>
      <c r="AJ671" s="241">
        <f t="shared" si="5"/>
        <v>34566</v>
      </c>
      <c r="AK671" s="241">
        <f t="shared" si="6"/>
        <v>34566</v>
      </c>
      <c r="AL671" s="243"/>
      <c r="AM671" s="243"/>
    </row>
    <row r="672">
      <c r="A672" s="234">
        <v>671.0</v>
      </c>
      <c r="B672" s="235">
        <v>44369.0</v>
      </c>
      <c r="C672" s="195" t="str">
        <f t="shared" si="7"/>
        <v>62021</v>
      </c>
      <c r="D672" s="236" t="s">
        <v>2045</v>
      </c>
      <c r="E672" s="234" t="s">
        <v>2046</v>
      </c>
      <c r="F672" s="236" t="s">
        <v>1423</v>
      </c>
      <c r="G672" s="234" t="s">
        <v>64</v>
      </c>
      <c r="H672" s="234" t="s">
        <v>41</v>
      </c>
      <c r="I672" s="234" t="s">
        <v>643</v>
      </c>
      <c r="J672" s="238">
        <v>1.0</v>
      </c>
      <c r="K672" s="237"/>
      <c r="L672" s="237"/>
      <c r="M672" s="237"/>
      <c r="N672" s="237"/>
      <c r="O672" s="237"/>
      <c r="P672" s="237"/>
      <c r="Q672" s="239"/>
      <c r="R672" s="239"/>
      <c r="S672" s="234" t="s">
        <v>65</v>
      </c>
      <c r="T672" s="234" t="s">
        <v>66</v>
      </c>
      <c r="U672" s="234" t="s">
        <v>99</v>
      </c>
      <c r="V672" s="234" t="s">
        <v>1984</v>
      </c>
      <c r="W672" s="240"/>
      <c r="X672" s="240"/>
      <c r="Y672" s="240"/>
      <c r="Z672" s="240"/>
      <c r="AA672" s="241">
        <v>6913.0</v>
      </c>
      <c r="AB672" s="241">
        <v>27653.0</v>
      </c>
      <c r="AC672" s="24" t="s">
        <v>2169</v>
      </c>
      <c r="AD672" s="195">
        <v>5619.0</v>
      </c>
      <c r="AE672" s="38"/>
      <c r="AF672" s="234" t="str">
        <f t="shared" si="1"/>
        <v>Buenos Aires, Argentina</v>
      </c>
      <c r="AG672" s="234">
        <f t="shared" si="2"/>
        <v>1</v>
      </c>
      <c r="AH672" s="242">
        <f t="shared" si="3"/>
        <v>0</v>
      </c>
      <c r="AI672" s="242">
        <f t="shared" si="4"/>
        <v>0</v>
      </c>
      <c r="AJ672" s="241">
        <f t="shared" si="5"/>
        <v>34566</v>
      </c>
      <c r="AK672" s="241">
        <f t="shared" si="6"/>
        <v>34566</v>
      </c>
      <c r="AL672" s="243"/>
      <c r="AM672" s="243"/>
    </row>
    <row r="673">
      <c r="A673" s="234">
        <v>672.0</v>
      </c>
      <c r="B673" s="235">
        <v>44370.0</v>
      </c>
      <c r="C673" s="195" t="str">
        <f t="shared" si="7"/>
        <v>62021</v>
      </c>
      <c r="D673" s="236" t="s">
        <v>2170</v>
      </c>
      <c r="E673" s="234" t="s">
        <v>2171</v>
      </c>
      <c r="F673" s="236" t="s">
        <v>2172</v>
      </c>
      <c r="G673" s="234" t="s">
        <v>40</v>
      </c>
      <c r="H673" s="234" t="s">
        <v>41</v>
      </c>
      <c r="I673" s="234" t="s">
        <v>42</v>
      </c>
      <c r="J673" s="238">
        <v>2.0</v>
      </c>
      <c r="K673" s="237"/>
      <c r="L673" s="237"/>
      <c r="M673" s="238">
        <v>1.0</v>
      </c>
      <c r="N673" s="237"/>
      <c r="O673" s="237"/>
      <c r="P673" s="237"/>
      <c r="Q673" s="239"/>
      <c r="R673" s="239"/>
      <c r="S673" s="234" t="s">
        <v>82</v>
      </c>
      <c r="T673" s="234" t="s">
        <v>671</v>
      </c>
      <c r="U673" s="234" t="s">
        <v>45</v>
      </c>
      <c r="V673" s="234" t="s">
        <v>59</v>
      </c>
      <c r="W673" s="240"/>
      <c r="X673" s="240"/>
      <c r="Y673" s="240"/>
      <c r="Z673" s="240"/>
      <c r="AA673" s="241">
        <v>20739.0</v>
      </c>
      <c r="AB673" s="241">
        <v>103695.0</v>
      </c>
      <c r="AC673" s="24" t="s">
        <v>2173</v>
      </c>
      <c r="AD673" s="195">
        <v>5625.0</v>
      </c>
      <c r="AE673" s="38"/>
      <c r="AF673" s="234" t="str">
        <f t="shared" si="1"/>
        <v>Chubut, Argentina</v>
      </c>
      <c r="AG673" s="234">
        <f t="shared" si="2"/>
        <v>3</v>
      </c>
      <c r="AH673" s="242">
        <f t="shared" si="3"/>
        <v>0</v>
      </c>
      <c r="AI673" s="242">
        <f t="shared" si="4"/>
        <v>0</v>
      </c>
      <c r="AJ673" s="241">
        <f t="shared" si="5"/>
        <v>124434</v>
      </c>
      <c r="AK673" s="241">
        <f t="shared" si="6"/>
        <v>124434</v>
      </c>
      <c r="AL673" s="243"/>
      <c r="AM673" s="243"/>
    </row>
    <row r="674">
      <c r="A674" s="234">
        <v>673.0</v>
      </c>
      <c r="B674" s="235">
        <v>44371.0</v>
      </c>
      <c r="C674" s="195" t="str">
        <f t="shared" si="7"/>
        <v>62021</v>
      </c>
      <c r="D674" s="236" t="s">
        <v>2174</v>
      </c>
      <c r="E674" s="234" t="s">
        <v>2175</v>
      </c>
      <c r="F674" s="236" t="s">
        <v>1415</v>
      </c>
      <c r="G674" s="234" t="s">
        <v>64</v>
      </c>
      <c r="H674" s="234" t="s">
        <v>41</v>
      </c>
      <c r="I674" s="234" t="s">
        <v>643</v>
      </c>
      <c r="J674" s="237"/>
      <c r="K674" s="238">
        <v>1.0</v>
      </c>
      <c r="L674" s="237"/>
      <c r="M674" s="237"/>
      <c r="N674" s="237"/>
      <c r="O674" s="237"/>
      <c r="P674" s="237"/>
      <c r="Q674" s="239"/>
      <c r="R674" s="239"/>
      <c r="S674" s="234" t="s">
        <v>65</v>
      </c>
      <c r="T674" s="234" t="s">
        <v>66</v>
      </c>
      <c r="U674" s="234" t="s">
        <v>99</v>
      </c>
      <c r="V674" s="234" t="s">
        <v>1984</v>
      </c>
      <c r="W674" s="240"/>
      <c r="X674" s="240"/>
      <c r="Y674" s="240"/>
      <c r="Z674" s="240"/>
      <c r="AA674" s="241">
        <v>4604.0</v>
      </c>
      <c r="AB674" s="241">
        <v>16576.0</v>
      </c>
      <c r="AC674" s="24" t="s">
        <v>2176</v>
      </c>
      <c r="AD674" s="195">
        <v>5631.0</v>
      </c>
      <c r="AE674" s="38"/>
      <c r="AF674" s="234" t="str">
        <f t="shared" si="1"/>
        <v>Buenos Aires, Argentina</v>
      </c>
      <c r="AG674" s="234">
        <f t="shared" si="2"/>
        <v>1</v>
      </c>
      <c r="AH674" s="242">
        <f t="shared" si="3"/>
        <v>0</v>
      </c>
      <c r="AI674" s="242">
        <f t="shared" si="4"/>
        <v>0</v>
      </c>
      <c r="AJ674" s="241">
        <f t="shared" si="5"/>
        <v>21180</v>
      </c>
      <c r="AK674" s="241">
        <f t="shared" si="6"/>
        <v>21180</v>
      </c>
      <c r="AL674" s="243"/>
      <c r="AM674" s="243"/>
    </row>
    <row r="675">
      <c r="A675" s="234">
        <v>674.0</v>
      </c>
      <c r="B675" s="235">
        <v>44372.0</v>
      </c>
      <c r="C675" s="195" t="str">
        <f t="shared" si="7"/>
        <v>62021</v>
      </c>
      <c r="D675" s="236" t="s">
        <v>2177</v>
      </c>
      <c r="E675" s="234" t="s">
        <v>2178</v>
      </c>
      <c r="F675" s="236" t="s">
        <v>1592</v>
      </c>
      <c r="G675" s="234" t="s">
        <v>64</v>
      </c>
      <c r="H675" s="234" t="s">
        <v>41</v>
      </c>
      <c r="I675" s="234" t="s">
        <v>42</v>
      </c>
      <c r="J675" s="238">
        <v>1.0</v>
      </c>
      <c r="K675" s="238">
        <v>1.0</v>
      </c>
      <c r="L675" s="237"/>
      <c r="M675" s="237"/>
      <c r="N675" s="237"/>
      <c r="O675" s="237"/>
      <c r="P675" s="237"/>
      <c r="Q675" s="239"/>
      <c r="R675" s="239"/>
      <c r="S675" s="234" t="s">
        <v>105</v>
      </c>
      <c r="T675" s="234" t="s">
        <v>66</v>
      </c>
      <c r="U675" s="234" t="s">
        <v>67</v>
      </c>
      <c r="V675" s="234" t="s">
        <v>78</v>
      </c>
      <c r="W675" s="240"/>
      <c r="X675" s="240"/>
      <c r="Y675" s="240"/>
      <c r="Z675" s="240"/>
      <c r="AA675" s="241">
        <v>11517.0</v>
      </c>
      <c r="AB675" s="241">
        <v>57585.0</v>
      </c>
      <c r="AC675" s="24" t="s">
        <v>2179</v>
      </c>
      <c r="AD675" s="195">
        <v>5637.0</v>
      </c>
      <c r="AE675" s="38"/>
      <c r="AF675" s="234" t="str">
        <f t="shared" si="1"/>
        <v>Buenos Aires, Argentina</v>
      </c>
      <c r="AG675" s="234">
        <f t="shared" si="2"/>
        <v>2</v>
      </c>
      <c r="AH675" s="242">
        <f t="shared" si="3"/>
        <v>0</v>
      </c>
      <c r="AI675" s="242">
        <f t="shared" si="4"/>
        <v>0</v>
      </c>
      <c r="AJ675" s="241">
        <f t="shared" si="5"/>
        <v>69102</v>
      </c>
      <c r="AK675" s="241">
        <f t="shared" si="6"/>
        <v>69102</v>
      </c>
      <c r="AL675" s="243"/>
      <c r="AM675" s="243"/>
    </row>
    <row r="676">
      <c r="A676" s="234">
        <v>675.0</v>
      </c>
      <c r="B676" s="235">
        <v>44372.0</v>
      </c>
      <c r="C676" s="195" t="str">
        <f t="shared" si="7"/>
        <v>62021</v>
      </c>
      <c r="D676" s="236" t="s">
        <v>2180</v>
      </c>
      <c r="E676" s="234" t="s">
        <v>1988</v>
      </c>
      <c r="F676" s="236" t="s">
        <v>1415</v>
      </c>
      <c r="G676" s="234" t="s">
        <v>64</v>
      </c>
      <c r="H676" s="234" t="s">
        <v>41</v>
      </c>
      <c r="I676" s="234" t="s">
        <v>643</v>
      </c>
      <c r="J676" s="237"/>
      <c r="K676" s="238">
        <v>1.0</v>
      </c>
      <c r="L676" s="237"/>
      <c r="M676" s="237"/>
      <c r="N676" s="237"/>
      <c r="O676" s="237"/>
      <c r="P676" s="237"/>
      <c r="Q676" s="239"/>
      <c r="R676" s="239"/>
      <c r="S676" s="234" t="s">
        <v>114</v>
      </c>
      <c r="T676" s="234" t="s">
        <v>66</v>
      </c>
      <c r="U676" s="234" t="s">
        <v>99</v>
      </c>
      <c r="V676" s="234" t="s">
        <v>1984</v>
      </c>
      <c r="W676" s="240"/>
      <c r="X676" s="240"/>
      <c r="Y676" s="240"/>
      <c r="Z676" s="240"/>
      <c r="AA676" s="241">
        <v>4604.0</v>
      </c>
      <c r="AB676" s="241">
        <v>18416.0</v>
      </c>
      <c r="AC676" s="24" t="s">
        <v>2181</v>
      </c>
      <c r="AD676" s="195">
        <v>5644.0</v>
      </c>
      <c r="AE676" s="38"/>
      <c r="AF676" s="234" t="str">
        <f t="shared" si="1"/>
        <v>Buenos Aires, Argentina</v>
      </c>
      <c r="AG676" s="234">
        <f t="shared" si="2"/>
        <v>1</v>
      </c>
      <c r="AH676" s="242">
        <f t="shared" si="3"/>
        <v>0</v>
      </c>
      <c r="AI676" s="242">
        <f t="shared" si="4"/>
        <v>0</v>
      </c>
      <c r="AJ676" s="241">
        <f t="shared" si="5"/>
        <v>23020</v>
      </c>
      <c r="AK676" s="241">
        <f t="shared" si="6"/>
        <v>23020</v>
      </c>
      <c r="AL676" s="243"/>
      <c r="AM676" s="243"/>
    </row>
    <row r="677">
      <c r="A677" s="234">
        <v>676.0</v>
      </c>
      <c r="B677" s="235">
        <v>44372.0</v>
      </c>
      <c r="C677" s="195" t="str">
        <f t="shared" si="7"/>
        <v>62021</v>
      </c>
      <c r="D677" s="236" t="s">
        <v>2182</v>
      </c>
      <c r="E677" s="234" t="s">
        <v>2183</v>
      </c>
      <c r="F677" s="236" t="s">
        <v>1423</v>
      </c>
      <c r="G677" s="234" t="s">
        <v>64</v>
      </c>
      <c r="H677" s="234" t="s">
        <v>41</v>
      </c>
      <c r="I677" s="234" t="s">
        <v>643</v>
      </c>
      <c r="J677" s="238">
        <v>1.0</v>
      </c>
      <c r="K677" s="237"/>
      <c r="L677" s="237"/>
      <c r="M677" s="237"/>
      <c r="N677" s="237"/>
      <c r="O677" s="237"/>
      <c r="P677" s="237"/>
      <c r="Q677" s="239"/>
      <c r="R677" s="239"/>
      <c r="S677" s="234" t="s">
        <v>189</v>
      </c>
      <c r="T677" s="234" t="s">
        <v>83</v>
      </c>
      <c r="U677" s="234" t="s">
        <v>99</v>
      </c>
      <c r="V677" s="234" t="s">
        <v>1984</v>
      </c>
      <c r="W677" s="240"/>
      <c r="X677" s="240"/>
      <c r="Y677" s="240"/>
      <c r="Z677" s="240"/>
      <c r="AA677" s="241">
        <v>6913.0</v>
      </c>
      <c r="AB677" s="241">
        <v>27653.0</v>
      </c>
      <c r="AC677" s="24" t="s">
        <v>2184</v>
      </c>
      <c r="AD677" s="195">
        <v>5642.0</v>
      </c>
      <c r="AE677" s="38"/>
      <c r="AF677" s="234" t="str">
        <f t="shared" si="1"/>
        <v>Capital Federal, Argentina</v>
      </c>
      <c r="AG677" s="234">
        <f t="shared" si="2"/>
        <v>1</v>
      </c>
      <c r="AH677" s="242">
        <f t="shared" si="3"/>
        <v>0</v>
      </c>
      <c r="AI677" s="242">
        <f t="shared" si="4"/>
        <v>0</v>
      </c>
      <c r="AJ677" s="241">
        <f t="shared" si="5"/>
        <v>34566</v>
      </c>
      <c r="AK677" s="241">
        <f t="shared" si="6"/>
        <v>34566</v>
      </c>
      <c r="AL677" s="243"/>
      <c r="AM677" s="243"/>
    </row>
    <row r="678">
      <c r="A678" s="234">
        <v>677.0</v>
      </c>
      <c r="B678" s="235">
        <v>44372.0</v>
      </c>
      <c r="C678" s="195" t="str">
        <f t="shared" si="7"/>
        <v>62021</v>
      </c>
      <c r="D678" s="236" t="s">
        <v>2185</v>
      </c>
      <c r="E678" s="234" t="s">
        <v>2186</v>
      </c>
      <c r="F678" s="236" t="s">
        <v>2187</v>
      </c>
      <c r="G678" s="234" t="s">
        <v>64</v>
      </c>
      <c r="H678" s="234" t="s">
        <v>41</v>
      </c>
      <c r="I678" s="234" t="s">
        <v>643</v>
      </c>
      <c r="J678" s="237"/>
      <c r="K678" s="237"/>
      <c r="L678" s="238">
        <v>6.0</v>
      </c>
      <c r="M678" s="237"/>
      <c r="N678" s="237"/>
      <c r="O678" s="237"/>
      <c r="P678" s="237"/>
      <c r="Q678" s="239"/>
      <c r="R678" s="239"/>
      <c r="S678" s="234" t="s">
        <v>98</v>
      </c>
      <c r="T678" s="234" t="s">
        <v>66</v>
      </c>
      <c r="U678" s="234" t="s">
        <v>99</v>
      </c>
      <c r="V678" s="234" t="s">
        <v>1470</v>
      </c>
      <c r="W678" s="240"/>
      <c r="X678" s="240"/>
      <c r="Y678" s="240"/>
      <c r="Z678" s="240"/>
      <c r="AA678" s="241">
        <v>16878.0</v>
      </c>
      <c r="AB678" s="241">
        <v>59073.0</v>
      </c>
      <c r="AC678" s="24" t="s">
        <v>2188</v>
      </c>
      <c r="AD678" s="195">
        <v>5650.0</v>
      </c>
      <c r="AE678" s="38"/>
      <c r="AF678" s="234" t="str">
        <f t="shared" si="1"/>
        <v>Buenos Aires, Argentina</v>
      </c>
      <c r="AG678" s="234">
        <f t="shared" si="2"/>
        <v>6</v>
      </c>
      <c r="AH678" s="242">
        <f t="shared" si="3"/>
        <v>0</v>
      </c>
      <c r="AI678" s="242">
        <f t="shared" si="4"/>
        <v>0</v>
      </c>
      <c r="AJ678" s="241">
        <f t="shared" si="5"/>
        <v>75951</v>
      </c>
      <c r="AK678" s="241">
        <f t="shared" si="6"/>
        <v>75951</v>
      </c>
      <c r="AL678" s="243"/>
      <c r="AM678" s="243"/>
    </row>
    <row r="679">
      <c r="A679" s="234">
        <v>678.0</v>
      </c>
      <c r="B679" s="235">
        <v>44375.0</v>
      </c>
      <c r="C679" s="195" t="str">
        <f t="shared" si="7"/>
        <v>62021</v>
      </c>
      <c r="D679" s="236" t="s">
        <v>2180</v>
      </c>
      <c r="E679" s="234" t="s">
        <v>1988</v>
      </c>
      <c r="F679" s="236" t="s">
        <v>1423</v>
      </c>
      <c r="G679" s="234" t="s">
        <v>64</v>
      </c>
      <c r="H679" s="234" t="s">
        <v>41</v>
      </c>
      <c r="I679" s="234" t="s">
        <v>643</v>
      </c>
      <c r="J679" s="238">
        <v>1.0</v>
      </c>
      <c r="K679" s="237"/>
      <c r="L679" s="237"/>
      <c r="M679" s="237"/>
      <c r="N679" s="237"/>
      <c r="O679" s="237"/>
      <c r="P679" s="237"/>
      <c r="Q679" s="239"/>
      <c r="R679" s="239"/>
      <c r="S679" s="234" t="s">
        <v>114</v>
      </c>
      <c r="T679" s="234" t="s">
        <v>66</v>
      </c>
      <c r="U679" s="234" t="s">
        <v>99</v>
      </c>
      <c r="V679" s="234" t="s">
        <v>1984</v>
      </c>
      <c r="W679" s="240"/>
      <c r="X679" s="240"/>
      <c r="Y679" s="240"/>
      <c r="Z679" s="240"/>
      <c r="AA679" s="241">
        <v>6913.0</v>
      </c>
      <c r="AB679" s="241">
        <v>27651.0</v>
      </c>
      <c r="AC679" s="24" t="s">
        <v>2189</v>
      </c>
      <c r="AD679" s="195">
        <v>5658.0</v>
      </c>
      <c r="AE679" s="38"/>
      <c r="AF679" s="234" t="str">
        <f t="shared" si="1"/>
        <v>Buenos Aires, Argentina</v>
      </c>
      <c r="AG679" s="234">
        <f t="shared" si="2"/>
        <v>1</v>
      </c>
      <c r="AH679" s="242">
        <f t="shared" si="3"/>
        <v>0</v>
      </c>
      <c r="AI679" s="242">
        <f t="shared" si="4"/>
        <v>0</v>
      </c>
      <c r="AJ679" s="241">
        <f t="shared" si="5"/>
        <v>34564</v>
      </c>
      <c r="AK679" s="241">
        <f t="shared" si="6"/>
        <v>34564</v>
      </c>
      <c r="AL679" s="243"/>
      <c r="AM679" s="243"/>
    </row>
    <row r="680">
      <c r="A680" s="234">
        <v>679.0</v>
      </c>
      <c r="B680" s="235">
        <v>44375.0</v>
      </c>
      <c r="C680" s="195" t="str">
        <f t="shared" si="7"/>
        <v>62021</v>
      </c>
      <c r="D680" s="236" t="s">
        <v>1990</v>
      </c>
      <c r="E680" s="234" t="s">
        <v>1991</v>
      </c>
      <c r="F680" s="236" t="s">
        <v>1878</v>
      </c>
      <c r="G680" s="234" t="s">
        <v>64</v>
      </c>
      <c r="H680" s="234" t="s">
        <v>41</v>
      </c>
      <c r="I680" s="234" t="s">
        <v>643</v>
      </c>
      <c r="J680" s="237"/>
      <c r="K680" s="237"/>
      <c r="L680" s="237"/>
      <c r="M680" s="237"/>
      <c r="N680" s="238">
        <v>1.0</v>
      </c>
      <c r="O680" s="237"/>
      <c r="P680" s="237"/>
      <c r="Q680" s="239"/>
      <c r="R680" s="239"/>
      <c r="S680" s="234" t="s">
        <v>43</v>
      </c>
      <c r="T680" s="234" t="s">
        <v>73</v>
      </c>
      <c r="U680" s="234" t="s">
        <v>99</v>
      </c>
      <c r="V680" s="234" t="s">
        <v>1984</v>
      </c>
      <c r="W680" s="240"/>
      <c r="X680" s="240"/>
      <c r="Y680" s="240"/>
      <c r="Z680" s="240"/>
      <c r="AA680" s="241">
        <v>6913.0</v>
      </c>
      <c r="AB680" s="241">
        <v>12444.0</v>
      </c>
      <c r="AC680" s="24" t="s">
        <v>2190</v>
      </c>
      <c r="AD680" s="195">
        <v>5662.0</v>
      </c>
      <c r="AE680" s="38"/>
      <c r="AF680" s="234" t="str">
        <f t="shared" si="1"/>
        <v>Tierra de Fuego, Argentina</v>
      </c>
      <c r="AG680" s="234">
        <f t="shared" si="2"/>
        <v>1</v>
      </c>
      <c r="AH680" s="242">
        <f t="shared" si="3"/>
        <v>0</v>
      </c>
      <c r="AI680" s="242">
        <f t="shared" si="4"/>
        <v>0</v>
      </c>
      <c r="AJ680" s="241">
        <f t="shared" si="5"/>
        <v>19357</v>
      </c>
      <c r="AK680" s="241">
        <f t="shared" si="6"/>
        <v>19357</v>
      </c>
      <c r="AL680" s="243"/>
      <c r="AM680" s="243"/>
    </row>
    <row r="681">
      <c r="A681" s="234">
        <v>680.0</v>
      </c>
      <c r="B681" s="235">
        <v>44375.0</v>
      </c>
      <c r="C681" s="195" t="str">
        <f t="shared" si="7"/>
        <v>62021</v>
      </c>
      <c r="D681" s="236" t="s">
        <v>2191</v>
      </c>
      <c r="E681" s="234" t="s">
        <v>2192</v>
      </c>
      <c r="F681" s="236" t="s">
        <v>1423</v>
      </c>
      <c r="G681" s="234" t="s">
        <v>64</v>
      </c>
      <c r="H681" s="234" t="s">
        <v>41</v>
      </c>
      <c r="I681" s="234" t="s">
        <v>643</v>
      </c>
      <c r="J681" s="238">
        <v>1.0</v>
      </c>
      <c r="K681" s="237"/>
      <c r="L681" s="237"/>
      <c r="M681" s="237"/>
      <c r="N681" s="237"/>
      <c r="O681" s="237"/>
      <c r="P681" s="237"/>
      <c r="Q681" s="239"/>
      <c r="R681" s="239"/>
      <c r="S681" s="234" t="s">
        <v>189</v>
      </c>
      <c r="T681" s="234" t="s">
        <v>66</v>
      </c>
      <c r="U681" s="234" t="s">
        <v>99</v>
      </c>
      <c r="V681" s="234" t="s">
        <v>1984</v>
      </c>
      <c r="W681" s="240"/>
      <c r="X681" s="240"/>
      <c r="Y681" s="240"/>
      <c r="Z681" s="240"/>
      <c r="AA681" s="241">
        <v>6913.0</v>
      </c>
      <c r="AB681" s="241">
        <v>31108.0</v>
      </c>
      <c r="AC681" s="24" t="s">
        <v>2193</v>
      </c>
      <c r="AD681" s="195">
        <v>5674.0</v>
      </c>
      <c r="AE681" s="38"/>
      <c r="AF681" s="234" t="str">
        <f t="shared" si="1"/>
        <v>Buenos Aires, Argentina</v>
      </c>
      <c r="AG681" s="234">
        <f t="shared" si="2"/>
        <v>1</v>
      </c>
      <c r="AH681" s="242">
        <f t="shared" si="3"/>
        <v>0</v>
      </c>
      <c r="AI681" s="242">
        <f t="shared" si="4"/>
        <v>0</v>
      </c>
      <c r="AJ681" s="241">
        <f t="shared" si="5"/>
        <v>38021</v>
      </c>
      <c r="AK681" s="241">
        <f t="shared" si="6"/>
        <v>38021</v>
      </c>
      <c r="AL681" s="243"/>
      <c r="AM681" s="243"/>
    </row>
    <row r="682">
      <c r="A682" s="234">
        <v>681.0</v>
      </c>
      <c r="B682" s="235">
        <v>44375.0</v>
      </c>
      <c r="C682" s="195" t="str">
        <f t="shared" si="7"/>
        <v>62021</v>
      </c>
      <c r="D682" s="236" t="s">
        <v>2194</v>
      </c>
      <c r="E682" s="234" t="s">
        <v>2195</v>
      </c>
      <c r="F682" s="236" t="s">
        <v>2196</v>
      </c>
      <c r="G682" s="234" t="s">
        <v>64</v>
      </c>
      <c r="H682" s="234" t="s">
        <v>227</v>
      </c>
      <c r="I682" s="234" t="s">
        <v>643</v>
      </c>
      <c r="J682" s="237"/>
      <c r="K682" s="238">
        <v>13.0</v>
      </c>
      <c r="L682" s="237"/>
      <c r="M682" s="237"/>
      <c r="N682" s="237"/>
      <c r="O682" s="237"/>
      <c r="P682" s="237"/>
      <c r="Q682" s="239"/>
      <c r="R682" s="239"/>
      <c r="S682" s="234" t="s">
        <v>65</v>
      </c>
      <c r="T682" s="234" t="s">
        <v>66</v>
      </c>
      <c r="U682" s="234" t="s">
        <v>67</v>
      </c>
      <c r="V682" s="234" t="s">
        <v>84</v>
      </c>
      <c r="W682" s="240"/>
      <c r="X682" s="240"/>
      <c r="Y682" s="240"/>
      <c r="Z682" s="240"/>
      <c r="AA682" s="241">
        <v>89869.0</v>
      </c>
      <c r="AB682" s="241">
        <v>554940.0</v>
      </c>
      <c r="AC682" s="24" t="s">
        <v>2197</v>
      </c>
      <c r="AD682" s="195">
        <v>5670.0</v>
      </c>
      <c r="AE682" s="38"/>
      <c r="AF682" s="234" t="str">
        <f t="shared" si="1"/>
        <v>Buenos Aires, Argentina</v>
      </c>
      <c r="AG682" s="234">
        <f t="shared" si="2"/>
        <v>13</v>
      </c>
      <c r="AH682" s="242">
        <f t="shared" si="3"/>
        <v>0</v>
      </c>
      <c r="AI682" s="242">
        <f t="shared" si="4"/>
        <v>0</v>
      </c>
      <c r="AJ682" s="241">
        <f t="shared" si="5"/>
        <v>644809</v>
      </c>
      <c r="AK682" s="241">
        <f t="shared" si="6"/>
        <v>644809</v>
      </c>
      <c r="AL682" s="243"/>
      <c r="AM682" s="243"/>
    </row>
    <row r="683">
      <c r="A683" s="234">
        <v>682.0</v>
      </c>
      <c r="B683" s="235">
        <v>44376.0</v>
      </c>
      <c r="C683" s="195" t="str">
        <f t="shared" si="7"/>
        <v>62021</v>
      </c>
      <c r="D683" s="236" t="s">
        <v>2198</v>
      </c>
      <c r="E683" s="234" t="s">
        <v>2199</v>
      </c>
      <c r="F683" s="236" t="s">
        <v>1459</v>
      </c>
      <c r="G683" s="234" t="s">
        <v>64</v>
      </c>
      <c r="H683" s="234" t="s">
        <v>41</v>
      </c>
      <c r="I683" s="234" t="s">
        <v>643</v>
      </c>
      <c r="J683" s="237"/>
      <c r="K683" s="238">
        <v>3.0</v>
      </c>
      <c r="L683" s="237"/>
      <c r="M683" s="237"/>
      <c r="N683" s="237"/>
      <c r="O683" s="237"/>
      <c r="P683" s="237"/>
      <c r="Q683" s="239"/>
      <c r="R683" s="239"/>
      <c r="S683" s="234" t="s">
        <v>204</v>
      </c>
      <c r="T683" s="234" t="s">
        <v>879</v>
      </c>
      <c r="U683" s="234" t="s">
        <v>99</v>
      </c>
      <c r="V683" s="234" t="s">
        <v>1984</v>
      </c>
      <c r="W683" s="240"/>
      <c r="X683" s="240"/>
      <c r="Y683" s="240"/>
      <c r="Z683" s="240"/>
      <c r="AA683" s="241">
        <v>13812.0</v>
      </c>
      <c r="AB683" s="241">
        <v>51795.0</v>
      </c>
      <c r="AC683" s="24" t="s">
        <v>2200</v>
      </c>
      <c r="AD683" s="195">
        <v>5686.0</v>
      </c>
      <c r="AE683" s="38"/>
      <c r="AF683" s="234" t="str">
        <f t="shared" si="1"/>
        <v>Salta, Argentina</v>
      </c>
      <c r="AG683" s="234">
        <f t="shared" si="2"/>
        <v>3</v>
      </c>
      <c r="AH683" s="242">
        <f t="shared" si="3"/>
        <v>0</v>
      </c>
      <c r="AI683" s="242">
        <f t="shared" si="4"/>
        <v>0</v>
      </c>
      <c r="AJ683" s="241">
        <f t="shared" si="5"/>
        <v>65607</v>
      </c>
      <c r="AK683" s="241">
        <f t="shared" si="6"/>
        <v>65607</v>
      </c>
      <c r="AL683" s="243"/>
      <c r="AM683" s="243"/>
    </row>
    <row r="684">
      <c r="A684" s="234">
        <v>683.0</v>
      </c>
      <c r="B684" s="235">
        <v>44376.0</v>
      </c>
      <c r="C684" s="195" t="str">
        <f t="shared" si="7"/>
        <v>62021</v>
      </c>
      <c r="D684" s="236" t="s">
        <v>2201</v>
      </c>
      <c r="E684" s="234" t="s">
        <v>2202</v>
      </c>
      <c r="F684" s="236" t="s">
        <v>2063</v>
      </c>
      <c r="G684" s="234" t="s">
        <v>40</v>
      </c>
      <c r="H684" s="234" t="s">
        <v>41</v>
      </c>
      <c r="I684" s="234" t="s">
        <v>643</v>
      </c>
      <c r="J684" s="238">
        <v>2.0</v>
      </c>
      <c r="K684" s="238">
        <v>2.0</v>
      </c>
      <c r="L684" s="237"/>
      <c r="M684" s="238">
        <v>1.0</v>
      </c>
      <c r="N684" s="237"/>
      <c r="O684" s="237"/>
      <c r="P684" s="237"/>
      <c r="Q684" s="239"/>
      <c r="R684" s="239"/>
      <c r="S684" s="234" t="s">
        <v>189</v>
      </c>
      <c r="T684" s="234" t="s">
        <v>66</v>
      </c>
      <c r="U684" s="234" t="s">
        <v>53</v>
      </c>
      <c r="V684" s="234" t="s">
        <v>84</v>
      </c>
      <c r="W684" s="240"/>
      <c r="X684" s="240"/>
      <c r="Y684" s="240"/>
      <c r="Z684" s="240"/>
      <c r="AA684" s="241">
        <v>29947.0</v>
      </c>
      <c r="AB684" s="241">
        <v>134765.0</v>
      </c>
      <c r="AC684" s="24" t="s">
        <v>2203</v>
      </c>
      <c r="AD684" s="195">
        <v>5690.0</v>
      </c>
      <c r="AE684" s="38"/>
      <c r="AF684" s="234" t="str">
        <f t="shared" si="1"/>
        <v>Buenos Aires, Argentina</v>
      </c>
      <c r="AG684" s="234">
        <f t="shared" si="2"/>
        <v>5</v>
      </c>
      <c r="AH684" s="242">
        <f t="shared" si="3"/>
        <v>0</v>
      </c>
      <c r="AI684" s="242">
        <f t="shared" si="4"/>
        <v>0</v>
      </c>
      <c r="AJ684" s="241">
        <f t="shared" si="5"/>
        <v>164712</v>
      </c>
      <c r="AK684" s="241">
        <f t="shared" si="6"/>
        <v>164712</v>
      </c>
      <c r="AL684" s="243"/>
      <c r="AM684" s="243"/>
    </row>
    <row r="685">
      <c r="A685" s="234">
        <v>684.0</v>
      </c>
      <c r="B685" s="235">
        <v>44376.0</v>
      </c>
      <c r="C685" s="195" t="str">
        <f t="shared" si="7"/>
        <v>62021</v>
      </c>
      <c r="D685" s="236" t="s">
        <v>2204</v>
      </c>
      <c r="E685" s="234" t="s">
        <v>2205</v>
      </c>
      <c r="F685" s="236" t="s">
        <v>1423</v>
      </c>
      <c r="G685" s="234" t="s">
        <v>40</v>
      </c>
      <c r="H685" s="234" t="s">
        <v>41</v>
      </c>
      <c r="I685" s="234" t="s">
        <v>643</v>
      </c>
      <c r="J685" s="238">
        <v>1.0</v>
      </c>
      <c r="K685" s="237"/>
      <c r="L685" s="237"/>
      <c r="M685" s="237"/>
      <c r="N685" s="237"/>
      <c r="O685" s="237"/>
      <c r="P685" s="237"/>
      <c r="Q685" s="239"/>
      <c r="R685" s="239"/>
      <c r="S685" s="234" t="s">
        <v>109</v>
      </c>
      <c r="T685" s="234" t="s">
        <v>83</v>
      </c>
      <c r="U685" s="234" t="s">
        <v>342</v>
      </c>
      <c r="V685" s="234" t="s">
        <v>1984</v>
      </c>
      <c r="W685" s="240"/>
      <c r="X685" s="240"/>
      <c r="Y685" s="240"/>
      <c r="Z685" s="240"/>
      <c r="AA685" s="241">
        <v>6913.0</v>
      </c>
      <c r="AB685" s="241">
        <v>31108.0</v>
      </c>
      <c r="AC685" s="24" t="s">
        <v>2206</v>
      </c>
      <c r="AD685" s="195">
        <v>5700.0</v>
      </c>
      <c r="AE685" s="38"/>
      <c r="AF685" s="234" t="str">
        <f t="shared" si="1"/>
        <v>Capital Federal, Argentina</v>
      </c>
      <c r="AG685" s="234">
        <f t="shared" si="2"/>
        <v>1</v>
      </c>
      <c r="AH685" s="242">
        <f t="shared" si="3"/>
        <v>0</v>
      </c>
      <c r="AI685" s="242">
        <f t="shared" si="4"/>
        <v>0</v>
      </c>
      <c r="AJ685" s="241">
        <f t="shared" si="5"/>
        <v>38021</v>
      </c>
      <c r="AK685" s="241">
        <f t="shared" si="6"/>
        <v>38021</v>
      </c>
      <c r="AL685" s="243"/>
      <c r="AM685" s="243"/>
    </row>
    <row r="686">
      <c r="A686" s="234">
        <v>685.0</v>
      </c>
      <c r="B686" s="235">
        <v>44377.0</v>
      </c>
      <c r="C686" s="195" t="str">
        <f t="shared" si="7"/>
        <v>62021</v>
      </c>
      <c r="D686" s="236" t="s">
        <v>2207</v>
      </c>
      <c r="E686" s="234" t="s">
        <v>2208</v>
      </c>
      <c r="F686" s="236" t="s">
        <v>2209</v>
      </c>
      <c r="G686" s="234" t="s">
        <v>40</v>
      </c>
      <c r="H686" s="234" t="s">
        <v>41</v>
      </c>
      <c r="I686" s="234" t="s">
        <v>643</v>
      </c>
      <c r="J686" s="238">
        <v>3.0</v>
      </c>
      <c r="K686" s="238">
        <v>2.0</v>
      </c>
      <c r="L686" s="237"/>
      <c r="M686" s="238">
        <v>1.0</v>
      </c>
      <c r="N686" s="237"/>
      <c r="O686" s="237"/>
      <c r="P686" s="237"/>
      <c r="Q686" s="239"/>
      <c r="R686" s="239"/>
      <c r="S686" s="234" t="s">
        <v>98</v>
      </c>
      <c r="T686" s="234" t="s">
        <v>83</v>
      </c>
      <c r="U686" s="234" t="s">
        <v>53</v>
      </c>
      <c r="V686" s="234" t="s">
        <v>84</v>
      </c>
      <c r="W686" s="240"/>
      <c r="X686" s="240"/>
      <c r="Y686" s="240"/>
      <c r="Z686" s="240"/>
      <c r="AA686" s="241">
        <v>36860.0</v>
      </c>
      <c r="AB686" s="241">
        <v>156655.0</v>
      </c>
      <c r="AC686" s="24" t="s">
        <v>2210</v>
      </c>
      <c r="AD686" s="195">
        <v>5708.0</v>
      </c>
      <c r="AE686" s="38"/>
      <c r="AF686" s="234" t="str">
        <f t="shared" si="1"/>
        <v>Capital Federal, Argentina</v>
      </c>
      <c r="AG686" s="234">
        <f t="shared" si="2"/>
        <v>6</v>
      </c>
      <c r="AH686" s="242">
        <f t="shared" si="3"/>
        <v>0</v>
      </c>
      <c r="AI686" s="242">
        <f t="shared" si="4"/>
        <v>0</v>
      </c>
      <c r="AJ686" s="241">
        <f t="shared" si="5"/>
        <v>193515</v>
      </c>
      <c r="AK686" s="241">
        <f t="shared" si="6"/>
        <v>193515</v>
      </c>
      <c r="AL686" s="243"/>
      <c r="AM686" s="243"/>
    </row>
    <row r="687">
      <c r="A687" s="234">
        <v>686.0</v>
      </c>
      <c r="B687" s="235">
        <v>44377.0</v>
      </c>
      <c r="C687" s="195" t="str">
        <f t="shared" si="7"/>
        <v>62021</v>
      </c>
      <c r="D687" s="236" t="s">
        <v>746</v>
      </c>
      <c r="E687" s="234" t="s">
        <v>2211</v>
      </c>
      <c r="F687" s="236" t="s">
        <v>1415</v>
      </c>
      <c r="G687" s="234" t="s">
        <v>64</v>
      </c>
      <c r="H687" s="234" t="s">
        <v>547</v>
      </c>
      <c r="I687" s="234" t="s">
        <v>643</v>
      </c>
      <c r="J687" s="237"/>
      <c r="K687" s="238">
        <v>1.0</v>
      </c>
      <c r="L687" s="237"/>
      <c r="M687" s="237"/>
      <c r="N687" s="237"/>
      <c r="O687" s="237"/>
      <c r="P687" s="237"/>
      <c r="Q687" s="239"/>
      <c r="R687" s="239"/>
      <c r="S687" s="234" t="s">
        <v>137</v>
      </c>
      <c r="T687" s="234" t="s">
        <v>66</v>
      </c>
      <c r="U687" s="234" t="s">
        <v>67</v>
      </c>
      <c r="V687" s="234" t="s">
        <v>1984</v>
      </c>
      <c r="W687" s="240"/>
      <c r="X687" s="240"/>
      <c r="Y687" s="240"/>
      <c r="Z687" s="240"/>
      <c r="AA687" s="241">
        <v>2786.0</v>
      </c>
      <c r="AB687" s="241">
        <v>11144.0</v>
      </c>
      <c r="AC687" s="24" t="s">
        <v>2212</v>
      </c>
      <c r="AD687" s="195">
        <v>36233.0</v>
      </c>
      <c r="AE687" s="38"/>
      <c r="AF687" s="234" t="str">
        <f t="shared" si="1"/>
        <v>Buenos Aires, Argentina</v>
      </c>
      <c r="AG687" s="234">
        <f t="shared" si="2"/>
        <v>1</v>
      </c>
      <c r="AH687" s="242">
        <f t="shared" si="3"/>
        <v>0</v>
      </c>
      <c r="AI687" s="242">
        <f t="shared" si="4"/>
        <v>0</v>
      </c>
      <c r="AJ687" s="241">
        <f t="shared" si="5"/>
        <v>13930</v>
      </c>
      <c r="AK687" s="241">
        <f t="shared" si="6"/>
        <v>13930</v>
      </c>
      <c r="AL687" s="243"/>
      <c r="AM687" s="243"/>
    </row>
    <row r="688">
      <c r="A688" s="234">
        <v>687.0</v>
      </c>
      <c r="B688" s="235">
        <v>44377.0</v>
      </c>
      <c r="C688" s="195" t="str">
        <f t="shared" si="7"/>
        <v>62021</v>
      </c>
      <c r="D688" s="236" t="s">
        <v>2213</v>
      </c>
      <c r="E688" s="234" t="s">
        <v>2214</v>
      </c>
      <c r="F688" s="236" t="s">
        <v>2215</v>
      </c>
      <c r="G688" s="234" t="s">
        <v>40</v>
      </c>
      <c r="H688" s="234" t="s">
        <v>41</v>
      </c>
      <c r="I688" s="234" t="s">
        <v>643</v>
      </c>
      <c r="J688" s="238">
        <v>3.0</v>
      </c>
      <c r="K688" s="237"/>
      <c r="L688" s="237"/>
      <c r="M688" s="238">
        <v>1.0</v>
      </c>
      <c r="N688" s="237"/>
      <c r="O688" s="237"/>
      <c r="P688" s="237"/>
      <c r="Q688" s="239"/>
      <c r="R688" s="239"/>
      <c r="S688" s="234" t="s">
        <v>72</v>
      </c>
      <c r="T688" s="234" t="s">
        <v>83</v>
      </c>
      <c r="U688" s="234" t="s">
        <v>342</v>
      </c>
      <c r="V688" s="234" t="s">
        <v>84</v>
      </c>
      <c r="W688" s="240"/>
      <c r="X688" s="240"/>
      <c r="Y688" s="240"/>
      <c r="Z688" s="240"/>
      <c r="AA688" s="241">
        <v>27652.0</v>
      </c>
      <c r="AB688" s="241">
        <v>124434.0</v>
      </c>
      <c r="AC688" s="24" t="s">
        <v>2216</v>
      </c>
      <c r="AD688" s="195">
        <v>5714.0</v>
      </c>
      <c r="AE688" s="38"/>
      <c r="AF688" s="234" t="str">
        <f t="shared" si="1"/>
        <v>Capital Federal, Argentina</v>
      </c>
      <c r="AG688" s="234">
        <f t="shared" si="2"/>
        <v>4</v>
      </c>
      <c r="AH688" s="242">
        <f t="shared" si="3"/>
        <v>0</v>
      </c>
      <c r="AI688" s="242">
        <f t="shared" si="4"/>
        <v>0</v>
      </c>
      <c r="AJ688" s="241">
        <f t="shared" si="5"/>
        <v>152086</v>
      </c>
      <c r="AK688" s="241">
        <f t="shared" si="6"/>
        <v>152086</v>
      </c>
      <c r="AL688" s="243"/>
      <c r="AM688" s="243"/>
    </row>
    <row r="689">
      <c r="A689" s="234">
        <v>688.0</v>
      </c>
      <c r="B689" s="235">
        <v>44377.0</v>
      </c>
      <c r="C689" s="195" t="str">
        <f t="shared" si="7"/>
        <v>62021</v>
      </c>
      <c r="D689" s="236" t="s">
        <v>2217</v>
      </c>
      <c r="E689" s="234" t="s">
        <v>2218</v>
      </c>
      <c r="F689" s="236" t="s">
        <v>2141</v>
      </c>
      <c r="G689" s="234" t="s">
        <v>40</v>
      </c>
      <c r="H689" s="234" t="s">
        <v>547</v>
      </c>
      <c r="I689" s="234" t="s">
        <v>42</v>
      </c>
      <c r="J689" s="238">
        <v>1.0</v>
      </c>
      <c r="K689" s="238">
        <v>1.0</v>
      </c>
      <c r="L689" s="237"/>
      <c r="M689" s="238">
        <v>1.0</v>
      </c>
      <c r="N689" s="237"/>
      <c r="O689" s="237"/>
      <c r="P689" s="237"/>
      <c r="Q689" s="239"/>
      <c r="R689" s="239"/>
      <c r="S689" s="234" t="s">
        <v>114</v>
      </c>
      <c r="T689" s="234" t="s">
        <v>83</v>
      </c>
      <c r="U689" s="234" t="s">
        <v>45</v>
      </c>
      <c r="V689" s="234" t="s">
        <v>78</v>
      </c>
      <c r="W689" s="240"/>
      <c r="X689" s="240"/>
      <c r="Y689" s="240"/>
      <c r="Z689" s="240"/>
      <c r="AA689" s="241">
        <v>11082.0</v>
      </c>
      <c r="AB689" s="241">
        <v>55410.0</v>
      </c>
      <c r="AC689" s="24" t="s">
        <v>2219</v>
      </c>
      <c r="AD689" s="195">
        <v>5688.0</v>
      </c>
      <c r="AE689" s="38"/>
      <c r="AF689" s="234" t="str">
        <f t="shared" si="1"/>
        <v>Capital Federal, Argentina</v>
      </c>
      <c r="AG689" s="234">
        <f t="shared" si="2"/>
        <v>3</v>
      </c>
      <c r="AH689" s="242">
        <f t="shared" si="3"/>
        <v>0</v>
      </c>
      <c r="AI689" s="242">
        <f t="shared" si="4"/>
        <v>0</v>
      </c>
      <c r="AJ689" s="241">
        <f t="shared" si="5"/>
        <v>66492</v>
      </c>
      <c r="AK689" s="241">
        <f t="shared" si="6"/>
        <v>66492</v>
      </c>
      <c r="AL689" s="243"/>
      <c r="AM689" s="243"/>
    </row>
    <row r="690">
      <c r="A690" s="234">
        <v>689.0</v>
      </c>
      <c r="B690" s="235">
        <v>44377.0</v>
      </c>
      <c r="C690" s="195" t="str">
        <f t="shared" si="7"/>
        <v>62021</v>
      </c>
      <c r="D690" s="236" t="s">
        <v>2220</v>
      </c>
      <c r="E690" s="234" t="s">
        <v>2221</v>
      </c>
      <c r="F690" s="236" t="s">
        <v>1423</v>
      </c>
      <c r="G690" s="234" t="s">
        <v>64</v>
      </c>
      <c r="H690" s="234" t="s">
        <v>41</v>
      </c>
      <c r="I690" s="234" t="s">
        <v>643</v>
      </c>
      <c r="J690" s="238">
        <v>1.0</v>
      </c>
      <c r="K690" s="237"/>
      <c r="L690" s="237"/>
      <c r="M690" s="237"/>
      <c r="N690" s="237"/>
      <c r="O690" s="237"/>
      <c r="P690" s="237"/>
      <c r="Q690" s="239"/>
      <c r="R690" s="239"/>
      <c r="S690" s="234" t="s">
        <v>43</v>
      </c>
      <c r="T690" s="234" t="s">
        <v>58</v>
      </c>
      <c r="U690" s="234" t="s">
        <v>99</v>
      </c>
      <c r="V690" s="234" t="s">
        <v>84</v>
      </c>
      <c r="W690" s="240"/>
      <c r="X690" s="240"/>
      <c r="Y690" s="240"/>
      <c r="Z690" s="240"/>
      <c r="AA690" s="241">
        <v>6913.0</v>
      </c>
      <c r="AB690" s="241">
        <v>27653.0</v>
      </c>
      <c r="AC690" s="24" t="s">
        <v>2222</v>
      </c>
      <c r="AD690" s="201">
        <v>5726.0</v>
      </c>
      <c r="AE690" s="134"/>
      <c r="AF690" s="234" t="str">
        <f t="shared" si="1"/>
        <v>Córdoba, Argentina</v>
      </c>
      <c r="AG690" s="234">
        <f t="shared" si="2"/>
        <v>1</v>
      </c>
      <c r="AH690" s="242">
        <f t="shared" si="3"/>
        <v>0</v>
      </c>
      <c r="AI690" s="242">
        <f t="shared" si="4"/>
        <v>0</v>
      </c>
      <c r="AJ690" s="241">
        <f t="shared" si="5"/>
        <v>34566</v>
      </c>
      <c r="AK690" s="241">
        <f t="shared" si="6"/>
        <v>34566</v>
      </c>
      <c r="AL690" s="243"/>
      <c r="AM690" s="243"/>
    </row>
    <row r="691">
      <c r="A691" s="234">
        <v>690.0</v>
      </c>
      <c r="B691" s="235">
        <v>44377.0</v>
      </c>
      <c r="C691" s="195" t="str">
        <f t="shared" si="7"/>
        <v>62021</v>
      </c>
      <c r="D691" s="236" t="s">
        <v>2223</v>
      </c>
      <c r="E691" s="234" t="s">
        <v>2224</v>
      </c>
      <c r="F691" s="236" t="s">
        <v>2225</v>
      </c>
      <c r="G691" s="234" t="s">
        <v>64</v>
      </c>
      <c r="H691" s="234" t="s">
        <v>41</v>
      </c>
      <c r="I691" s="234" t="s">
        <v>643</v>
      </c>
      <c r="J691" s="237"/>
      <c r="K691" s="237"/>
      <c r="L691" s="237"/>
      <c r="M691" s="237"/>
      <c r="N691" s="237"/>
      <c r="O691" s="237"/>
      <c r="P691" s="237"/>
      <c r="Q691" s="239"/>
      <c r="R691" s="239"/>
      <c r="S691" s="234" t="s">
        <v>167</v>
      </c>
      <c r="T691" s="234" t="s">
        <v>66</v>
      </c>
      <c r="U691" s="234" t="s">
        <v>99</v>
      </c>
      <c r="V691" s="234" t="s">
        <v>1984</v>
      </c>
      <c r="W691" s="240"/>
      <c r="X691" s="240"/>
      <c r="Y691" s="240"/>
      <c r="Z691" s="240"/>
      <c r="AA691" s="241">
        <v>0.0</v>
      </c>
      <c r="AB691" s="241">
        <v>6222.0</v>
      </c>
      <c r="AC691" s="24" t="s">
        <v>2226</v>
      </c>
      <c r="AD691" s="201">
        <v>5734.0</v>
      </c>
      <c r="AE691" s="134"/>
      <c r="AF691" s="234" t="str">
        <f t="shared" si="1"/>
        <v>Buenos Aires, Argentina</v>
      </c>
      <c r="AG691" s="234">
        <f t="shared" si="2"/>
        <v>0</v>
      </c>
      <c r="AH691" s="242">
        <f t="shared" si="3"/>
        <v>0</v>
      </c>
      <c r="AI691" s="242">
        <f t="shared" si="4"/>
        <v>0</v>
      </c>
      <c r="AJ691" s="241">
        <f t="shared" si="5"/>
        <v>6222</v>
      </c>
      <c r="AK691" s="241">
        <f t="shared" si="6"/>
        <v>6222</v>
      </c>
      <c r="AL691" s="243"/>
      <c r="AM691" s="243"/>
    </row>
    <row r="692">
      <c r="A692" s="234">
        <v>691.0</v>
      </c>
      <c r="B692" s="235">
        <v>44377.0</v>
      </c>
      <c r="C692" s="195" t="str">
        <f t="shared" si="7"/>
        <v>62021</v>
      </c>
      <c r="D692" s="236" t="s">
        <v>2227</v>
      </c>
      <c r="E692" s="234" t="s">
        <v>2228</v>
      </c>
      <c r="F692" s="236" t="s">
        <v>2056</v>
      </c>
      <c r="G692" s="234" t="s">
        <v>40</v>
      </c>
      <c r="H692" s="234" t="s">
        <v>41</v>
      </c>
      <c r="I692" s="234" t="s">
        <v>643</v>
      </c>
      <c r="J692" s="238">
        <v>1.0</v>
      </c>
      <c r="K692" s="237"/>
      <c r="L692" s="237"/>
      <c r="M692" s="238">
        <v>1.0</v>
      </c>
      <c r="N692" s="237"/>
      <c r="O692" s="237"/>
      <c r="P692" s="237"/>
      <c r="Q692" s="239"/>
      <c r="R692" s="239"/>
      <c r="S692" s="234" t="s">
        <v>114</v>
      </c>
      <c r="T692" s="234" t="s">
        <v>83</v>
      </c>
      <c r="U692" s="234" t="s">
        <v>342</v>
      </c>
      <c r="V692" s="234" t="s">
        <v>84</v>
      </c>
      <c r="W692" s="240"/>
      <c r="X692" s="240"/>
      <c r="Y692" s="240"/>
      <c r="Z692" s="240"/>
      <c r="AA692" s="241">
        <v>13826.0</v>
      </c>
      <c r="AB692" s="241">
        <v>62217.0</v>
      </c>
      <c r="AC692" s="24" t="s">
        <v>2229</v>
      </c>
      <c r="AD692" s="201">
        <v>5754.0</v>
      </c>
      <c r="AE692" s="134"/>
      <c r="AF692" s="234" t="str">
        <f t="shared" si="1"/>
        <v>Capital Federal, Argentina</v>
      </c>
      <c r="AG692" s="234">
        <f t="shared" si="2"/>
        <v>2</v>
      </c>
      <c r="AH692" s="242">
        <f t="shared" si="3"/>
        <v>0</v>
      </c>
      <c r="AI692" s="242">
        <f t="shared" si="4"/>
        <v>0</v>
      </c>
      <c r="AJ692" s="241">
        <f t="shared" si="5"/>
        <v>76043</v>
      </c>
      <c r="AK692" s="241">
        <f t="shared" si="6"/>
        <v>76043</v>
      </c>
      <c r="AL692" s="243"/>
      <c r="AM692" s="243"/>
    </row>
    <row r="693">
      <c r="A693" s="209">
        <v>692.0</v>
      </c>
      <c r="B693" s="210">
        <v>44383.0</v>
      </c>
      <c r="C693" s="195" t="str">
        <f t="shared" si="7"/>
        <v>72021</v>
      </c>
      <c r="D693" s="211" t="s">
        <v>1604</v>
      </c>
      <c r="E693" s="209" t="s">
        <v>2230</v>
      </c>
      <c r="F693" s="211" t="s">
        <v>1423</v>
      </c>
      <c r="G693" s="209" t="s">
        <v>64</v>
      </c>
      <c r="H693" s="209" t="s">
        <v>41</v>
      </c>
      <c r="I693" s="209" t="s">
        <v>643</v>
      </c>
      <c r="J693" s="212">
        <v>1.0</v>
      </c>
      <c r="K693" s="151"/>
      <c r="L693" s="151"/>
      <c r="M693" s="151"/>
      <c r="N693" s="151"/>
      <c r="O693" s="151"/>
      <c r="P693" s="151"/>
      <c r="Q693" s="152"/>
      <c r="R693" s="152"/>
      <c r="S693" s="209" t="s">
        <v>43</v>
      </c>
      <c r="T693" s="209" t="s">
        <v>66</v>
      </c>
      <c r="U693" s="209" t="s">
        <v>99</v>
      </c>
      <c r="V693" s="209" t="s">
        <v>1984</v>
      </c>
      <c r="W693" s="153"/>
      <c r="X693" s="153"/>
      <c r="Y693" s="153"/>
      <c r="Z693" s="153"/>
      <c r="AA693" s="213">
        <v>7199.0</v>
      </c>
      <c r="AB693" s="213">
        <v>28797.0</v>
      </c>
      <c r="AC693" s="24" t="s">
        <v>2231</v>
      </c>
      <c r="AD693" s="201">
        <v>5760.0</v>
      </c>
      <c r="AE693" s="134"/>
      <c r="AF693" s="209" t="str">
        <f t="shared" si="1"/>
        <v>Buenos Aires, Argentina</v>
      </c>
      <c r="AG693" s="209">
        <f t="shared" si="2"/>
        <v>1</v>
      </c>
      <c r="AH693" s="214">
        <f t="shared" si="3"/>
        <v>0</v>
      </c>
      <c r="AI693" s="214">
        <f t="shared" si="4"/>
        <v>0</v>
      </c>
      <c r="AJ693" s="213">
        <f t="shared" si="5"/>
        <v>35996</v>
      </c>
      <c r="AK693" s="213">
        <f t="shared" si="6"/>
        <v>35996</v>
      </c>
      <c r="AL693" s="156"/>
      <c r="AM693" s="156"/>
    </row>
    <row r="694">
      <c r="A694" s="209">
        <v>693.0</v>
      </c>
      <c r="B694" s="210">
        <v>44384.0</v>
      </c>
      <c r="C694" s="195" t="str">
        <f t="shared" si="7"/>
        <v>72021</v>
      </c>
      <c r="D694" s="211" t="s">
        <v>2232</v>
      </c>
      <c r="E694" s="209" t="s">
        <v>2233</v>
      </c>
      <c r="F694" s="211" t="s">
        <v>1423</v>
      </c>
      <c r="G694" s="209" t="s">
        <v>64</v>
      </c>
      <c r="H694" s="209" t="s">
        <v>41</v>
      </c>
      <c r="I694" s="209" t="s">
        <v>643</v>
      </c>
      <c r="J694" s="212">
        <v>1.0</v>
      </c>
      <c r="K694" s="151"/>
      <c r="L694" s="151"/>
      <c r="M694" s="151"/>
      <c r="N694" s="151"/>
      <c r="O694" s="151"/>
      <c r="P694" s="151"/>
      <c r="Q694" s="152"/>
      <c r="R694" s="152"/>
      <c r="S694" s="209" t="s">
        <v>109</v>
      </c>
      <c r="T694" s="209" t="s">
        <v>73</v>
      </c>
      <c r="U694" s="209" t="s">
        <v>99</v>
      </c>
      <c r="V694" s="209" t="s">
        <v>1984</v>
      </c>
      <c r="W694" s="153"/>
      <c r="X694" s="153"/>
      <c r="Y694" s="153"/>
      <c r="Z694" s="153"/>
      <c r="AA694" s="213">
        <v>7199.0</v>
      </c>
      <c r="AB694" s="213">
        <v>25197.0</v>
      </c>
      <c r="AC694" s="24" t="s">
        <v>2234</v>
      </c>
      <c r="AD694" s="201">
        <v>5762.0</v>
      </c>
      <c r="AE694" s="134"/>
      <c r="AF694" s="209" t="str">
        <f t="shared" si="1"/>
        <v>Tierra de Fuego, Argentina</v>
      </c>
      <c r="AG694" s="209">
        <f t="shared" si="2"/>
        <v>1</v>
      </c>
      <c r="AH694" s="214">
        <f t="shared" si="3"/>
        <v>0</v>
      </c>
      <c r="AI694" s="214">
        <f t="shared" si="4"/>
        <v>0</v>
      </c>
      <c r="AJ694" s="213">
        <f t="shared" si="5"/>
        <v>32396</v>
      </c>
      <c r="AK694" s="213">
        <f t="shared" si="6"/>
        <v>32396</v>
      </c>
      <c r="AL694" s="156"/>
      <c r="AM694" s="156"/>
    </row>
    <row r="695">
      <c r="A695" s="209">
        <v>694.0</v>
      </c>
      <c r="B695" s="210">
        <v>44391.0</v>
      </c>
      <c r="C695" s="195" t="str">
        <f t="shared" si="7"/>
        <v>72021</v>
      </c>
      <c r="D695" s="211" t="s">
        <v>2235</v>
      </c>
      <c r="E695" s="209" t="s">
        <v>2236</v>
      </c>
      <c r="F695" s="211" t="s">
        <v>2237</v>
      </c>
      <c r="G695" s="209" t="s">
        <v>40</v>
      </c>
      <c r="H695" s="209" t="s">
        <v>41</v>
      </c>
      <c r="I695" s="209" t="s">
        <v>643</v>
      </c>
      <c r="J695" s="212">
        <v>1.0</v>
      </c>
      <c r="K695" s="212">
        <v>2.0</v>
      </c>
      <c r="L695" s="151"/>
      <c r="M695" s="212">
        <v>1.0</v>
      </c>
      <c r="N695" s="151"/>
      <c r="O695" s="151"/>
      <c r="P695" s="151"/>
      <c r="Q695" s="152"/>
      <c r="R695" s="152"/>
      <c r="S695" s="209" t="s">
        <v>65</v>
      </c>
      <c r="T695" s="209" t="s">
        <v>66</v>
      </c>
      <c r="U695" s="209" t="s">
        <v>45</v>
      </c>
      <c r="V695" s="209" t="s">
        <v>1984</v>
      </c>
      <c r="W695" s="153"/>
      <c r="X695" s="153"/>
      <c r="Y695" s="153"/>
      <c r="Z695" s="153"/>
      <c r="AA695" s="213">
        <v>24188.0</v>
      </c>
      <c r="AB695" s="213">
        <v>108846.0</v>
      </c>
      <c r="AC695" s="24" t="s">
        <v>2238</v>
      </c>
      <c r="AD695" s="201">
        <v>5778.0</v>
      </c>
      <c r="AE695" s="134"/>
      <c r="AF695" s="209" t="str">
        <f t="shared" si="1"/>
        <v>Buenos Aires, Argentina</v>
      </c>
      <c r="AG695" s="209">
        <f t="shared" si="2"/>
        <v>4</v>
      </c>
      <c r="AH695" s="214">
        <f t="shared" si="3"/>
        <v>0</v>
      </c>
      <c r="AI695" s="214">
        <f t="shared" si="4"/>
        <v>0</v>
      </c>
      <c r="AJ695" s="213">
        <f t="shared" si="5"/>
        <v>133034</v>
      </c>
      <c r="AK695" s="213">
        <f t="shared" si="6"/>
        <v>133034</v>
      </c>
      <c r="AL695" s="156"/>
      <c r="AM695" s="156"/>
    </row>
    <row r="696">
      <c r="A696" s="209">
        <v>695.0</v>
      </c>
      <c r="B696" s="210">
        <v>44397.0</v>
      </c>
      <c r="C696" s="195" t="str">
        <f t="shared" si="7"/>
        <v>72021</v>
      </c>
      <c r="D696" s="211" t="s">
        <v>2239</v>
      </c>
      <c r="E696" s="209" t="s">
        <v>2240</v>
      </c>
      <c r="F696" s="211" t="s">
        <v>1423</v>
      </c>
      <c r="G696" s="209" t="s">
        <v>40</v>
      </c>
      <c r="H696" s="209" t="s">
        <v>41</v>
      </c>
      <c r="I696" s="209" t="s">
        <v>643</v>
      </c>
      <c r="J696" s="212">
        <v>1.0</v>
      </c>
      <c r="K696" s="151"/>
      <c r="L696" s="151"/>
      <c r="M696" s="151"/>
      <c r="N696" s="151"/>
      <c r="O696" s="151"/>
      <c r="P696" s="151"/>
      <c r="Q696" s="152"/>
      <c r="R696" s="152"/>
      <c r="S696" s="209" t="s">
        <v>137</v>
      </c>
      <c r="T696" s="209" t="s">
        <v>83</v>
      </c>
      <c r="U696" s="209" t="s">
        <v>342</v>
      </c>
      <c r="V696" s="209" t="s">
        <v>1984</v>
      </c>
      <c r="W696" s="153"/>
      <c r="X696" s="153"/>
      <c r="Y696" s="153"/>
      <c r="Z696" s="153"/>
      <c r="AA696" s="213">
        <v>7199.0</v>
      </c>
      <c r="AB696" s="213">
        <v>32396.0</v>
      </c>
      <c r="AC696" s="24" t="s">
        <v>2241</v>
      </c>
      <c r="AD696" s="201">
        <v>5788.0</v>
      </c>
      <c r="AE696" s="134"/>
      <c r="AF696" s="209" t="str">
        <f t="shared" si="1"/>
        <v>Capital Federal, Argentina</v>
      </c>
      <c r="AG696" s="209">
        <f t="shared" si="2"/>
        <v>1</v>
      </c>
      <c r="AH696" s="214">
        <f t="shared" si="3"/>
        <v>0</v>
      </c>
      <c r="AI696" s="214">
        <f t="shared" si="4"/>
        <v>0</v>
      </c>
      <c r="AJ696" s="213">
        <f t="shared" si="5"/>
        <v>39595</v>
      </c>
      <c r="AK696" s="213">
        <f t="shared" si="6"/>
        <v>39595</v>
      </c>
      <c r="AL696" s="156"/>
      <c r="AM696" s="156"/>
    </row>
    <row r="697">
      <c r="A697" s="209">
        <v>696.0</v>
      </c>
      <c r="B697" s="210">
        <v>44398.0</v>
      </c>
      <c r="C697" s="195" t="str">
        <f t="shared" si="7"/>
        <v>72021</v>
      </c>
      <c r="D697" s="211" t="s">
        <v>2242</v>
      </c>
      <c r="E697" s="209" t="s">
        <v>2243</v>
      </c>
      <c r="F697" s="211" t="s">
        <v>2244</v>
      </c>
      <c r="G697" s="209" t="s">
        <v>64</v>
      </c>
      <c r="H697" s="209" t="s">
        <v>41</v>
      </c>
      <c r="I697" s="209" t="s">
        <v>643</v>
      </c>
      <c r="J697" s="151"/>
      <c r="K697" s="151"/>
      <c r="L697" s="151"/>
      <c r="M697" s="151"/>
      <c r="N697" s="151"/>
      <c r="O697" s="151"/>
      <c r="P697" s="151"/>
      <c r="Q697" s="152"/>
      <c r="R697" s="152"/>
      <c r="S697" s="209" t="s">
        <v>65</v>
      </c>
      <c r="T697" s="209" t="s">
        <v>66</v>
      </c>
      <c r="U697" s="209" t="s">
        <v>99</v>
      </c>
      <c r="V697" s="209" t="s">
        <v>1984</v>
      </c>
      <c r="W697" s="153"/>
      <c r="X697" s="153"/>
      <c r="Y697" s="153"/>
      <c r="Z697" s="153"/>
      <c r="AA697" s="213">
        <v>0.0</v>
      </c>
      <c r="AB697" s="213">
        <v>34556.0</v>
      </c>
      <c r="AC697" s="24" t="s">
        <v>2245</v>
      </c>
      <c r="AD697" s="201">
        <v>5794.0</v>
      </c>
      <c r="AE697" s="134"/>
      <c r="AF697" s="209" t="str">
        <f t="shared" si="1"/>
        <v>Buenos Aires, Argentina</v>
      </c>
      <c r="AG697" s="209">
        <f t="shared" si="2"/>
        <v>0</v>
      </c>
      <c r="AH697" s="214">
        <f t="shared" si="3"/>
        <v>0</v>
      </c>
      <c r="AI697" s="214">
        <f t="shared" si="4"/>
        <v>0</v>
      </c>
      <c r="AJ697" s="213">
        <f t="shared" si="5"/>
        <v>34556</v>
      </c>
      <c r="AK697" s="213">
        <f t="shared" si="6"/>
        <v>34556</v>
      </c>
      <c r="AL697" s="156"/>
      <c r="AM697" s="156"/>
    </row>
    <row r="698">
      <c r="A698" s="209">
        <v>697.0</v>
      </c>
      <c r="B698" s="210">
        <v>44403.0</v>
      </c>
      <c r="C698" s="195" t="str">
        <f t="shared" si="7"/>
        <v>72021</v>
      </c>
      <c r="D698" s="211" t="s">
        <v>2246</v>
      </c>
      <c r="E698" s="209" t="s">
        <v>2247</v>
      </c>
      <c r="F698" s="211" t="s">
        <v>2248</v>
      </c>
      <c r="G698" s="209" t="s">
        <v>40</v>
      </c>
      <c r="H698" s="209" t="s">
        <v>41</v>
      </c>
      <c r="I698" s="209" t="s">
        <v>643</v>
      </c>
      <c r="J698" s="151"/>
      <c r="K698" s="151"/>
      <c r="L698" s="151"/>
      <c r="M698" s="151"/>
      <c r="N698" s="151"/>
      <c r="O698" s="151"/>
      <c r="P698" s="151"/>
      <c r="Q698" s="152"/>
      <c r="R698" s="152"/>
      <c r="S698" s="209" t="s">
        <v>114</v>
      </c>
      <c r="T698" s="209" t="s">
        <v>83</v>
      </c>
      <c r="U698" s="209" t="s">
        <v>342</v>
      </c>
      <c r="V698" s="209" t="s">
        <v>1984</v>
      </c>
      <c r="W698" s="153"/>
      <c r="X698" s="153"/>
      <c r="Y698" s="153"/>
      <c r="Z698" s="153"/>
      <c r="AA698" s="213">
        <v>0.0</v>
      </c>
      <c r="AB698" s="213">
        <v>23036.0</v>
      </c>
      <c r="AC698" s="24" t="s">
        <v>2249</v>
      </c>
      <c r="AD698" s="201">
        <v>5806.0</v>
      </c>
      <c r="AE698" s="134"/>
      <c r="AF698" s="209" t="str">
        <f t="shared" si="1"/>
        <v>Capital Federal, Argentina</v>
      </c>
      <c r="AG698" s="209">
        <f t="shared" si="2"/>
        <v>0</v>
      </c>
      <c r="AH698" s="214">
        <f t="shared" si="3"/>
        <v>0</v>
      </c>
      <c r="AI698" s="214">
        <f t="shared" si="4"/>
        <v>0</v>
      </c>
      <c r="AJ698" s="213">
        <f t="shared" si="5"/>
        <v>23036</v>
      </c>
      <c r="AK698" s="213">
        <f t="shared" si="6"/>
        <v>23036</v>
      </c>
      <c r="AL698" s="156"/>
      <c r="AM698" s="156"/>
    </row>
    <row r="699">
      <c r="A699" s="209">
        <v>698.0</v>
      </c>
      <c r="B699" s="210">
        <v>44404.0</v>
      </c>
      <c r="C699" s="195" t="str">
        <f t="shared" si="7"/>
        <v>72021</v>
      </c>
      <c r="D699" s="211" t="s">
        <v>1787</v>
      </c>
      <c r="E699" s="209" t="s">
        <v>1788</v>
      </c>
      <c r="F699" s="211" t="s">
        <v>2250</v>
      </c>
      <c r="G699" s="209" t="s">
        <v>64</v>
      </c>
      <c r="H699" s="209" t="s">
        <v>41</v>
      </c>
      <c r="I699" s="209" t="s">
        <v>643</v>
      </c>
      <c r="J699" s="212">
        <v>11.0</v>
      </c>
      <c r="K699" s="151"/>
      <c r="L699" s="151"/>
      <c r="M699" s="151"/>
      <c r="N699" s="151"/>
      <c r="O699" s="151"/>
      <c r="P699" s="151"/>
      <c r="Q699" s="152"/>
      <c r="R699" s="152"/>
      <c r="S699" s="209" t="s">
        <v>276</v>
      </c>
      <c r="T699" s="209" t="s">
        <v>66</v>
      </c>
      <c r="U699" s="209" t="s">
        <v>67</v>
      </c>
      <c r="V699" s="209" t="s">
        <v>1984</v>
      </c>
      <c r="W699" s="153"/>
      <c r="X699" s="153"/>
      <c r="Y699" s="153"/>
      <c r="Z699" s="153"/>
      <c r="AA699" s="213">
        <v>79189.0</v>
      </c>
      <c r="AB699" s="213">
        <v>316755.0</v>
      </c>
      <c r="AC699" s="24" t="s">
        <v>2251</v>
      </c>
      <c r="AD699" s="201">
        <v>5812.0</v>
      </c>
      <c r="AE699" s="134"/>
      <c r="AF699" s="209" t="str">
        <f t="shared" si="1"/>
        <v>Buenos Aires, Argentina</v>
      </c>
      <c r="AG699" s="209">
        <f t="shared" si="2"/>
        <v>11</v>
      </c>
      <c r="AH699" s="214">
        <f t="shared" si="3"/>
        <v>0</v>
      </c>
      <c r="AI699" s="214">
        <f t="shared" si="4"/>
        <v>0</v>
      </c>
      <c r="AJ699" s="213">
        <f t="shared" si="5"/>
        <v>395944</v>
      </c>
      <c r="AK699" s="213">
        <f t="shared" si="6"/>
        <v>395944</v>
      </c>
      <c r="AL699" s="156"/>
      <c r="AM699" s="156"/>
    </row>
    <row r="700">
      <c r="A700" s="209">
        <v>699.0</v>
      </c>
      <c r="B700" s="210">
        <v>44405.0</v>
      </c>
      <c r="C700" s="195" t="str">
        <f t="shared" si="7"/>
        <v>72021</v>
      </c>
      <c r="D700" s="211" t="s">
        <v>2252</v>
      </c>
      <c r="E700" s="209" t="s">
        <v>2253</v>
      </c>
      <c r="F700" s="211" t="s">
        <v>1474</v>
      </c>
      <c r="G700" s="209" t="s">
        <v>64</v>
      </c>
      <c r="H700" s="209" t="s">
        <v>41</v>
      </c>
      <c r="I700" s="209" t="s">
        <v>643</v>
      </c>
      <c r="J700" s="212">
        <v>3.0</v>
      </c>
      <c r="K700" s="151"/>
      <c r="L700" s="151"/>
      <c r="M700" s="151"/>
      <c r="N700" s="151"/>
      <c r="O700" s="151"/>
      <c r="P700" s="151"/>
      <c r="Q700" s="152"/>
      <c r="R700" s="152"/>
      <c r="S700" s="209" t="s">
        <v>189</v>
      </c>
      <c r="T700" s="209" t="s">
        <v>83</v>
      </c>
      <c r="U700" s="209" t="s">
        <v>99</v>
      </c>
      <c r="V700" s="209" t="s">
        <v>1984</v>
      </c>
      <c r="W700" s="153"/>
      <c r="X700" s="153"/>
      <c r="Y700" s="153"/>
      <c r="Z700" s="153"/>
      <c r="AA700" s="213">
        <v>21597.0</v>
      </c>
      <c r="AB700" s="213">
        <v>86389.0</v>
      </c>
      <c r="AC700" s="24" t="s">
        <v>2254</v>
      </c>
      <c r="AD700" s="195">
        <v>5818.0</v>
      </c>
      <c r="AE700" s="38"/>
      <c r="AF700" s="209" t="str">
        <f t="shared" si="1"/>
        <v>Capital Federal, Argentina</v>
      </c>
      <c r="AG700" s="209">
        <f t="shared" si="2"/>
        <v>3</v>
      </c>
      <c r="AH700" s="214">
        <f t="shared" si="3"/>
        <v>0</v>
      </c>
      <c r="AI700" s="214">
        <f t="shared" si="4"/>
        <v>0</v>
      </c>
      <c r="AJ700" s="213">
        <f t="shared" si="5"/>
        <v>107986</v>
      </c>
      <c r="AK700" s="213">
        <f t="shared" si="6"/>
        <v>107986</v>
      </c>
      <c r="AL700" s="156"/>
      <c r="AM700" s="156"/>
    </row>
    <row r="701">
      <c r="A701" s="209">
        <v>700.0</v>
      </c>
      <c r="B701" s="210">
        <v>44405.0</v>
      </c>
      <c r="C701" s="195" t="str">
        <f t="shared" si="7"/>
        <v>72021</v>
      </c>
      <c r="D701" s="211" t="s">
        <v>2163</v>
      </c>
      <c r="E701" s="209" t="s">
        <v>2255</v>
      </c>
      <c r="F701" s="211" t="s">
        <v>2244</v>
      </c>
      <c r="G701" s="209" t="s">
        <v>64</v>
      </c>
      <c r="H701" s="209" t="s">
        <v>41</v>
      </c>
      <c r="I701" s="209" t="s">
        <v>643</v>
      </c>
      <c r="J701" s="151"/>
      <c r="K701" s="151"/>
      <c r="L701" s="151"/>
      <c r="M701" s="151"/>
      <c r="N701" s="151"/>
      <c r="O701" s="151"/>
      <c r="P701" s="151"/>
      <c r="Q701" s="152"/>
      <c r="R701" s="152"/>
      <c r="S701" s="209" t="s">
        <v>65</v>
      </c>
      <c r="T701" s="209" t="s">
        <v>66</v>
      </c>
      <c r="U701" s="209" t="s">
        <v>99</v>
      </c>
      <c r="V701" s="209" t="s">
        <v>84</v>
      </c>
      <c r="W701" s="153"/>
      <c r="X701" s="153"/>
      <c r="Y701" s="153"/>
      <c r="Z701" s="153"/>
      <c r="AA701" s="213">
        <v>0.0</v>
      </c>
      <c r="AB701" s="213">
        <v>34556.0</v>
      </c>
      <c r="AC701" s="24" t="s">
        <v>2256</v>
      </c>
      <c r="AD701" s="195">
        <v>5826.0</v>
      </c>
      <c r="AE701" s="38"/>
      <c r="AF701" s="209" t="str">
        <f t="shared" si="1"/>
        <v>Buenos Aires, Argentina</v>
      </c>
      <c r="AG701" s="209">
        <f t="shared" si="2"/>
        <v>0</v>
      </c>
      <c r="AH701" s="214">
        <f t="shared" si="3"/>
        <v>0</v>
      </c>
      <c r="AI701" s="214">
        <f t="shared" si="4"/>
        <v>0</v>
      </c>
      <c r="AJ701" s="213">
        <f t="shared" si="5"/>
        <v>34556</v>
      </c>
      <c r="AK701" s="213">
        <f t="shared" si="6"/>
        <v>34556</v>
      </c>
      <c r="AL701" s="156"/>
      <c r="AM701" s="156"/>
    </row>
    <row r="702">
      <c r="A702" s="209">
        <v>701.0</v>
      </c>
      <c r="B702" s="210">
        <v>44406.0</v>
      </c>
      <c r="C702" s="195" t="str">
        <f t="shared" si="7"/>
        <v>72021</v>
      </c>
      <c r="D702" s="211" t="s">
        <v>1982</v>
      </c>
      <c r="E702" s="209" t="s">
        <v>1983</v>
      </c>
      <c r="F702" s="211" t="s">
        <v>2257</v>
      </c>
      <c r="G702" s="209" t="s">
        <v>64</v>
      </c>
      <c r="H702" s="209" t="s">
        <v>41</v>
      </c>
      <c r="I702" s="209" t="s">
        <v>643</v>
      </c>
      <c r="J702" s="151"/>
      <c r="K702" s="212">
        <v>1.0</v>
      </c>
      <c r="L702" s="151"/>
      <c r="M702" s="151"/>
      <c r="N702" s="151"/>
      <c r="O702" s="151"/>
      <c r="P702" s="151"/>
      <c r="Q702" s="152"/>
      <c r="R702" s="152"/>
      <c r="S702" s="209" t="s">
        <v>65</v>
      </c>
      <c r="T702" s="209" t="s">
        <v>66</v>
      </c>
      <c r="U702" s="209" t="s">
        <v>99</v>
      </c>
      <c r="V702" s="209" t="s">
        <v>1984</v>
      </c>
      <c r="W702" s="153"/>
      <c r="X702" s="153"/>
      <c r="Y702" s="153"/>
      <c r="Z702" s="153"/>
      <c r="AA702" s="213">
        <v>4895.0</v>
      </c>
      <c r="AB702" s="213">
        <v>19581.0</v>
      </c>
      <c r="AC702" s="24" t="s">
        <v>2258</v>
      </c>
      <c r="AD702" s="195">
        <v>5814.0</v>
      </c>
      <c r="AE702" s="38"/>
      <c r="AF702" s="209" t="str">
        <f t="shared" si="1"/>
        <v>Buenos Aires, Argentina</v>
      </c>
      <c r="AG702" s="209">
        <f t="shared" si="2"/>
        <v>1</v>
      </c>
      <c r="AH702" s="214">
        <f t="shared" si="3"/>
        <v>0</v>
      </c>
      <c r="AI702" s="214">
        <f t="shared" si="4"/>
        <v>0</v>
      </c>
      <c r="AJ702" s="213">
        <f t="shared" si="5"/>
        <v>24476</v>
      </c>
      <c r="AK702" s="213">
        <f t="shared" si="6"/>
        <v>24476</v>
      </c>
      <c r="AL702" s="156"/>
      <c r="AM702" s="156"/>
    </row>
    <row r="703">
      <c r="A703" s="209">
        <v>702.0</v>
      </c>
      <c r="B703" s="210">
        <v>44406.0</v>
      </c>
      <c r="C703" s="195" t="str">
        <f t="shared" si="7"/>
        <v>72021</v>
      </c>
      <c r="D703" s="211" t="s">
        <v>795</v>
      </c>
      <c r="E703" s="209" t="s">
        <v>796</v>
      </c>
      <c r="F703" s="211" t="s">
        <v>1415</v>
      </c>
      <c r="G703" s="209" t="s">
        <v>64</v>
      </c>
      <c r="H703" s="209" t="s">
        <v>41</v>
      </c>
      <c r="I703" s="209" t="s">
        <v>643</v>
      </c>
      <c r="J703" s="151"/>
      <c r="K703" s="212">
        <v>1.0</v>
      </c>
      <c r="L703" s="151"/>
      <c r="M703" s="151"/>
      <c r="N703" s="151"/>
      <c r="O703" s="151"/>
      <c r="P703" s="151"/>
      <c r="Q703" s="152"/>
      <c r="R703" s="152"/>
      <c r="S703" s="209" t="s">
        <v>98</v>
      </c>
      <c r="T703" s="209" t="s">
        <v>66</v>
      </c>
      <c r="U703" s="209" t="s">
        <v>99</v>
      </c>
      <c r="V703" s="209" t="s">
        <v>1984</v>
      </c>
      <c r="W703" s="153"/>
      <c r="X703" s="153"/>
      <c r="Y703" s="153"/>
      <c r="Z703" s="153"/>
      <c r="AA703" s="213">
        <v>4895.0</v>
      </c>
      <c r="AB703" s="213">
        <v>19581.0</v>
      </c>
      <c r="AC703" s="24" t="s">
        <v>2259</v>
      </c>
      <c r="AD703" s="195">
        <v>5834.0</v>
      </c>
      <c r="AE703" s="38"/>
      <c r="AF703" s="209" t="str">
        <f t="shared" si="1"/>
        <v>Buenos Aires, Argentina</v>
      </c>
      <c r="AG703" s="209">
        <f t="shared" si="2"/>
        <v>1</v>
      </c>
      <c r="AH703" s="214">
        <f t="shared" si="3"/>
        <v>0</v>
      </c>
      <c r="AI703" s="214">
        <f t="shared" si="4"/>
        <v>0</v>
      </c>
      <c r="AJ703" s="213">
        <f t="shared" si="5"/>
        <v>24476</v>
      </c>
      <c r="AK703" s="213">
        <f t="shared" si="6"/>
        <v>24476</v>
      </c>
      <c r="AL703" s="156"/>
      <c r="AM703" s="156"/>
    </row>
    <row r="704">
      <c r="A704" s="209">
        <v>703.0</v>
      </c>
      <c r="B704" s="210">
        <v>44406.0</v>
      </c>
      <c r="C704" s="195" t="str">
        <f t="shared" si="7"/>
        <v>72021</v>
      </c>
      <c r="D704" s="211" t="s">
        <v>2260</v>
      </c>
      <c r="E704" s="209" t="s">
        <v>2261</v>
      </c>
      <c r="F704" s="211" t="s">
        <v>2262</v>
      </c>
      <c r="G704" s="209" t="s">
        <v>64</v>
      </c>
      <c r="H704" s="209" t="s">
        <v>41</v>
      </c>
      <c r="I704" s="209" t="s">
        <v>643</v>
      </c>
      <c r="J704" s="212">
        <v>1.0</v>
      </c>
      <c r="K704" s="212">
        <v>2.0</v>
      </c>
      <c r="L704" s="151"/>
      <c r="M704" s="151"/>
      <c r="N704" s="151"/>
      <c r="O704" s="151"/>
      <c r="P704" s="151"/>
      <c r="Q704" s="152"/>
      <c r="R704" s="152"/>
      <c r="S704" s="209" t="s">
        <v>141</v>
      </c>
      <c r="T704" s="209" t="s">
        <v>66</v>
      </c>
      <c r="U704" s="209" t="s">
        <v>99</v>
      </c>
      <c r="V704" s="209" t="s">
        <v>1984</v>
      </c>
      <c r="W704" s="153"/>
      <c r="X704" s="153"/>
      <c r="Y704" s="153"/>
      <c r="Z704" s="153"/>
      <c r="AA704" s="213">
        <v>16989.0</v>
      </c>
      <c r="AB704" s="213">
        <v>76451.0</v>
      </c>
      <c r="AC704" s="24" t="s">
        <v>2263</v>
      </c>
      <c r="AD704" s="195">
        <v>5836.0</v>
      </c>
      <c r="AE704" s="38"/>
      <c r="AF704" s="209" t="str">
        <f t="shared" si="1"/>
        <v>Buenos Aires, Argentina</v>
      </c>
      <c r="AG704" s="209">
        <f t="shared" si="2"/>
        <v>3</v>
      </c>
      <c r="AH704" s="214">
        <f t="shared" si="3"/>
        <v>0</v>
      </c>
      <c r="AI704" s="214">
        <f t="shared" si="4"/>
        <v>0</v>
      </c>
      <c r="AJ704" s="213">
        <f t="shared" si="5"/>
        <v>93440</v>
      </c>
      <c r="AK704" s="213">
        <f t="shared" si="6"/>
        <v>93440</v>
      </c>
      <c r="AL704" s="156"/>
      <c r="AM704" s="156"/>
    </row>
    <row r="705">
      <c r="A705" s="209">
        <v>704.0</v>
      </c>
      <c r="B705" s="210">
        <v>44407.0</v>
      </c>
      <c r="C705" s="195" t="str">
        <f t="shared" si="7"/>
        <v>72021</v>
      </c>
      <c r="D705" s="211" t="s">
        <v>2264</v>
      </c>
      <c r="E705" s="209" t="s">
        <v>2265</v>
      </c>
      <c r="F705" s="211" t="s">
        <v>1423</v>
      </c>
      <c r="G705" s="209" t="s">
        <v>40</v>
      </c>
      <c r="H705" s="209" t="s">
        <v>41</v>
      </c>
      <c r="I705" s="209" t="s">
        <v>643</v>
      </c>
      <c r="J705" s="212">
        <v>1.0</v>
      </c>
      <c r="K705" s="151"/>
      <c r="L705" s="151"/>
      <c r="M705" s="151"/>
      <c r="N705" s="151"/>
      <c r="O705" s="151"/>
      <c r="P705" s="151"/>
      <c r="Q705" s="152"/>
      <c r="R705" s="152"/>
      <c r="S705" s="209" t="s">
        <v>65</v>
      </c>
      <c r="T705" s="209" t="s">
        <v>58</v>
      </c>
      <c r="U705" s="209" t="s">
        <v>163</v>
      </c>
      <c r="V705" s="209" t="s">
        <v>1984</v>
      </c>
      <c r="W705" s="153"/>
      <c r="X705" s="153"/>
      <c r="Y705" s="153"/>
      <c r="Z705" s="153"/>
      <c r="AA705" s="213">
        <v>7199.0</v>
      </c>
      <c r="AB705" s="213">
        <v>25198.0</v>
      </c>
      <c r="AC705" s="24" t="s">
        <v>2266</v>
      </c>
      <c r="AD705" s="195">
        <v>5844.0</v>
      </c>
      <c r="AE705" s="38"/>
      <c r="AF705" s="209" t="str">
        <f t="shared" si="1"/>
        <v>Córdoba, Argentina</v>
      </c>
      <c r="AG705" s="209">
        <f t="shared" si="2"/>
        <v>1</v>
      </c>
      <c r="AH705" s="214">
        <f t="shared" si="3"/>
        <v>0</v>
      </c>
      <c r="AI705" s="214">
        <f t="shared" si="4"/>
        <v>0</v>
      </c>
      <c r="AJ705" s="213">
        <f t="shared" si="5"/>
        <v>32397</v>
      </c>
      <c r="AK705" s="213">
        <f t="shared" si="6"/>
        <v>32397</v>
      </c>
      <c r="AL705" s="156"/>
      <c r="AM705" s="156"/>
    </row>
    <row r="706">
      <c r="A706" s="209">
        <v>705.0</v>
      </c>
      <c r="B706" s="210">
        <v>44407.0</v>
      </c>
      <c r="C706" s="195" t="str">
        <f t="shared" si="7"/>
        <v>72021</v>
      </c>
      <c r="D706" s="211" t="s">
        <v>2267</v>
      </c>
      <c r="E706" s="209" t="s">
        <v>2268</v>
      </c>
      <c r="F706" s="211" t="s">
        <v>2269</v>
      </c>
      <c r="G706" s="209" t="s">
        <v>40</v>
      </c>
      <c r="H706" s="209" t="s">
        <v>41</v>
      </c>
      <c r="I706" s="209" t="s">
        <v>643</v>
      </c>
      <c r="J706" s="212">
        <v>2.0</v>
      </c>
      <c r="K706" s="212">
        <v>1.0</v>
      </c>
      <c r="L706" s="151"/>
      <c r="M706" s="151"/>
      <c r="N706" s="212">
        <v>1.0</v>
      </c>
      <c r="O706" s="151"/>
      <c r="P706" s="151"/>
      <c r="Q706" s="152"/>
      <c r="R706" s="152"/>
      <c r="S706" s="209" t="s">
        <v>98</v>
      </c>
      <c r="T706" s="209" t="s">
        <v>66</v>
      </c>
      <c r="U706" s="209" t="s">
        <v>163</v>
      </c>
      <c r="V706" s="209" t="s">
        <v>84</v>
      </c>
      <c r="W706" s="153"/>
      <c r="X706" s="153"/>
      <c r="Y706" s="153"/>
      <c r="Z706" s="153"/>
      <c r="AA706" s="213">
        <v>26492.0</v>
      </c>
      <c r="AB706" s="213">
        <v>77604.0</v>
      </c>
      <c r="AC706" s="24" t="s">
        <v>2270</v>
      </c>
      <c r="AD706" s="17">
        <v>5846.0</v>
      </c>
      <c r="AE706" s="38"/>
      <c r="AF706" s="209" t="str">
        <f t="shared" si="1"/>
        <v>Buenos Aires, Argentina</v>
      </c>
      <c r="AG706" s="209">
        <f t="shared" si="2"/>
        <v>4</v>
      </c>
      <c r="AH706" s="214">
        <f t="shared" si="3"/>
        <v>0</v>
      </c>
      <c r="AI706" s="214">
        <f t="shared" si="4"/>
        <v>0</v>
      </c>
      <c r="AJ706" s="213">
        <f t="shared" si="5"/>
        <v>104096</v>
      </c>
      <c r="AK706" s="213">
        <f t="shared" si="6"/>
        <v>104096</v>
      </c>
      <c r="AL706" s="156"/>
      <c r="AM706" s="156"/>
    </row>
    <row r="707">
      <c r="A707" s="209">
        <v>706.0</v>
      </c>
      <c r="B707" s="210">
        <v>44407.0</v>
      </c>
      <c r="C707" s="195" t="str">
        <f t="shared" si="7"/>
        <v>72021</v>
      </c>
      <c r="D707" s="211" t="s">
        <v>2271</v>
      </c>
      <c r="E707" s="209" t="s">
        <v>2272</v>
      </c>
      <c r="F707" s="211" t="s">
        <v>1511</v>
      </c>
      <c r="G707" s="209" t="s">
        <v>64</v>
      </c>
      <c r="H707" s="209" t="s">
        <v>41</v>
      </c>
      <c r="I707" s="209" t="s">
        <v>643</v>
      </c>
      <c r="J707" s="212">
        <v>2.0</v>
      </c>
      <c r="K707" s="212">
        <v>2.0</v>
      </c>
      <c r="L707" s="151"/>
      <c r="M707" s="151"/>
      <c r="N707" s="151"/>
      <c r="O707" s="151"/>
      <c r="P707" s="151"/>
      <c r="Q707" s="152"/>
      <c r="R707" s="152"/>
      <c r="S707" s="209" t="s">
        <v>72</v>
      </c>
      <c r="T707" s="209" t="s">
        <v>73</v>
      </c>
      <c r="U707" s="209" t="s">
        <v>99</v>
      </c>
      <c r="V707" s="209" t="s">
        <v>1984</v>
      </c>
      <c r="W707" s="153"/>
      <c r="X707" s="153"/>
      <c r="Y707" s="153"/>
      <c r="Z707" s="153"/>
      <c r="AA707" s="213">
        <v>24188.0</v>
      </c>
      <c r="AB707" s="213">
        <v>108846.0</v>
      </c>
      <c r="AC707" s="24" t="s">
        <v>2273</v>
      </c>
      <c r="AD707" s="195">
        <v>5850.0</v>
      </c>
      <c r="AE707" s="38"/>
      <c r="AF707" s="209" t="str">
        <f t="shared" si="1"/>
        <v>Tierra de Fuego, Argentina</v>
      </c>
      <c r="AG707" s="209">
        <f t="shared" si="2"/>
        <v>4</v>
      </c>
      <c r="AH707" s="214">
        <f t="shared" si="3"/>
        <v>0</v>
      </c>
      <c r="AI707" s="214">
        <f t="shared" si="4"/>
        <v>0</v>
      </c>
      <c r="AJ707" s="213">
        <f t="shared" si="5"/>
        <v>133034</v>
      </c>
      <c r="AK707" s="213">
        <f t="shared" si="6"/>
        <v>133034</v>
      </c>
      <c r="AL707" s="156"/>
      <c r="AM707" s="156"/>
    </row>
    <row r="708">
      <c r="A708" s="209">
        <v>707.0</v>
      </c>
      <c r="B708" s="210">
        <v>44407.0</v>
      </c>
      <c r="C708" s="195" t="str">
        <f t="shared" si="7"/>
        <v>72021</v>
      </c>
      <c r="D708" s="211" t="s">
        <v>2274</v>
      </c>
      <c r="E708" s="209" t="s">
        <v>2275</v>
      </c>
      <c r="F708" s="211" t="s">
        <v>2276</v>
      </c>
      <c r="G708" s="209" t="s">
        <v>64</v>
      </c>
      <c r="H708" s="209" t="s">
        <v>41</v>
      </c>
      <c r="I708" s="209" t="s">
        <v>643</v>
      </c>
      <c r="J708" s="151"/>
      <c r="K708" s="212">
        <v>1.0</v>
      </c>
      <c r="L708" s="212">
        <v>1.0</v>
      </c>
      <c r="M708" s="151"/>
      <c r="N708" s="151"/>
      <c r="O708" s="151"/>
      <c r="P708" s="151"/>
      <c r="Q708" s="152"/>
      <c r="R708" s="152"/>
      <c r="S708" s="209" t="s">
        <v>109</v>
      </c>
      <c r="T708" s="209" t="s">
        <v>66</v>
      </c>
      <c r="U708" s="209" t="s">
        <v>99</v>
      </c>
      <c r="V708" s="209" t="s">
        <v>1984</v>
      </c>
      <c r="W708" s="153"/>
      <c r="X708" s="153"/>
      <c r="Y708" s="153"/>
      <c r="Z708" s="153"/>
      <c r="AA708" s="213">
        <v>7933.0</v>
      </c>
      <c r="AB708" s="213">
        <v>31733.0</v>
      </c>
      <c r="AC708" s="24" t="s">
        <v>2277</v>
      </c>
      <c r="AD708" s="195">
        <v>5866.0</v>
      </c>
      <c r="AE708" s="38"/>
      <c r="AF708" s="209" t="str">
        <f t="shared" si="1"/>
        <v>Buenos Aires, Argentina</v>
      </c>
      <c r="AG708" s="209">
        <f t="shared" si="2"/>
        <v>2</v>
      </c>
      <c r="AH708" s="214">
        <f t="shared" si="3"/>
        <v>0</v>
      </c>
      <c r="AI708" s="214">
        <f t="shared" si="4"/>
        <v>0</v>
      </c>
      <c r="AJ708" s="213">
        <f t="shared" si="5"/>
        <v>39666</v>
      </c>
      <c r="AK708" s="213">
        <f t="shared" si="6"/>
        <v>39666</v>
      </c>
      <c r="AL708" s="156"/>
      <c r="AM708" s="156"/>
    </row>
    <row r="709">
      <c r="A709" s="244">
        <v>708.0</v>
      </c>
      <c r="B709" s="245">
        <v>44411.0</v>
      </c>
      <c r="C709" s="195" t="str">
        <f t="shared" si="7"/>
        <v>82021</v>
      </c>
      <c r="D709" s="246" t="s">
        <v>2278</v>
      </c>
      <c r="E709" s="244" t="s">
        <v>2028</v>
      </c>
      <c r="F709" s="246" t="s">
        <v>1592</v>
      </c>
      <c r="G709" s="244" t="s">
        <v>64</v>
      </c>
      <c r="H709" s="244" t="s">
        <v>41</v>
      </c>
      <c r="I709" s="244" t="s">
        <v>643</v>
      </c>
      <c r="J709" s="247">
        <v>1.0</v>
      </c>
      <c r="K709" s="247">
        <v>1.0</v>
      </c>
      <c r="L709" s="248"/>
      <c r="M709" s="248"/>
      <c r="N709" s="248"/>
      <c r="O709" s="248"/>
      <c r="P709" s="248"/>
      <c r="Q709" s="249"/>
      <c r="R709" s="249"/>
      <c r="S709" s="244" t="s">
        <v>137</v>
      </c>
      <c r="T709" s="244" t="s">
        <v>73</v>
      </c>
      <c r="U709" s="244" t="s">
        <v>99</v>
      </c>
      <c r="V709" s="244" t="s">
        <v>1984</v>
      </c>
      <c r="W709" s="250"/>
      <c r="X709" s="250"/>
      <c r="Y709" s="250"/>
      <c r="Z709" s="250"/>
      <c r="AA709" s="251">
        <v>12580.0</v>
      </c>
      <c r="AB709" s="251">
        <v>50320.0</v>
      </c>
      <c r="AC709" s="24" t="s">
        <v>2279</v>
      </c>
      <c r="AD709" s="195">
        <v>5782.0</v>
      </c>
      <c r="AE709" s="38"/>
      <c r="AF709" s="244" t="str">
        <f t="shared" si="1"/>
        <v>Tierra de Fuego, Argentina</v>
      </c>
      <c r="AG709" s="244">
        <f t="shared" si="2"/>
        <v>2</v>
      </c>
      <c r="AH709" s="252">
        <f t="shared" si="3"/>
        <v>0</v>
      </c>
      <c r="AI709" s="252">
        <f t="shared" si="4"/>
        <v>0</v>
      </c>
      <c r="AJ709" s="251">
        <f t="shared" si="5"/>
        <v>62900</v>
      </c>
      <c r="AK709" s="251">
        <f t="shared" si="6"/>
        <v>62900</v>
      </c>
      <c r="AL709" s="253"/>
      <c r="AM709" s="253"/>
    </row>
    <row r="710">
      <c r="A710" s="244">
        <v>709.0</v>
      </c>
      <c r="B710" s="245">
        <v>44411.0</v>
      </c>
      <c r="C710" s="195" t="str">
        <f t="shared" si="7"/>
        <v>82021</v>
      </c>
      <c r="D710" s="246" t="s">
        <v>2280</v>
      </c>
      <c r="E710" s="244" t="s">
        <v>2281</v>
      </c>
      <c r="F710" s="246" t="s">
        <v>1415</v>
      </c>
      <c r="G710" s="244" t="s">
        <v>64</v>
      </c>
      <c r="H710" s="244" t="s">
        <v>41</v>
      </c>
      <c r="I710" s="244" t="s">
        <v>643</v>
      </c>
      <c r="J710" s="248"/>
      <c r="K710" s="247">
        <v>1.0</v>
      </c>
      <c r="L710" s="248"/>
      <c r="M710" s="248"/>
      <c r="N710" s="248"/>
      <c r="O710" s="248"/>
      <c r="P710" s="248"/>
      <c r="Q710" s="249"/>
      <c r="R710" s="249"/>
      <c r="S710" s="244" t="s">
        <v>114</v>
      </c>
      <c r="T710" s="244" t="s">
        <v>66</v>
      </c>
      <c r="U710" s="244" t="s">
        <v>99</v>
      </c>
      <c r="V710" s="244" t="s">
        <v>1984</v>
      </c>
      <c r="W710" s="250"/>
      <c r="X710" s="250"/>
      <c r="Y710" s="250"/>
      <c r="Z710" s="250"/>
      <c r="AA710" s="251">
        <v>5180.0</v>
      </c>
      <c r="AB710" s="251">
        <v>20720.0</v>
      </c>
      <c r="AC710" s="24" t="s">
        <v>2282</v>
      </c>
      <c r="AD710" s="195">
        <v>5876.0</v>
      </c>
      <c r="AE710" s="38"/>
      <c r="AF710" s="244" t="str">
        <f t="shared" si="1"/>
        <v>Buenos Aires, Argentina</v>
      </c>
      <c r="AG710" s="244">
        <f t="shared" si="2"/>
        <v>1</v>
      </c>
      <c r="AH710" s="252">
        <f t="shared" si="3"/>
        <v>0</v>
      </c>
      <c r="AI710" s="252">
        <f t="shared" si="4"/>
        <v>0</v>
      </c>
      <c r="AJ710" s="251">
        <f t="shared" si="5"/>
        <v>25900</v>
      </c>
      <c r="AK710" s="251">
        <f t="shared" si="6"/>
        <v>25900</v>
      </c>
      <c r="AL710" s="253"/>
      <c r="AM710" s="253"/>
    </row>
    <row r="711">
      <c r="A711" s="244">
        <v>710.0</v>
      </c>
      <c r="B711" s="245">
        <v>44412.0</v>
      </c>
      <c r="C711" s="195" t="str">
        <f t="shared" si="7"/>
        <v>82021</v>
      </c>
      <c r="D711" s="246" t="s">
        <v>2283</v>
      </c>
      <c r="E711" s="244" t="s">
        <v>2284</v>
      </c>
      <c r="F711" s="246" t="s">
        <v>1415</v>
      </c>
      <c r="G711" s="244" t="s">
        <v>64</v>
      </c>
      <c r="H711" s="244" t="s">
        <v>41</v>
      </c>
      <c r="I711" s="244" t="s">
        <v>643</v>
      </c>
      <c r="J711" s="248"/>
      <c r="K711" s="247">
        <v>1.0</v>
      </c>
      <c r="L711" s="248"/>
      <c r="M711" s="248"/>
      <c r="N711" s="248"/>
      <c r="O711" s="248"/>
      <c r="P711" s="248"/>
      <c r="Q711" s="249"/>
      <c r="R711" s="249"/>
      <c r="S711" s="244" t="s">
        <v>98</v>
      </c>
      <c r="T711" s="244" t="s">
        <v>263</v>
      </c>
      <c r="U711" s="244" t="s">
        <v>99</v>
      </c>
      <c r="V711" s="244" t="s">
        <v>1984</v>
      </c>
      <c r="W711" s="250"/>
      <c r="X711" s="250"/>
      <c r="Y711" s="250"/>
      <c r="Z711" s="250"/>
      <c r="AA711" s="251">
        <v>5180.0</v>
      </c>
      <c r="AB711" s="251">
        <v>20720.0</v>
      </c>
      <c r="AC711" s="24" t="s">
        <v>2285</v>
      </c>
      <c r="AD711" s="195">
        <v>5888.0</v>
      </c>
      <c r="AE711" s="38"/>
      <c r="AF711" s="244" t="str">
        <f t="shared" si="1"/>
        <v>Santa Fé, Argentina</v>
      </c>
      <c r="AG711" s="244">
        <f t="shared" si="2"/>
        <v>1</v>
      </c>
      <c r="AH711" s="252">
        <f t="shared" si="3"/>
        <v>0</v>
      </c>
      <c r="AI711" s="252">
        <f t="shared" si="4"/>
        <v>0</v>
      </c>
      <c r="AJ711" s="251">
        <f t="shared" si="5"/>
        <v>25900</v>
      </c>
      <c r="AK711" s="251">
        <f t="shared" si="6"/>
        <v>25900</v>
      </c>
      <c r="AL711" s="253"/>
      <c r="AM711" s="253"/>
    </row>
    <row r="712">
      <c r="A712" s="244">
        <v>711.0</v>
      </c>
      <c r="B712" s="245">
        <v>44414.0</v>
      </c>
      <c r="C712" s="195" t="str">
        <f t="shared" si="7"/>
        <v>82021</v>
      </c>
      <c r="D712" s="246" t="s">
        <v>2286</v>
      </c>
      <c r="E712" s="244" t="s">
        <v>2085</v>
      </c>
      <c r="F712" s="246" t="s">
        <v>1415</v>
      </c>
      <c r="G712" s="244" t="s">
        <v>64</v>
      </c>
      <c r="H712" s="244" t="s">
        <v>41</v>
      </c>
      <c r="I712" s="244" t="s">
        <v>643</v>
      </c>
      <c r="J712" s="248"/>
      <c r="K712" s="247">
        <v>1.0</v>
      </c>
      <c r="L712" s="248"/>
      <c r="M712" s="248"/>
      <c r="N712" s="248"/>
      <c r="O712" s="248"/>
      <c r="P712" s="248"/>
      <c r="Q712" s="249"/>
      <c r="R712" s="249"/>
      <c r="S712" s="244" t="s">
        <v>167</v>
      </c>
      <c r="T712" s="244" t="s">
        <v>83</v>
      </c>
      <c r="U712" s="244" t="s">
        <v>99</v>
      </c>
      <c r="V712" s="244" t="s">
        <v>1984</v>
      </c>
      <c r="W712" s="250"/>
      <c r="X712" s="250"/>
      <c r="Y712" s="250"/>
      <c r="Z712" s="250"/>
      <c r="AA712" s="251">
        <v>5180.0</v>
      </c>
      <c r="AB712" s="251">
        <v>20720.0</v>
      </c>
      <c r="AC712" s="24" t="s">
        <v>2287</v>
      </c>
      <c r="AD712" s="195">
        <v>5894.0</v>
      </c>
      <c r="AE712" s="38"/>
      <c r="AF712" s="244" t="str">
        <f t="shared" si="1"/>
        <v>Capital Federal, Argentina</v>
      </c>
      <c r="AG712" s="244">
        <f t="shared" si="2"/>
        <v>1</v>
      </c>
      <c r="AH712" s="252">
        <f t="shared" si="3"/>
        <v>0</v>
      </c>
      <c r="AI712" s="252">
        <f t="shared" si="4"/>
        <v>0</v>
      </c>
      <c r="AJ712" s="251">
        <f t="shared" si="5"/>
        <v>25900</v>
      </c>
      <c r="AK712" s="251">
        <f t="shared" si="6"/>
        <v>25900</v>
      </c>
      <c r="AL712" s="253"/>
      <c r="AM712" s="253"/>
    </row>
    <row r="713">
      <c r="A713" s="244">
        <v>712.0</v>
      </c>
      <c r="B713" s="245">
        <v>44417.0</v>
      </c>
      <c r="C713" s="195" t="str">
        <f t="shared" si="7"/>
        <v>82021</v>
      </c>
      <c r="D713" s="246" t="s">
        <v>2288</v>
      </c>
      <c r="E713" s="244" t="s">
        <v>2289</v>
      </c>
      <c r="F713" s="246" t="s">
        <v>1415</v>
      </c>
      <c r="G713" s="244" t="s">
        <v>64</v>
      </c>
      <c r="H713" s="244" t="s">
        <v>41</v>
      </c>
      <c r="I713" s="244" t="s">
        <v>643</v>
      </c>
      <c r="J713" s="248"/>
      <c r="K713" s="247">
        <v>1.0</v>
      </c>
      <c r="L713" s="248"/>
      <c r="M713" s="248"/>
      <c r="N713" s="248"/>
      <c r="O713" s="248"/>
      <c r="P713" s="248"/>
      <c r="Q713" s="249"/>
      <c r="R713" s="249"/>
      <c r="S713" s="244" t="s">
        <v>114</v>
      </c>
      <c r="T713" s="244" t="s">
        <v>66</v>
      </c>
      <c r="U713" s="244" t="s">
        <v>99</v>
      </c>
      <c r="V713" s="244" t="s">
        <v>1984</v>
      </c>
      <c r="W713" s="250"/>
      <c r="X713" s="250"/>
      <c r="Y713" s="250"/>
      <c r="Z713" s="250"/>
      <c r="AA713" s="251">
        <v>5180.0</v>
      </c>
      <c r="AB713" s="251">
        <v>20720.0</v>
      </c>
      <c r="AC713" s="24" t="s">
        <v>2290</v>
      </c>
      <c r="AD713" s="195">
        <v>5900.0</v>
      </c>
      <c r="AE713" s="38"/>
      <c r="AF713" s="244" t="str">
        <f t="shared" si="1"/>
        <v>Buenos Aires, Argentina</v>
      </c>
      <c r="AG713" s="244">
        <f t="shared" si="2"/>
        <v>1</v>
      </c>
      <c r="AH713" s="252">
        <f t="shared" si="3"/>
        <v>0</v>
      </c>
      <c r="AI713" s="252">
        <f t="shared" si="4"/>
        <v>0</v>
      </c>
      <c r="AJ713" s="251">
        <f t="shared" si="5"/>
        <v>25900</v>
      </c>
      <c r="AK713" s="251">
        <f t="shared" si="6"/>
        <v>25900</v>
      </c>
      <c r="AL713" s="253"/>
      <c r="AM713" s="253"/>
    </row>
    <row r="714">
      <c r="A714" s="244">
        <v>713.0</v>
      </c>
      <c r="B714" s="245">
        <v>44419.0</v>
      </c>
      <c r="C714" s="195" t="str">
        <f t="shared" si="7"/>
        <v>82021</v>
      </c>
      <c r="D714" s="246" t="s">
        <v>2291</v>
      </c>
      <c r="E714" s="244" t="s">
        <v>2292</v>
      </c>
      <c r="F714" s="246" t="s">
        <v>2293</v>
      </c>
      <c r="G714" s="244" t="s">
        <v>64</v>
      </c>
      <c r="H714" s="244" t="s">
        <v>41</v>
      </c>
      <c r="I714" s="244" t="s">
        <v>643</v>
      </c>
      <c r="J714" s="247">
        <v>1.0</v>
      </c>
      <c r="K714" s="247">
        <v>1.0</v>
      </c>
      <c r="L714" s="248"/>
      <c r="M714" s="247">
        <v>1.0</v>
      </c>
      <c r="N714" s="248"/>
      <c r="O714" s="248"/>
      <c r="P714" s="248"/>
      <c r="Q714" s="249"/>
      <c r="R714" s="249"/>
      <c r="S714" s="244" t="s">
        <v>43</v>
      </c>
      <c r="T714" s="244" t="s">
        <v>83</v>
      </c>
      <c r="U714" s="244" t="s">
        <v>99</v>
      </c>
      <c r="V714" s="244" t="s">
        <v>1984</v>
      </c>
      <c r="W714" s="250"/>
      <c r="X714" s="250"/>
      <c r="Y714" s="250"/>
      <c r="Z714" s="250"/>
      <c r="AA714" s="251">
        <v>19980.0</v>
      </c>
      <c r="AB714" s="251">
        <v>79920.0</v>
      </c>
      <c r="AC714" s="24" t="s">
        <v>2294</v>
      </c>
      <c r="AD714" s="195">
        <v>5906.0</v>
      </c>
      <c r="AE714" s="38"/>
      <c r="AF714" s="244" t="str">
        <f t="shared" si="1"/>
        <v>Capital Federal, Argentina</v>
      </c>
      <c r="AG714" s="244">
        <f t="shared" si="2"/>
        <v>3</v>
      </c>
      <c r="AH714" s="252">
        <f t="shared" si="3"/>
        <v>0</v>
      </c>
      <c r="AI714" s="252">
        <f t="shared" si="4"/>
        <v>0</v>
      </c>
      <c r="AJ714" s="251">
        <f t="shared" si="5"/>
        <v>99900</v>
      </c>
      <c r="AK714" s="251">
        <f t="shared" si="6"/>
        <v>99900</v>
      </c>
      <c r="AL714" s="253"/>
      <c r="AM714" s="253"/>
    </row>
    <row r="715">
      <c r="A715" s="244">
        <v>714.0</v>
      </c>
      <c r="B715" s="245">
        <v>44420.0</v>
      </c>
      <c r="C715" s="195" t="str">
        <f t="shared" si="7"/>
        <v>82021</v>
      </c>
      <c r="D715" s="246" t="s">
        <v>2295</v>
      </c>
      <c r="E715" s="244" t="s">
        <v>2296</v>
      </c>
      <c r="F715" s="246" t="s">
        <v>1423</v>
      </c>
      <c r="G715" s="244" t="s">
        <v>40</v>
      </c>
      <c r="H715" s="244" t="s">
        <v>41</v>
      </c>
      <c r="I715" s="244" t="s">
        <v>643</v>
      </c>
      <c r="J715" s="247">
        <v>1.0</v>
      </c>
      <c r="K715" s="248"/>
      <c r="L715" s="248"/>
      <c r="M715" s="248"/>
      <c r="N715" s="248"/>
      <c r="O715" s="248"/>
      <c r="P715" s="248"/>
      <c r="Q715" s="249"/>
      <c r="R715" s="249"/>
      <c r="S715" s="244" t="s">
        <v>114</v>
      </c>
      <c r="T715" s="244" t="s">
        <v>66</v>
      </c>
      <c r="U715" s="244" t="s">
        <v>163</v>
      </c>
      <c r="V715" s="244" t="s">
        <v>84</v>
      </c>
      <c r="W715" s="250"/>
      <c r="X715" s="250"/>
      <c r="Y715" s="250"/>
      <c r="Z715" s="250"/>
      <c r="AA715" s="251">
        <v>7400.0</v>
      </c>
      <c r="AB715" s="251">
        <v>25900.0</v>
      </c>
      <c r="AC715" s="24" t="s">
        <v>2297</v>
      </c>
      <c r="AD715" s="195">
        <v>5912.0</v>
      </c>
      <c r="AE715" s="38"/>
      <c r="AF715" s="244" t="str">
        <f t="shared" si="1"/>
        <v>Buenos Aires, Argentina</v>
      </c>
      <c r="AG715" s="244">
        <f t="shared" si="2"/>
        <v>1</v>
      </c>
      <c r="AH715" s="252">
        <f t="shared" si="3"/>
        <v>0</v>
      </c>
      <c r="AI715" s="252">
        <f t="shared" si="4"/>
        <v>0</v>
      </c>
      <c r="AJ715" s="251">
        <f t="shared" si="5"/>
        <v>33300</v>
      </c>
      <c r="AK715" s="251">
        <f t="shared" si="6"/>
        <v>33300</v>
      </c>
      <c r="AL715" s="253"/>
      <c r="AM715" s="253"/>
    </row>
    <row r="716">
      <c r="A716" s="244">
        <v>715.0</v>
      </c>
      <c r="B716" s="245">
        <v>44420.0</v>
      </c>
      <c r="C716" s="195" t="str">
        <f t="shared" si="7"/>
        <v>82021</v>
      </c>
      <c r="D716" s="246" t="s">
        <v>2298</v>
      </c>
      <c r="E716" s="244" t="s">
        <v>2299</v>
      </c>
      <c r="F716" s="246" t="s">
        <v>2300</v>
      </c>
      <c r="G716" s="244" t="s">
        <v>40</v>
      </c>
      <c r="H716" s="244" t="s">
        <v>41</v>
      </c>
      <c r="I716" s="244" t="s">
        <v>643</v>
      </c>
      <c r="J716" s="247">
        <v>2.0</v>
      </c>
      <c r="K716" s="247">
        <v>8.0</v>
      </c>
      <c r="L716" s="247">
        <v>3.0</v>
      </c>
      <c r="M716" s="247">
        <v>2.0</v>
      </c>
      <c r="N716" s="248"/>
      <c r="O716" s="248"/>
      <c r="P716" s="248"/>
      <c r="Q716" s="249"/>
      <c r="R716" s="249"/>
      <c r="S716" s="244" t="s">
        <v>89</v>
      </c>
      <c r="T716" s="244" t="s">
        <v>66</v>
      </c>
      <c r="U716" s="244" t="s">
        <v>342</v>
      </c>
      <c r="V716" s="244" t="s">
        <v>1984</v>
      </c>
      <c r="W716" s="250"/>
      <c r="X716" s="250"/>
      <c r="Y716" s="250"/>
      <c r="Z716" s="250"/>
      <c r="AA716" s="251">
        <v>82140.0</v>
      </c>
      <c r="AB716" s="251">
        <v>287490.0</v>
      </c>
      <c r="AC716" s="254" t="s">
        <v>2301</v>
      </c>
      <c r="AD716" s="195">
        <v>5914.0</v>
      </c>
      <c r="AE716" s="38"/>
      <c r="AF716" s="244" t="str">
        <f t="shared" si="1"/>
        <v>Buenos Aires, Argentina</v>
      </c>
      <c r="AG716" s="244">
        <f t="shared" si="2"/>
        <v>15</v>
      </c>
      <c r="AH716" s="252">
        <f t="shared" si="3"/>
        <v>0</v>
      </c>
      <c r="AI716" s="252">
        <f t="shared" si="4"/>
        <v>0</v>
      </c>
      <c r="AJ716" s="251">
        <f t="shared" si="5"/>
        <v>369630</v>
      </c>
      <c r="AK716" s="251">
        <f t="shared" si="6"/>
        <v>369630</v>
      </c>
      <c r="AL716" s="253"/>
      <c r="AM716" s="253"/>
    </row>
    <row r="717">
      <c r="A717" s="244">
        <v>716.0</v>
      </c>
      <c r="B717" s="245">
        <v>44432.0</v>
      </c>
      <c r="C717" s="195" t="str">
        <f t="shared" si="7"/>
        <v>82021</v>
      </c>
      <c r="D717" s="246" t="s">
        <v>2302</v>
      </c>
      <c r="E717" s="244" t="s">
        <v>2303</v>
      </c>
      <c r="F717" s="246" t="s">
        <v>2304</v>
      </c>
      <c r="G717" s="244" t="s">
        <v>64</v>
      </c>
      <c r="H717" s="244" t="s">
        <v>41</v>
      </c>
      <c r="I717" s="244" t="s">
        <v>643</v>
      </c>
      <c r="J717" s="247">
        <v>1.0</v>
      </c>
      <c r="K717" s="248"/>
      <c r="L717" s="248"/>
      <c r="M717" s="248"/>
      <c r="N717" s="248"/>
      <c r="O717" s="248"/>
      <c r="P717" s="248"/>
      <c r="Q717" s="249"/>
      <c r="R717" s="249"/>
      <c r="S717" s="244" t="s">
        <v>82</v>
      </c>
      <c r="T717" s="244" t="s">
        <v>879</v>
      </c>
      <c r="U717" s="244" t="s">
        <v>99</v>
      </c>
      <c r="V717" s="244" t="s">
        <v>1984</v>
      </c>
      <c r="W717" s="250"/>
      <c r="X717" s="250"/>
      <c r="Y717" s="250"/>
      <c r="Z717" s="250"/>
      <c r="AA717" s="251">
        <v>7400.0</v>
      </c>
      <c r="AB717" s="251">
        <v>29600.0</v>
      </c>
      <c r="AC717" s="24" t="s">
        <v>2305</v>
      </c>
      <c r="AD717" s="195">
        <v>5958.0</v>
      </c>
      <c r="AE717" s="38"/>
      <c r="AF717" s="244" t="str">
        <f t="shared" si="1"/>
        <v>Salta, Argentina</v>
      </c>
      <c r="AG717" s="244">
        <f t="shared" si="2"/>
        <v>1</v>
      </c>
      <c r="AH717" s="252">
        <f t="shared" si="3"/>
        <v>0</v>
      </c>
      <c r="AI717" s="252">
        <f t="shared" si="4"/>
        <v>0</v>
      </c>
      <c r="AJ717" s="251">
        <f t="shared" si="5"/>
        <v>37000</v>
      </c>
      <c r="AK717" s="251">
        <f t="shared" si="6"/>
        <v>37000</v>
      </c>
      <c r="AL717" s="253"/>
      <c r="AM717" s="253"/>
    </row>
    <row r="718">
      <c r="A718" s="244">
        <v>717.0</v>
      </c>
      <c r="B718" s="245">
        <v>44433.0</v>
      </c>
      <c r="C718" s="195" t="str">
        <f t="shared" si="7"/>
        <v>82021</v>
      </c>
      <c r="D718" s="246" t="s">
        <v>2306</v>
      </c>
      <c r="E718" s="244" t="s">
        <v>2090</v>
      </c>
      <c r="F718" s="255" t="s">
        <v>2248</v>
      </c>
      <c r="G718" s="244" t="s">
        <v>64</v>
      </c>
      <c r="H718" s="244" t="s">
        <v>41</v>
      </c>
      <c r="I718" s="244" t="s">
        <v>643</v>
      </c>
      <c r="J718" s="248"/>
      <c r="K718" s="248"/>
      <c r="L718" s="248"/>
      <c r="M718" s="248"/>
      <c r="N718" s="248"/>
      <c r="O718" s="248"/>
      <c r="P718" s="248"/>
      <c r="Q718" s="249"/>
      <c r="R718" s="249"/>
      <c r="S718" s="244" t="s">
        <v>89</v>
      </c>
      <c r="T718" s="244" t="s">
        <v>66</v>
      </c>
      <c r="U718" s="244" t="s">
        <v>99</v>
      </c>
      <c r="V718" s="244" t="s">
        <v>1984</v>
      </c>
      <c r="W718" s="250"/>
      <c r="X718" s="250"/>
      <c r="Y718" s="250"/>
      <c r="Z718" s="250"/>
      <c r="AA718" s="251">
        <v>0.0</v>
      </c>
      <c r="AB718" s="251">
        <v>17760.0</v>
      </c>
      <c r="AC718" s="24" t="s">
        <v>2307</v>
      </c>
      <c r="AD718" s="195">
        <v>5964.0</v>
      </c>
      <c r="AE718" s="38"/>
      <c r="AF718" s="244" t="str">
        <f t="shared" si="1"/>
        <v>Buenos Aires, Argentina</v>
      </c>
      <c r="AG718" s="244">
        <f t="shared" si="2"/>
        <v>0</v>
      </c>
      <c r="AH718" s="252">
        <f t="shared" si="3"/>
        <v>0</v>
      </c>
      <c r="AI718" s="252">
        <f t="shared" si="4"/>
        <v>0</v>
      </c>
      <c r="AJ718" s="251">
        <f t="shared" si="5"/>
        <v>17760</v>
      </c>
      <c r="AK718" s="251">
        <f t="shared" si="6"/>
        <v>17760</v>
      </c>
      <c r="AL718" s="253"/>
      <c r="AM718" s="253"/>
    </row>
    <row r="719">
      <c r="A719" s="244">
        <v>718.0</v>
      </c>
      <c r="B719" s="245">
        <v>44434.0</v>
      </c>
      <c r="C719" s="195" t="str">
        <f t="shared" si="7"/>
        <v>82021</v>
      </c>
      <c r="D719" s="246" t="s">
        <v>2308</v>
      </c>
      <c r="E719" s="244" t="s">
        <v>2309</v>
      </c>
      <c r="F719" s="246" t="s">
        <v>1592</v>
      </c>
      <c r="G719" s="244" t="s">
        <v>64</v>
      </c>
      <c r="H719" s="244" t="s">
        <v>41</v>
      </c>
      <c r="I719" s="244" t="s">
        <v>643</v>
      </c>
      <c r="J719" s="247">
        <v>1.0</v>
      </c>
      <c r="K719" s="247">
        <v>1.0</v>
      </c>
      <c r="L719" s="248"/>
      <c r="M719" s="248"/>
      <c r="N719" s="248"/>
      <c r="O719" s="248"/>
      <c r="P719" s="248"/>
      <c r="Q719" s="249"/>
      <c r="R719" s="249"/>
      <c r="S719" s="244" t="s">
        <v>276</v>
      </c>
      <c r="T719" s="244" t="s">
        <v>879</v>
      </c>
      <c r="U719" s="244" t="s">
        <v>99</v>
      </c>
      <c r="V719" s="244" t="s">
        <v>1984</v>
      </c>
      <c r="W719" s="250"/>
      <c r="X719" s="250"/>
      <c r="Y719" s="250"/>
      <c r="Z719" s="250"/>
      <c r="AA719" s="251">
        <v>12580.0</v>
      </c>
      <c r="AB719" s="251">
        <v>50320.0</v>
      </c>
      <c r="AC719" s="24" t="s">
        <v>2310</v>
      </c>
      <c r="AD719" s="195">
        <v>5698.0</v>
      </c>
      <c r="AE719" s="38"/>
      <c r="AF719" s="244" t="str">
        <f t="shared" si="1"/>
        <v>Salta, Argentina</v>
      </c>
      <c r="AG719" s="244">
        <f t="shared" si="2"/>
        <v>2</v>
      </c>
      <c r="AH719" s="252">
        <f t="shared" si="3"/>
        <v>0</v>
      </c>
      <c r="AI719" s="252">
        <f t="shared" si="4"/>
        <v>0</v>
      </c>
      <c r="AJ719" s="251">
        <f t="shared" si="5"/>
        <v>62900</v>
      </c>
      <c r="AK719" s="251">
        <f t="shared" si="6"/>
        <v>62900</v>
      </c>
      <c r="AL719" s="253"/>
      <c r="AM719" s="253"/>
    </row>
    <row r="720">
      <c r="A720" s="244">
        <v>719.0</v>
      </c>
      <c r="B720" s="245">
        <v>44434.0</v>
      </c>
      <c r="C720" s="195" t="str">
        <f t="shared" si="7"/>
        <v>82021</v>
      </c>
      <c r="D720" s="246" t="s">
        <v>2311</v>
      </c>
      <c r="E720" s="244" t="s">
        <v>2312</v>
      </c>
      <c r="F720" s="246" t="s">
        <v>2313</v>
      </c>
      <c r="G720" s="244" t="s">
        <v>40</v>
      </c>
      <c r="H720" s="244" t="s">
        <v>41</v>
      </c>
      <c r="I720" s="244" t="s">
        <v>643</v>
      </c>
      <c r="J720" s="247">
        <v>2.0</v>
      </c>
      <c r="K720" s="247">
        <v>3.0</v>
      </c>
      <c r="L720" s="248"/>
      <c r="M720" s="247">
        <v>1.0</v>
      </c>
      <c r="N720" s="248"/>
      <c r="O720" s="248"/>
      <c r="P720" s="248"/>
      <c r="Q720" s="249"/>
      <c r="R720" s="249"/>
      <c r="S720" s="244" t="s">
        <v>114</v>
      </c>
      <c r="T720" s="244" t="s">
        <v>66</v>
      </c>
      <c r="U720" s="244" t="s">
        <v>342</v>
      </c>
      <c r="V720" s="244" t="s">
        <v>1984</v>
      </c>
      <c r="W720" s="250"/>
      <c r="X720" s="250"/>
      <c r="Y720" s="250"/>
      <c r="Z720" s="250"/>
      <c r="AA720" s="251">
        <v>37740.0</v>
      </c>
      <c r="AB720" s="251">
        <v>132090.0</v>
      </c>
      <c r="AC720" s="24" t="s">
        <v>2314</v>
      </c>
      <c r="AD720" s="195">
        <v>5976.0</v>
      </c>
      <c r="AE720" s="38"/>
      <c r="AF720" s="244" t="str">
        <f t="shared" si="1"/>
        <v>Buenos Aires, Argentina</v>
      </c>
      <c r="AG720" s="244">
        <f t="shared" si="2"/>
        <v>6</v>
      </c>
      <c r="AH720" s="252">
        <f t="shared" si="3"/>
        <v>0</v>
      </c>
      <c r="AI720" s="252">
        <f t="shared" si="4"/>
        <v>0</v>
      </c>
      <c r="AJ720" s="251">
        <f t="shared" si="5"/>
        <v>169830</v>
      </c>
      <c r="AK720" s="251">
        <f t="shared" si="6"/>
        <v>169830</v>
      </c>
      <c r="AL720" s="253"/>
      <c r="AM720" s="253"/>
    </row>
    <row r="721">
      <c r="A721" s="244">
        <v>720.0</v>
      </c>
      <c r="B721" s="245">
        <v>44435.0</v>
      </c>
      <c r="C721" s="195" t="str">
        <f t="shared" si="7"/>
        <v>82021</v>
      </c>
      <c r="D721" s="246" t="s">
        <v>2315</v>
      </c>
      <c r="E721" s="244" t="s">
        <v>2129</v>
      </c>
      <c r="F721" s="246" t="s">
        <v>2316</v>
      </c>
      <c r="G721" s="244" t="s">
        <v>64</v>
      </c>
      <c r="H721" s="244" t="s">
        <v>41</v>
      </c>
      <c r="I721" s="244" t="s">
        <v>643</v>
      </c>
      <c r="J721" s="247">
        <v>1.0</v>
      </c>
      <c r="K721" s="248"/>
      <c r="L721" s="248"/>
      <c r="M721" s="248"/>
      <c r="N721" s="248"/>
      <c r="O721" s="248"/>
      <c r="P721" s="248"/>
      <c r="Q721" s="249"/>
      <c r="R721" s="249"/>
      <c r="S721" s="244" t="s">
        <v>51</v>
      </c>
      <c r="T721" s="244" t="s">
        <v>83</v>
      </c>
      <c r="U721" s="244" t="s">
        <v>99</v>
      </c>
      <c r="V721" s="244" t="s">
        <v>1984</v>
      </c>
      <c r="W721" s="250"/>
      <c r="X721" s="250"/>
      <c r="Y721" s="250"/>
      <c r="Z721" s="250"/>
      <c r="AA721" s="251">
        <v>7400.0</v>
      </c>
      <c r="AB721" s="251">
        <v>47360.0</v>
      </c>
      <c r="AC721" s="24" t="s">
        <v>2317</v>
      </c>
      <c r="AD721" s="195">
        <v>5982.0</v>
      </c>
      <c r="AE721" s="38"/>
      <c r="AF721" s="244" t="str">
        <f t="shared" si="1"/>
        <v>Capital Federal, Argentina</v>
      </c>
      <c r="AG721" s="244">
        <f t="shared" si="2"/>
        <v>1</v>
      </c>
      <c r="AH721" s="252">
        <f t="shared" si="3"/>
        <v>0</v>
      </c>
      <c r="AI721" s="252">
        <f t="shared" si="4"/>
        <v>0</v>
      </c>
      <c r="AJ721" s="251">
        <f t="shared" si="5"/>
        <v>54760</v>
      </c>
      <c r="AK721" s="251">
        <f t="shared" si="6"/>
        <v>54760</v>
      </c>
      <c r="AL721" s="253"/>
      <c r="AM721" s="253"/>
    </row>
    <row r="722">
      <c r="A722" s="244">
        <v>721.0</v>
      </c>
      <c r="B722" s="245">
        <v>44435.0</v>
      </c>
      <c r="C722" s="195" t="str">
        <f t="shared" si="7"/>
        <v>82021</v>
      </c>
      <c r="D722" s="246" t="s">
        <v>2318</v>
      </c>
      <c r="E722" s="244" t="s">
        <v>2319</v>
      </c>
      <c r="F722" s="246" t="s">
        <v>1592</v>
      </c>
      <c r="G722" s="244" t="s">
        <v>64</v>
      </c>
      <c r="H722" s="244" t="s">
        <v>41</v>
      </c>
      <c r="I722" s="244" t="s">
        <v>643</v>
      </c>
      <c r="J722" s="247">
        <v>1.0</v>
      </c>
      <c r="K722" s="247">
        <v>1.0</v>
      </c>
      <c r="L722" s="248"/>
      <c r="M722" s="248"/>
      <c r="N722" s="248"/>
      <c r="O722" s="248"/>
      <c r="P722" s="248"/>
      <c r="Q722" s="249"/>
      <c r="R722" s="249"/>
      <c r="S722" s="244" t="s">
        <v>65</v>
      </c>
      <c r="T722" s="244" t="s">
        <v>66</v>
      </c>
      <c r="U722" s="244" t="s">
        <v>99</v>
      </c>
      <c r="V722" s="244" t="s">
        <v>1984</v>
      </c>
      <c r="W722" s="250"/>
      <c r="X722" s="250"/>
      <c r="Y722" s="250"/>
      <c r="Z722" s="250"/>
      <c r="AA722" s="251">
        <v>12580.0</v>
      </c>
      <c r="AB722" s="251">
        <v>50320.0</v>
      </c>
      <c r="AC722" s="24" t="s">
        <v>2320</v>
      </c>
      <c r="AD722" s="195">
        <v>5986.0</v>
      </c>
      <c r="AE722" s="38"/>
      <c r="AF722" s="244" t="str">
        <f t="shared" si="1"/>
        <v>Buenos Aires, Argentina</v>
      </c>
      <c r="AG722" s="244">
        <f t="shared" si="2"/>
        <v>2</v>
      </c>
      <c r="AH722" s="252">
        <f t="shared" si="3"/>
        <v>0</v>
      </c>
      <c r="AI722" s="252">
        <f t="shared" si="4"/>
        <v>0</v>
      </c>
      <c r="AJ722" s="251">
        <f t="shared" si="5"/>
        <v>62900</v>
      </c>
      <c r="AK722" s="251">
        <f t="shared" si="6"/>
        <v>62900</v>
      </c>
      <c r="AL722" s="253"/>
      <c r="AM722" s="253"/>
    </row>
    <row r="723">
      <c r="A723" s="244">
        <v>722.0</v>
      </c>
      <c r="B723" s="245">
        <v>44435.0</v>
      </c>
      <c r="C723" s="195" t="str">
        <f t="shared" si="7"/>
        <v>82021</v>
      </c>
      <c r="D723" s="246" t="s">
        <v>2321</v>
      </c>
      <c r="E723" s="244" t="s">
        <v>2322</v>
      </c>
      <c r="F723" s="246" t="s">
        <v>2323</v>
      </c>
      <c r="G723" s="244" t="s">
        <v>40</v>
      </c>
      <c r="H723" s="244" t="s">
        <v>41</v>
      </c>
      <c r="I723" s="244" t="s">
        <v>643</v>
      </c>
      <c r="J723" s="247">
        <v>7.0</v>
      </c>
      <c r="K723" s="247">
        <v>27.0</v>
      </c>
      <c r="L723" s="248"/>
      <c r="M723" s="247">
        <v>1.0</v>
      </c>
      <c r="N723" s="248"/>
      <c r="O723" s="247">
        <v>1.0</v>
      </c>
      <c r="P723" s="248"/>
      <c r="Q723" s="249"/>
      <c r="R723" s="249"/>
      <c r="S723" s="244" t="s">
        <v>65</v>
      </c>
      <c r="T723" s="244" t="s">
        <v>984</v>
      </c>
      <c r="U723" s="244" t="s">
        <v>342</v>
      </c>
      <c r="V723" s="244" t="s">
        <v>84</v>
      </c>
      <c r="W723" s="250"/>
      <c r="X723" s="250"/>
      <c r="Y723" s="250"/>
      <c r="Z723" s="250"/>
      <c r="AA723" s="251">
        <v>199060.0</v>
      </c>
      <c r="AB723" s="251">
        <v>820512.0</v>
      </c>
      <c r="AC723" s="24" t="s">
        <v>2324</v>
      </c>
      <c r="AD723" s="195">
        <v>5984.0</v>
      </c>
      <c r="AE723" s="38"/>
      <c r="AF723" s="244" t="str">
        <f t="shared" si="1"/>
        <v>Santiago del Estero, Argentina</v>
      </c>
      <c r="AG723" s="244">
        <f t="shared" si="2"/>
        <v>36</v>
      </c>
      <c r="AH723" s="252">
        <f t="shared" si="3"/>
        <v>0</v>
      </c>
      <c r="AI723" s="252">
        <f t="shared" si="4"/>
        <v>0</v>
      </c>
      <c r="AJ723" s="251">
        <f t="shared" si="5"/>
        <v>1019572</v>
      </c>
      <c r="AK723" s="251">
        <f t="shared" si="6"/>
        <v>1019572</v>
      </c>
      <c r="AL723" s="253"/>
      <c r="AM723" s="253"/>
    </row>
    <row r="724">
      <c r="A724" s="244">
        <v>723.0</v>
      </c>
      <c r="B724" s="245">
        <v>44438.0</v>
      </c>
      <c r="C724" s="195" t="str">
        <f t="shared" si="7"/>
        <v>82021</v>
      </c>
      <c r="D724" s="246" t="s">
        <v>2325</v>
      </c>
      <c r="E724" s="244" t="s">
        <v>2326</v>
      </c>
      <c r="F724" s="246" t="s">
        <v>2327</v>
      </c>
      <c r="G724" s="244" t="s">
        <v>40</v>
      </c>
      <c r="H724" s="244" t="s">
        <v>41</v>
      </c>
      <c r="I724" s="244" t="s">
        <v>643</v>
      </c>
      <c r="J724" s="247">
        <v>1.0</v>
      </c>
      <c r="K724" s="248"/>
      <c r="L724" s="248"/>
      <c r="M724" s="247">
        <v>1.0</v>
      </c>
      <c r="N724" s="248"/>
      <c r="O724" s="248"/>
      <c r="P724" s="248"/>
      <c r="Q724" s="249"/>
      <c r="R724" s="249"/>
      <c r="S724" s="244" t="s">
        <v>51</v>
      </c>
      <c r="T724" s="244" t="s">
        <v>83</v>
      </c>
      <c r="U724" s="244" t="s">
        <v>342</v>
      </c>
      <c r="V724" s="244" t="s">
        <v>1984</v>
      </c>
      <c r="W724" s="250"/>
      <c r="X724" s="250"/>
      <c r="Y724" s="250"/>
      <c r="Z724" s="250"/>
      <c r="AA724" s="251">
        <v>14800.0</v>
      </c>
      <c r="AB724" s="251">
        <v>62160.0</v>
      </c>
      <c r="AC724" s="24" t="s">
        <v>2328</v>
      </c>
      <c r="AD724" s="195">
        <v>5992.0</v>
      </c>
      <c r="AE724" s="38"/>
      <c r="AF724" s="244" t="str">
        <f t="shared" si="1"/>
        <v>Capital Federal, Argentina</v>
      </c>
      <c r="AG724" s="244">
        <f t="shared" si="2"/>
        <v>2</v>
      </c>
      <c r="AH724" s="252">
        <f t="shared" si="3"/>
        <v>0</v>
      </c>
      <c r="AI724" s="252">
        <f t="shared" si="4"/>
        <v>0</v>
      </c>
      <c r="AJ724" s="251">
        <f t="shared" si="5"/>
        <v>76960</v>
      </c>
      <c r="AK724" s="251">
        <f t="shared" si="6"/>
        <v>76960</v>
      </c>
      <c r="AL724" s="253"/>
      <c r="AM724" s="253"/>
    </row>
    <row r="725">
      <c r="A725" s="244">
        <v>724.0</v>
      </c>
      <c r="B725" s="245">
        <v>44438.0</v>
      </c>
      <c r="C725" s="195" t="str">
        <f t="shared" si="7"/>
        <v>82021</v>
      </c>
      <c r="D725" s="246" t="s">
        <v>2329</v>
      </c>
      <c r="E725" s="244" t="s">
        <v>2330</v>
      </c>
      <c r="F725" s="246" t="s">
        <v>2063</v>
      </c>
      <c r="G725" s="244" t="s">
        <v>40</v>
      </c>
      <c r="H725" s="244" t="s">
        <v>41</v>
      </c>
      <c r="I725" s="244" t="s">
        <v>643</v>
      </c>
      <c r="J725" s="247">
        <v>2.0</v>
      </c>
      <c r="K725" s="247">
        <v>2.0</v>
      </c>
      <c r="L725" s="248"/>
      <c r="M725" s="247">
        <v>1.0</v>
      </c>
      <c r="N725" s="248"/>
      <c r="O725" s="248"/>
      <c r="P725" s="248"/>
      <c r="Q725" s="249"/>
      <c r="R725" s="249"/>
      <c r="S725" s="244" t="s">
        <v>114</v>
      </c>
      <c r="T725" s="244" t="s">
        <v>83</v>
      </c>
      <c r="U725" s="244" t="s">
        <v>45</v>
      </c>
      <c r="V725" s="244" t="s">
        <v>84</v>
      </c>
      <c r="W725" s="250"/>
      <c r="X725" s="250"/>
      <c r="Y725" s="250"/>
      <c r="Z725" s="250"/>
      <c r="AA725" s="251">
        <v>32560.0</v>
      </c>
      <c r="AB725" s="251">
        <v>113960.0</v>
      </c>
      <c r="AC725" s="24" t="s">
        <v>2331</v>
      </c>
      <c r="AD725" s="195">
        <v>5998.0</v>
      </c>
      <c r="AE725" s="38"/>
      <c r="AF725" s="244" t="str">
        <f t="shared" si="1"/>
        <v>Capital Federal, Argentina</v>
      </c>
      <c r="AG725" s="244">
        <f t="shared" si="2"/>
        <v>5</v>
      </c>
      <c r="AH725" s="252">
        <f t="shared" si="3"/>
        <v>0</v>
      </c>
      <c r="AI725" s="252">
        <f t="shared" si="4"/>
        <v>0</v>
      </c>
      <c r="AJ725" s="251">
        <f t="shared" si="5"/>
        <v>146520</v>
      </c>
      <c r="AK725" s="251">
        <f t="shared" si="6"/>
        <v>146520</v>
      </c>
      <c r="AL725" s="253"/>
      <c r="AM725" s="253"/>
    </row>
    <row r="726">
      <c r="A726" s="244">
        <v>725.0</v>
      </c>
      <c r="B726" s="245">
        <v>44439.0</v>
      </c>
      <c r="C726" s="195" t="str">
        <f t="shared" si="7"/>
        <v>82021</v>
      </c>
      <c r="D726" s="246" t="s">
        <v>2332</v>
      </c>
      <c r="E726" s="244" t="s">
        <v>2333</v>
      </c>
      <c r="F726" s="246" t="s">
        <v>1592</v>
      </c>
      <c r="G726" s="244" t="s">
        <v>64</v>
      </c>
      <c r="H726" s="244" t="s">
        <v>41</v>
      </c>
      <c r="I726" s="244" t="s">
        <v>643</v>
      </c>
      <c r="J726" s="247">
        <v>1.0</v>
      </c>
      <c r="K726" s="247">
        <v>1.0</v>
      </c>
      <c r="L726" s="248"/>
      <c r="M726" s="248"/>
      <c r="N726" s="248"/>
      <c r="O726" s="248"/>
      <c r="P726" s="248"/>
      <c r="Q726" s="249"/>
      <c r="R726" s="249"/>
      <c r="S726" s="244" t="s">
        <v>204</v>
      </c>
      <c r="T726" s="244" t="s">
        <v>839</v>
      </c>
      <c r="U726" s="244" t="s">
        <v>99</v>
      </c>
      <c r="V726" s="244" t="s">
        <v>1984</v>
      </c>
      <c r="W726" s="250"/>
      <c r="X726" s="250"/>
      <c r="Y726" s="250"/>
      <c r="Z726" s="250"/>
      <c r="AA726" s="251">
        <v>12580.0</v>
      </c>
      <c r="AB726" s="251">
        <v>50320.0</v>
      </c>
      <c r="AC726" s="24" t="s">
        <v>2334</v>
      </c>
      <c r="AD726" s="195">
        <v>6010.0</v>
      </c>
      <c r="AE726" s="38"/>
      <c r="AF726" s="244" t="str">
        <f t="shared" si="1"/>
        <v>Neuquén, Argentina</v>
      </c>
      <c r="AG726" s="244">
        <f t="shared" si="2"/>
        <v>2</v>
      </c>
      <c r="AH726" s="252">
        <f t="shared" si="3"/>
        <v>0</v>
      </c>
      <c r="AI726" s="252">
        <f t="shared" si="4"/>
        <v>0</v>
      </c>
      <c r="AJ726" s="251">
        <f t="shared" si="5"/>
        <v>62900</v>
      </c>
      <c r="AK726" s="251">
        <f t="shared" si="6"/>
        <v>62900</v>
      </c>
      <c r="AL726" s="253"/>
      <c r="AM726" s="253"/>
    </row>
    <row r="727">
      <c r="A727" s="244">
        <v>726.0</v>
      </c>
      <c r="B727" s="245">
        <v>44439.0</v>
      </c>
      <c r="C727" s="195" t="str">
        <f t="shared" si="7"/>
        <v>82021</v>
      </c>
      <c r="D727" s="246" t="s">
        <v>2335</v>
      </c>
      <c r="E727" s="244" t="s">
        <v>2336</v>
      </c>
      <c r="F727" s="246" t="s">
        <v>2304</v>
      </c>
      <c r="G727" s="244" t="s">
        <v>64</v>
      </c>
      <c r="H727" s="244" t="s">
        <v>41</v>
      </c>
      <c r="I727" s="244" t="s">
        <v>643</v>
      </c>
      <c r="J727" s="247">
        <v>1.0</v>
      </c>
      <c r="K727" s="248"/>
      <c r="L727" s="248"/>
      <c r="M727" s="248"/>
      <c r="N727" s="248"/>
      <c r="O727" s="248"/>
      <c r="P727" s="248"/>
      <c r="Q727" s="249"/>
      <c r="R727" s="249"/>
      <c r="S727" s="244" t="s">
        <v>43</v>
      </c>
      <c r="T727" s="244" t="s">
        <v>66</v>
      </c>
      <c r="U727" s="244" t="s">
        <v>99</v>
      </c>
      <c r="V727" s="244" t="s">
        <v>1984</v>
      </c>
      <c r="W727" s="250"/>
      <c r="X727" s="250"/>
      <c r="Y727" s="250"/>
      <c r="Z727" s="250"/>
      <c r="AA727" s="251">
        <v>7400.0</v>
      </c>
      <c r="AB727" s="251">
        <v>25900.0</v>
      </c>
      <c r="AC727" s="24" t="s">
        <v>2337</v>
      </c>
      <c r="AD727" s="195">
        <v>6014.0</v>
      </c>
      <c r="AE727" s="38"/>
      <c r="AF727" s="244" t="str">
        <f t="shared" si="1"/>
        <v>Buenos Aires, Argentina</v>
      </c>
      <c r="AG727" s="244">
        <f t="shared" si="2"/>
        <v>1</v>
      </c>
      <c r="AH727" s="252">
        <f t="shared" si="3"/>
        <v>0</v>
      </c>
      <c r="AI727" s="252">
        <f t="shared" si="4"/>
        <v>0</v>
      </c>
      <c r="AJ727" s="251">
        <f t="shared" si="5"/>
        <v>33300</v>
      </c>
      <c r="AK727" s="251">
        <f t="shared" si="6"/>
        <v>33300</v>
      </c>
      <c r="AL727" s="253"/>
      <c r="AM727" s="253"/>
    </row>
    <row r="728">
      <c r="A728" s="244">
        <v>727.0</v>
      </c>
      <c r="B728" s="245">
        <v>44439.0</v>
      </c>
      <c r="C728" s="195" t="str">
        <f t="shared" si="7"/>
        <v>82021</v>
      </c>
      <c r="D728" s="246" t="s">
        <v>1103</v>
      </c>
      <c r="E728" s="244" t="s">
        <v>1104</v>
      </c>
      <c r="F728" s="246" t="s">
        <v>1423</v>
      </c>
      <c r="G728" s="244" t="s">
        <v>64</v>
      </c>
      <c r="H728" s="244" t="s">
        <v>41</v>
      </c>
      <c r="I728" s="244" t="s">
        <v>643</v>
      </c>
      <c r="J728" s="247">
        <v>1.0</v>
      </c>
      <c r="K728" s="248"/>
      <c r="L728" s="248"/>
      <c r="M728" s="248"/>
      <c r="N728" s="248"/>
      <c r="O728" s="248"/>
      <c r="P728" s="248"/>
      <c r="Q728" s="249"/>
      <c r="R728" s="249"/>
      <c r="S728" s="244" t="s">
        <v>137</v>
      </c>
      <c r="T728" s="244" t="s">
        <v>58</v>
      </c>
      <c r="U728" s="244" t="s">
        <v>99</v>
      </c>
      <c r="V728" s="244" t="s">
        <v>1984</v>
      </c>
      <c r="W728" s="250"/>
      <c r="X728" s="250"/>
      <c r="Y728" s="250"/>
      <c r="Z728" s="250"/>
      <c r="AA728" s="251">
        <v>7400.0</v>
      </c>
      <c r="AB728" s="251">
        <v>29600.0</v>
      </c>
      <c r="AC728" s="24" t="s">
        <v>2338</v>
      </c>
      <c r="AD728" s="195">
        <v>6016.0</v>
      </c>
      <c r="AE728" s="38"/>
      <c r="AF728" s="244" t="str">
        <f t="shared" si="1"/>
        <v>Córdoba, Argentina</v>
      </c>
      <c r="AG728" s="244">
        <f t="shared" si="2"/>
        <v>1</v>
      </c>
      <c r="AH728" s="252">
        <f t="shared" si="3"/>
        <v>0</v>
      </c>
      <c r="AI728" s="252">
        <f t="shared" si="4"/>
        <v>0</v>
      </c>
      <c r="AJ728" s="251">
        <f t="shared" si="5"/>
        <v>37000</v>
      </c>
      <c r="AK728" s="251">
        <f t="shared" si="6"/>
        <v>37000</v>
      </c>
      <c r="AL728" s="253"/>
      <c r="AM728" s="253"/>
    </row>
    <row r="729">
      <c r="A729" s="244">
        <v>728.0</v>
      </c>
      <c r="B729" s="245">
        <v>44439.0</v>
      </c>
      <c r="C729" s="195" t="str">
        <f t="shared" si="7"/>
        <v>82021</v>
      </c>
      <c r="D729" s="246" t="s">
        <v>2339</v>
      </c>
      <c r="E729" s="244" t="s">
        <v>2340</v>
      </c>
      <c r="F729" s="246" t="s">
        <v>2316</v>
      </c>
      <c r="G729" s="244" t="s">
        <v>64</v>
      </c>
      <c r="H729" s="244" t="s">
        <v>41</v>
      </c>
      <c r="I729" s="244" t="s">
        <v>643</v>
      </c>
      <c r="J729" s="247">
        <v>1.0</v>
      </c>
      <c r="K729" s="248"/>
      <c r="L729" s="248"/>
      <c r="M729" s="248"/>
      <c r="N729" s="248"/>
      <c r="O729" s="248"/>
      <c r="P729" s="248"/>
      <c r="Q729" s="249"/>
      <c r="R729" s="249"/>
      <c r="S729" s="244" t="s">
        <v>65</v>
      </c>
      <c r="T729" s="244" t="s">
        <v>66</v>
      </c>
      <c r="U729" s="244" t="s">
        <v>99</v>
      </c>
      <c r="V729" s="244" t="s">
        <v>1984</v>
      </c>
      <c r="W729" s="250"/>
      <c r="X729" s="250"/>
      <c r="Y729" s="250"/>
      <c r="Z729" s="250"/>
      <c r="AA729" s="251">
        <v>7400.0</v>
      </c>
      <c r="AB729" s="251">
        <v>47200.0</v>
      </c>
      <c r="AC729" s="24" t="s">
        <v>2341</v>
      </c>
      <c r="AD729" s="195">
        <v>6026.0</v>
      </c>
      <c r="AE729" s="38"/>
      <c r="AF729" s="244" t="str">
        <f t="shared" si="1"/>
        <v>Buenos Aires, Argentina</v>
      </c>
      <c r="AG729" s="244">
        <f t="shared" si="2"/>
        <v>1</v>
      </c>
      <c r="AH729" s="252">
        <f t="shared" si="3"/>
        <v>0</v>
      </c>
      <c r="AI729" s="252">
        <f t="shared" si="4"/>
        <v>0</v>
      </c>
      <c r="AJ729" s="251">
        <f t="shared" si="5"/>
        <v>54600</v>
      </c>
      <c r="AK729" s="251">
        <f t="shared" si="6"/>
        <v>54600</v>
      </c>
      <c r="AL729" s="253"/>
      <c r="AM729" s="253"/>
    </row>
    <row r="730">
      <c r="A730" s="244">
        <v>729.0</v>
      </c>
      <c r="B730" s="245">
        <v>44439.0</v>
      </c>
      <c r="C730" s="195" t="str">
        <f t="shared" si="7"/>
        <v>82021</v>
      </c>
      <c r="D730" s="246" t="s">
        <v>2342</v>
      </c>
      <c r="E730" s="244" t="s">
        <v>2343</v>
      </c>
      <c r="F730" s="246" t="s">
        <v>2344</v>
      </c>
      <c r="G730" s="244" t="s">
        <v>64</v>
      </c>
      <c r="H730" s="244" t="s">
        <v>41</v>
      </c>
      <c r="I730" s="244" t="s">
        <v>643</v>
      </c>
      <c r="J730" s="248"/>
      <c r="K730" s="248"/>
      <c r="L730" s="248"/>
      <c r="M730" s="247">
        <v>1.0</v>
      </c>
      <c r="N730" s="248"/>
      <c r="O730" s="248"/>
      <c r="P730" s="248"/>
      <c r="Q730" s="249"/>
      <c r="R730" s="249"/>
      <c r="S730" s="244" t="s">
        <v>109</v>
      </c>
      <c r="T730" s="244" t="s">
        <v>58</v>
      </c>
      <c r="U730" s="244" t="s">
        <v>99</v>
      </c>
      <c r="V730" s="244" t="s">
        <v>1984</v>
      </c>
      <c r="W730" s="250"/>
      <c r="X730" s="250"/>
      <c r="Y730" s="250"/>
      <c r="Z730" s="250"/>
      <c r="AA730" s="251">
        <v>7400.0</v>
      </c>
      <c r="AB730" s="251">
        <v>41300.0</v>
      </c>
      <c r="AC730" s="24" t="s">
        <v>2345</v>
      </c>
      <c r="AD730" s="195">
        <v>6028.0</v>
      </c>
      <c r="AE730" s="38"/>
      <c r="AF730" s="244" t="str">
        <f t="shared" si="1"/>
        <v>Córdoba, Argentina</v>
      </c>
      <c r="AG730" s="244">
        <f t="shared" si="2"/>
        <v>1</v>
      </c>
      <c r="AH730" s="252">
        <f t="shared" si="3"/>
        <v>0</v>
      </c>
      <c r="AI730" s="252">
        <f t="shared" si="4"/>
        <v>0</v>
      </c>
      <c r="AJ730" s="251">
        <f t="shared" si="5"/>
        <v>48700</v>
      </c>
      <c r="AK730" s="251">
        <f t="shared" si="6"/>
        <v>48700</v>
      </c>
      <c r="AL730" s="253"/>
      <c r="AM730" s="253"/>
    </row>
    <row r="731">
      <c r="A731" s="244">
        <v>730.0</v>
      </c>
      <c r="B731" s="245">
        <v>44439.0</v>
      </c>
      <c r="C731" s="195" t="str">
        <f t="shared" si="7"/>
        <v>82021</v>
      </c>
      <c r="D731" s="246" t="s">
        <v>2346</v>
      </c>
      <c r="E731" s="244" t="s">
        <v>2347</v>
      </c>
      <c r="F731" s="246" t="s">
        <v>1423</v>
      </c>
      <c r="G731" s="244" t="s">
        <v>64</v>
      </c>
      <c r="H731" s="244" t="s">
        <v>41</v>
      </c>
      <c r="I731" s="244" t="s">
        <v>643</v>
      </c>
      <c r="J731" s="247">
        <v>1.0</v>
      </c>
      <c r="K731" s="248"/>
      <c r="L731" s="248"/>
      <c r="M731" s="248"/>
      <c r="N731" s="248"/>
      <c r="O731" s="248"/>
      <c r="P731" s="248"/>
      <c r="Q731" s="249"/>
      <c r="R731" s="249"/>
      <c r="S731" s="244" t="s">
        <v>105</v>
      </c>
      <c r="T731" s="244" t="s">
        <v>263</v>
      </c>
      <c r="U731" s="244" t="s">
        <v>99</v>
      </c>
      <c r="V731" s="244" t="s">
        <v>1984</v>
      </c>
      <c r="W731" s="250"/>
      <c r="X731" s="250"/>
      <c r="Y731" s="250"/>
      <c r="Z731" s="250"/>
      <c r="AA731" s="251">
        <v>7400.0</v>
      </c>
      <c r="AB731" s="251">
        <v>29600.0</v>
      </c>
      <c r="AC731" s="24" t="s">
        <v>2348</v>
      </c>
      <c r="AD731" s="195">
        <v>6032.0</v>
      </c>
      <c r="AE731" s="38"/>
      <c r="AF731" s="244" t="str">
        <f t="shared" si="1"/>
        <v>Santa Fé, Argentina</v>
      </c>
      <c r="AG731" s="244">
        <f t="shared" si="2"/>
        <v>1</v>
      </c>
      <c r="AH731" s="252">
        <f t="shared" si="3"/>
        <v>0</v>
      </c>
      <c r="AI731" s="252">
        <f t="shared" si="4"/>
        <v>0</v>
      </c>
      <c r="AJ731" s="251">
        <f t="shared" si="5"/>
        <v>37000</v>
      </c>
      <c r="AK731" s="251">
        <f t="shared" si="6"/>
        <v>37000</v>
      </c>
      <c r="AL731" s="253"/>
      <c r="AM731" s="253"/>
    </row>
    <row r="732">
      <c r="A732" s="244">
        <v>731.0</v>
      </c>
      <c r="B732" s="245">
        <v>44439.0</v>
      </c>
      <c r="C732" s="195" t="str">
        <f t="shared" si="7"/>
        <v>82021</v>
      </c>
      <c r="D732" s="246" t="s">
        <v>2349</v>
      </c>
      <c r="E732" s="244" t="s">
        <v>2175</v>
      </c>
      <c r="F732" s="246" t="s">
        <v>1427</v>
      </c>
      <c r="G732" s="244" t="s">
        <v>64</v>
      </c>
      <c r="H732" s="244" t="s">
        <v>41</v>
      </c>
      <c r="I732" s="244" t="s">
        <v>643</v>
      </c>
      <c r="J732" s="248"/>
      <c r="K732" s="247">
        <v>2.0</v>
      </c>
      <c r="L732" s="248"/>
      <c r="M732" s="248"/>
      <c r="N732" s="248"/>
      <c r="O732" s="248"/>
      <c r="P732" s="248"/>
      <c r="Q732" s="249"/>
      <c r="R732" s="249"/>
      <c r="S732" s="244" t="s">
        <v>65</v>
      </c>
      <c r="T732" s="244" t="s">
        <v>66</v>
      </c>
      <c r="U732" s="244" t="s">
        <v>99</v>
      </c>
      <c r="V732" s="244" t="s">
        <v>1984</v>
      </c>
      <c r="W732" s="250"/>
      <c r="X732" s="250"/>
      <c r="Y732" s="250"/>
      <c r="Z732" s="250"/>
      <c r="AA732" s="251">
        <v>9324.0</v>
      </c>
      <c r="AB732" s="251">
        <v>37296.0</v>
      </c>
      <c r="AC732" s="24" t="s">
        <v>2350</v>
      </c>
      <c r="AD732" s="195">
        <v>6044.0</v>
      </c>
      <c r="AE732" s="38"/>
      <c r="AF732" s="244" t="str">
        <f t="shared" si="1"/>
        <v>Buenos Aires, Argentina</v>
      </c>
      <c r="AG732" s="244">
        <f t="shared" si="2"/>
        <v>2</v>
      </c>
      <c r="AH732" s="252">
        <f t="shared" si="3"/>
        <v>0</v>
      </c>
      <c r="AI732" s="252">
        <f t="shared" si="4"/>
        <v>0</v>
      </c>
      <c r="AJ732" s="251">
        <f t="shared" si="5"/>
        <v>46620</v>
      </c>
      <c r="AK732" s="251">
        <f t="shared" si="6"/>
        <v>46620</v>
      </c>
      <c r="AL732" s="253"/>
      <c r="AM732" s="253"/>
    </row>
    <row r="733">
      <c r="A733" s="256">
        <v>732.0</v>
      </c>
      <c r="B733" s="257">
        <v>44441.0</v>
      </c>
      <c r="C733" s="195" t="str">
        <f t="shared" si="7"/>
        <v>92021</v>
      </c>
      <c r="D733" s="258" t="s">
        <v>1895</v>
      </c>
      <c r="E733" s="256" t="s">
        <v>1896</v>
      </c>
      <c r="F733" s="258" t="s">
        <v>1412</v>
      </c>
      <c r="G733" s="256" t="s">
        <v>64</v>
      </c>
      <c r="H733" s="256" t="s">
        <v>41</v>
      </c>
      <c r="I733" s="256" t="s">
        <v>643</v>
      </c>
      <c r="J733" s="259">
        <v>2.0</v>
      </c>
      <c r="K733" s="260"/>
      <c r="L733" s="260"/>
      <c r="M733" s="260"/>
      <c r="N733" s="260"/>
      <c r="O733" s="260"/>
      <c r="P733" s="260"/>
      <c r="Q733" s="261"/>
      <c r="R733" s="261"/>
      <c r="S733" s="256" t="s">
        <v>65</v>
      </c>
      <c r="T733" s="256" t="s">
        <v>83</v>
      </c>
      <c r="U733" s="256" t="s">
        <v>99</v>
      </c>
      <c r="V733" s="256" t="s">
        <v>1984</v>
      </c>
      <c r="W733" s="262"/>
      <c r="X733" s="262"/>
      <c r="Y733" s="262"/>
      <c r="Z733" s="262"/>
      <c r="AA733" s="263">
        <v>15200.0</v>
      </c>
      <c r="AB733" s="263">
        <v>68400.0</v>
      </c>
      <c r="AC733" s="24" t="s">
        <v>2351</v>
      </c>
      <c r="AD733" s="195">
        <v>6060.0</v>
      </c>
      <c r="AE733" s="38"/>
      <c r="AF733" s="256" t="str">
        <f t="shared" si="1"/>
        <v>Capital Federal, Argentina</v>
      </c>
      <c r="AG733" s="256">
        <f t="shared" si="2"/>
        <v>2</v>
      </c>
      <c r="AH733" s="264">
        <f t="shared" si="3"/>
        <v>0</v>
      </c>
      <c r="AI733" s="264">
        <f t="shared" si="4"/>
        <v>0</v>
      </c>
      <c r="AJ733" s="263">
        <f t="shared" si="5"/>
        <v>83600</v>
      </c>
      <c r="AK733" s="263">
        <f t="shared" si="6"/>
        <v>83600</v>
      </c>
      <c r="AL733" s="265"/>
      <c r="AM733" s="265"/>
    </row>
    <row r="734">
      <c r="A734" s="256">
        <v>733.0</v>
      </c>
      <c r="B734" s="257">
        <v>44445.0</v>
      </c>
      <c r="C734" s="195" t="str">
        <f t="shared" si="7"/>
        <v>92021</v>
      </c>
      <c r="D734" s="258" t="s">
        <v>2352</v>
      </c>
      <c r="E734" s="256" t="s">
        <v>2353</v>
      </c>
      <c r="F734" s="258" t="s">
        <v>2141</v>
      </c>
      <c r="G734" s="256" t="s">
        <v>40</v>
      </c>
      <c r="H734" s="256" t="s">
        <v>41</v>
      </c>
      <c r="I734" s="256" t="s">
        <v>643</v>
      </c>
      <c r="J734" s="259">
        <v>1.0</v>
      </c>
      <c r="K734" s="259">
        <v>1.0</v>
      </c>
      <c r="L734" s="260"/>
      <c r="M734" s="259">
        <v>1.0</v>
      </c>
      <c r="N734" s="260"/>
      <c r="O734" s="260"/>
      <c r="P734" s="260"/>
      <c r="Q734" s="261"/>
      <c r="R734" s="261"/>
      <c r="S734" s="256" t="s">
        <v>65</v>
      </c>
      <c r="T734" s="256" t="s">
        <v>58</v>
      </c>
      <c r="U734" s="256" t="s">
        <v>342</v>
      </c>
      <c r="V734" s="256" t="s">
        <v>1984</v>
      </c>
      <c r="W734" s="262"/>
      <c r="X734" s="262"/>
      <c r="Y734" s="262"/>
      <c r="Z734" s="262"/>
      <c r="AA734" s="263">
        <v>20634.0</v>
      </c>
      <c r="AB734" s="263">
        <v>72219.0</v>
      </c>
      <c r="AC734" s="24" t="s">
        <v>2354</v>
      </c>
      <c r="AD734" s="195">
        <v>6072.0</v>
      </c>
      <c r="AE734" s="38"/>
      <c r="AF734" s="256" t="str">
        <f t="shared" si="1"/>
        <v>Córdoba, Argentina</v>
      </c>
      <c r="AG734" s="256">
        <f t="shared" si="2"/>
        <v>3</v>
      </c>
      <c r="AH734" s="264">
        <f t="shared" si="3"/>
        <v>0</v>
      </c>
      <c r="AI734" s="264">
        <f t="shared" si="4"/>
        <v>0</v>
      </c>
      <c r="AJ734" s="263">
        <f t="shared" si="5"/>
        <v>92853</v>
      </c>
      <c r="AK734" s="263">
        <f t="shared" si="6"/>
        <v>92853</v>
      </c>
      <c r="AL734" s="265"/>
      <c r="AM734" s="265"/>
    </row>
    <row r="735">
      <c r="A735" s="256">
        <v>734.0</v>
      </c>
      <c r="B735" s="257">
        <v>44445.0</v>
      </c>
      <c r="C735" s="195" t="str">
        <f t="shared" si="7"/>
        <v>92021</v>
      </c>
      <c r="D735" s="258" t="s">
        <v>1961</v>
      </c>
      <c r="E735" s="256" t="s">
        <v>1962</v>
      </c>
      <c r="F735" s="258" t="s">
        <v>1423</v>
      </c>
      <c r="G735" s="256" t="s">
        <v>64</v>
      </c>
      <c r="H735" s="256" t="s">
        <v>227</v>
      </c>
      <c r="I735" s="256" t="s">
        <v>643</v>
      </c>
      <c r="J735" s="259">
        <v>1.0</v>
      </c>
      <c r="K735" s="260"/>
      <c r="L735" s="260"/>
      <c r="M735" s="260"/>
      <c r="N735" s="260"/>
      <c r="O735" s="260"/>
      <c r="P735" s="260"/>
      <c r="Q735" s="261"/>
      <c r="R735" s="261"/>
      <c r="S735" s="256" t="s">
        <v>89</v>
      </c>
      <c r="T735" s="256" t="s">
        <v>83</v>
      </c>
      <c r="U735" s="256" t="s">
        <v>67</v>
      </c>
      <c r="V735" s="256" t="s">
        <v>84</v>
      </c>
      <c r="W735" s="262"/>
      <c r="X735" s="262"/>
      <c r="Y735" s="262"/>
      <c r="Z735" s="262"/>
      <c r="AA735" s="263">
        <v>11400.0</v>
      </c>
      <c r="AB735" s="263">
        <v>96558.0</v>
      </c>
      <c r="AC735" s="24" t="s">
        <v>2355</v>
      </c>
      <c r="AD735" s="195">
        <v>6076.0</v>
      </c>
      <c r="AE735" s="38"/>
      <c r="AF735" s="256" t="str">
        <f t="shared" si="1"/>
        <v>Capital Federal, Argentina</v>
      </c>
      <c r="AG735" s="256">
        <f t="shared" si="2"/>
        <v>1</v>
      </c>
      <c r="AH735" s="264">
        <f t="shared" si="3"/>
        <v>0</v>
      </c>
      <c r="AI735" s="264">
        <f t="shared" si="4"/>
        <v>0</v>
      </c>
      <c r="AJ735" s="263">
        <f t="shared" si="5"/>
        <v>107958</v>
      </c>
      <c r="AK735" s="263">
        <f t="shared" si="6"/>
        <v>107958</v>
      </c>
      <c r="AL735" s="265"/>
      <c r="AM735" s="265"/>
    </row>
    <row r="736">
      <c r="A736" s="256">
        <v>735.0</v>
      </c>
      <c r="B736" s="257">
        <v>44445.0</v>
      </c>
      <c r="C736" s="195" t="str">
        <f t="shared" si="7"/>
        <v>92021</v>
      </c>
      <c r="D736" s="258" t="s">
        <v>1976</v>
      </c>
      <c r="E736" s="256" t="s">
        <v>1977</v>
      </c>
      <c r="F736" s="258" t="s">
        <v>1423</v>
      </c>
      <c r="G736" s="256" t="s">
        <v>64</v>
      </c>
      <c r="H736" s="256" t="s">
        <v>41</v>
      </c>
      <c r="I736" s="256" t="s">
        <v>643</v>
      </c>
      <c r="J736" s="259">
        <v>1.0</v>
      </c>
      <c r="K736" s="260"/>
      <c r="L736" s="260"/>
      <c r="M736" s="260"/>
      <c r="N736" s="260"/>
      <c r="O736" s="260"/>
      <c r="P736" s="260"/>
      <c r="Q736" s="261"/>
      <c r="R736" s="261"/>
      <c r="S736" s="256" t="s">
        <v>98</v>
      </c>
      <c r="T736" s="256" t="s">
        <v>83</v>
      </c>
      <c r="U736" s="256" t="s">
        <v>99</v>
      </c>
      <c r="V736" s="256" t="s">
        <v>1984</v>
      </c>
      <c r="W736" s="262"/>
      <c r="X736" s="262"/>
      <c r="Y736" s="262"/>
      <c r="Z736" s="262"/>
      <c r="AA736" s="263">
        <v>7600.0</v>
      </c>
      <c r="AB736" s="263">
        <v>34200.0</v>
      </c>
      <c r="AC736" s="24" t="s">
        <v>2356</v>
      </c>
      <c r="AD736" s="195">
        <v>6082.0</v>
      </c>
      <c r="AE736" s="38"/>
      <c r="AF736" s="256" t="str">
        <f t="shared" si="1"/>
        <v>Capital Federal, Argentina</v>
      </c>
      <c r="AG736" s="256">
        <f t="shared" si="2"/>
        <v>1</v>
      </c>
      <c r="AH736" s="264">
        <f t="shared" si="3"/>
        <v>0</v>
      </c>
      <c r="AI736" s="264">
        <f t="shared" si="4"/>
        <v>0</v>
      </c>
      <c r="AJ736" s="263">
        <f t="shared" si="5"/>
        <v>41800</v>
      </c>
      <c r="AK736" s="263">
        <f t="shared" si="6"/>
        <v>41800</v>
      </c>
      <c r="AL736" s="265"/>
      <c r="AM736" s="265"/>
    </row>
    <row r="737">
      <c r="A737" s="256">
        <v>736.0</v>
      </c>
      <c r="B737" s="257">
        <v>44446.0</v>
      </c>
      <c r="C737" s="195" t="str">
        <f t="shared" si="7"/>
        <v>92021</v>
      </c>
      <c r="D737" s="258" t="s">
        <v>2159</v>
      </c>
      <c r="E737" s="256" t="s">
        <v>2160</v>
      </c>
      <c r="F737" s="258" t="s">
        <v>2357</v>
      </c>
      <c r="G737" s="256" t="s">
        <v>64</v>
      </c>
      <c r="H737" s="256" t="s">
        <v>41</v>
      </c>
      <c r="I737" s="256" t="s">
        <v>643</v>
      </c>
      <c r="J737" s="260"/>
      <c r="K737" s="260"/>
      <c r="L737" s="260"/>
      <c r="M737" s="260"/>
      <c r="N737" s="260"/>
      <c r="O737" s="260"/>
      <c r="P737" s="260"/>
      <c r="Q737" s="261"/>
      <c r="R737" s="261"/>
      <c r="S737" s="256" t="s">
        <v>72</v>
      </c>
      <c r="T737" s="256" t="s">
        <v>66</v>
      </c>
      <c r="U737" s="256" t="s">
        <v>99</v>
      </c>
      <c r="V737" s="256" t="s">
        <v>1984</v>
      </c>
      <c r="W737" s="262"/>
      <c r="X737" s="262"/>
      <c r="Y737" s="262"/>
      <c r="Z737" s="262"/>
      <c r="AA737" s="263">
        <v>0.0</v>
      </c>
      <c r="AB737" s="263">
        <v>6080.0</v>
      </c>
      <c r="AC737" s="24" t="s">
        <v>2358</v>
      </c>
      <c r="AD737" s="195">
        <v>6090.0</v>
      </c>
      <c r="AE737" s="38"/>
      <c r="AF737" s="256" t="str">
        <f t="shared" si="1"/>
        <v>Buenos Aires, Argentina</v>
      </c>
      <c r="AG737" s="256">
        <f t="shared" si="2"/>
        <v>0</v>
      </c>
      <c r="AH737" s="264">
        <f t="shared" si="3"/>
        <v>0</v>
      </c>
      <c r="AI737" s="264">
        <f t="shared" si="4"/>
        <v>0</v>
      </c>
      <c r="AJ737" s="263">
        <f t="shared" si="5"/>
        <v>6080</v>
      </c>
      <c r="AK737" s="263">
        <f t="shared" si="6"/>
        <v>6080</v>
      </c>
      <c r="AL737" s="265"/>
      <c r="AM737" s="265"/>
    </row>
    <row r="738">
      <c r="A738" s="256">
        <v>737.0</v>
      </c>
      <c r="B738" s="257">
        <v>44446.0</v>
      </c>
      <c r="C738" s="195" t="str">
        <f t="shared" si="7"/>
        <v>92021</v>
      </c>
      <c r="D738" s="258" t="s">
        <v>2359</v>
      </c>
      <c r="E738" s="256" t="s">
        <v>2360</v>
      </c>
      <c r="F738" s="258" t="s">
        <v>2361</v>
      </c>
      <c r="G738" s="256" t="s">
        <v>64</v>
      </c>
      <c r="H738" s="256" t="s">
        <v>41</v>
      </c>
      <c r="I738" s="256" t="s">
        <v>643</v>
      </c>
      <c r="J738" s="260"/>
      <c r="K738" s="260"/>
      <c r="L738" s="260"/>
      <c r="M738" s="260"/>
      <c r="N738" s="260"/>
      <c r="O738" s="260"/>
      <c r="P738" s="260"/>
      <c r="Q738" s="261"/>
      <c r="R738" s="261"/>
      <c r="S738" s="256" t="s">
        <v>65</v>
      </c>
      <c r="T738" s="256" t="s">
        <v>83</v>
      </c>
      <c r="U738" s="256" t="s">
        <v>99</v>
      </c>
      <c r="V738" s="256" t="s">
        <v>84</v>
      </c>
      <c r="W738" s="262"/>
      <c r="X738" s="262"/>
      <c r="Y738" s="262"/>
      <c r="Z738" s="262"/>
      <c r="AA738" s="263">
        <v>0.0</v>
      </c>
      <c r="AB738" s="263">
        <v>76000.0</v>
      </c>
      <c r="AC738" s="24" t="s">
        <v>2362</v>
      </c>
      <c r="AD738" s="195">
        <v>6092.0</v>
      </c>
      <c r="AE738" s="38"/>
      <c r="AF738" s="256" t="str">
        <f t="shared" si="1"/>
        <v>Capital Federal, Argentina</v>
      </c>
      <c r="AG738" s="256">
        <f t="shared" si="2"/>
        <v>0</v>
      </c>
      <c r="AH738" s="264">
        <f t="shared" si="3"/>
        <v>0</v>
      </c>
      <c r="AI738" s="264">
        <f t="shared" si="4"/>
        <v>0</v>
      </c>
      <c r="AJ738" s="263">
        <f t="shared" si="5"/>
        <v>76000</v>
      </c>
      <c r="AK738" s="263">
        <f t="shared" si="6"/>
        <v>76000</v>
      </c>
      <c r="AL738" s="265"/>
      <c r="AM738" s="265"/>
    </row>
    <row r="739">
      <c r="A739" s="256">
        <v>738.0</v>
      </c>
      <c r="B739" s="257">
        <v>44447.0</v>
      </c>
      <c r="C739" s="195" t="str">
        <f t="shared" si="7"/>
        <v>92021</v>
      </c>
      <c r="D739" s="258" t="s">
        <v>1869</v>
      </c>
      <c r="E739" s="256" t="s">
        <v>1870</v>
      </c>
      <c r="F739" s="258" t="s">
        <v>2363</v>
      </c>
      <c r="G739" s="256" t="s">
        <v>64</v>
      </c>
      <c r="H739" s="256" t="s">
        <v>41</v>
      </c>
      <c r="I739" s="256" t="s">
        <v>643</v>
      </c>
      <c r="J739" s="260"/>
      <c r="K739" s="260"/>
      <c r="L739" s="260"/>
      <c r="M739" s="259">
        <v>1.0</v>
      </c>
      <c r="N739" s="260"/>
      <c r="O739" s="260"/>
      <c r="P739" s="260"/>
      <c r="Q739" s="261"/>
      <c r="R739" s="261"/>
      <c r="S739" s="256" t="s">
        <v>114</v>
      </c>
      <c r="T739" s="256" t="s">
        <v>83</v>
      </c>
      <c r="U739" s="256" t="s">
        <v>99</v>
      </c>
      <c r="V739" s="256" t="s">
        <v>84</v>
      </c>
      <c r="W739" s="262"/>
      <c r="X739" s="262"/>
      <c r="Y739" s="262"/>
      <c r="Z739" s="262"/>
      <c r="AA739" s="263">
        <v>7600.0</v>
      </c>
      <c r="AB739" s="263">
        <v>34200.0</v>
      </c>
      <c r="AC739" s="24" t="s">
        <v>2364</v>
      </c>
      <c r="AD739" s="195">
        <v>6106.0</v>
      </c>
      <c r="AE739" s="38"/>
      <c r="AF739" s="256" t="str">
        <f t="shared" si="1"/>
        <v>Capital Federal, Argentina</v>
      </c>
      <c r="AG739" s="256">
        <f t="shared" si="2"/>
        <v>1</v>
      </c>
      <c r="AH739" s="264">
        <f t="shared" si="3"/>
        <v>0</v>
      </c>
      <c r="AI739" s="264">
        <f t="shared" si="4"/>
        <v>0</v>
      </c>
      <c r="AJ739" s="263">
        <f t="shared" si="5"/>
        <v>41800</v>
      </c>
      <c r="AK739" s="263">
        <f t="shared" si="6"/>
        <v>41800</v>
      </c>
      <c r="AL739" s="265"/>
      <c r="AM739" s="265"/>
    </row>
    <row r="740">
      <c r="A740" s="256">
        <v>739.0</v>
      </c>
      <c r="B740" s="257">
        <v>44447.0</v>
      </c>
      <c r="C740" s="195" t="str">
        <f t="shared" si="7"/>
        <v>92021</v>
      </c>
      <c r="D740" s="258" t="s">
        <v>2365</v>
      </c>
      <c r="E740" s="256" t="s">
        <v>2366</v>
      </c>
      <c r="F740" s="258" t="s">
        <v>1474</v>
      </c>
      <c r="G740" s="256" t="s">
        <v>64</v>
      </c>
      <c r="H740" s="256" t="s">
        <v>41</v>
      </c>
      <c r="I740" s="256" t="s">
        <v>643</v>
      </c>
      <c r="J740" s="259">
        <v>3.0</v>
      </c>
      <c r="K740" s="260"/>
      <c r="L740" s="260"/>
      <c r="M740" s="260"/>
      <c r="N740" s="260"/>
      <c r="O740" s="260"/>
      <c r="P740" s="260"/>
      <c r="Q740" s="261"/>
      <c r="R740" s="261"/>
      <c r="S740" s="256" t="s">
        <v>65</v>
      </c>
      <c r="T740" s="256" t="s">
        <v>83</v>
      </c>
      <c r="U740" s="256" t="s">
        <v>99</v>
      </c>
      <c r="V740" s="256" t="s">
        <v>1984</v>
      </c>
      <c r="W740" s="262"/>
      <c r="X740" s="262"/>
      <c r="Y740" s="262"/>
      <c r="Z740" s="262"/>
      <c r="AA740" s="263">
        <v>22800.0</v>
      </c>
      <c r="AB740" s="263">
        <v>91200.0</v>
      </c>
      <c r="AC740" s="24" t="s">
        <v>2367</v>
      </c>
      <c r="AD740" s="195">
        <v>6098.0</v>
      </c>
      <c r="AE740" s="38"/>
      <c r="AF740" s="256" t="str">
        <f t="shared" si="1"/>
        <v>Capital Federal, Argentina</v>
      </c>
      <c r="AG740" s="256">
        <f t="shared" si="2"/>
        <v>3</v>
      </c>
      <c r="AH740" s="264">
        <f t="shared" si="3"/>
        <v>0</v>
      </c>
      <c r="AI740" s="264">
        <f t="shared" si="4"/>
        <v>0</v>
      </c>
      <c r="AJ740" s="263">
        <f t="shared" si="5"/>
        <v>114000</v>
      </c>
      <c r="AK740" s="263">
        <f t="shared" si="6"/>
        <v>114000</v>
      </c>
      <c r="AL740" s="265"/>
      <c r="AM740" s="265"/>
    </row>
    <row r="741">
      <c r="A741" s="256">
        <v>740.0</v>
      </c>
      <c r="B741" s="257">
        <v>44449.0</v>
      </c>
      <c r="C741" s="195" t="str">
        <f t="shared" si="7"/>
        <v>92021</v>
      </c>
      <c r="D741" s="258" t="s">
        <v>2278</v>
      </c>
      <c r="E741" s="256" t="s">
        <v>2028</v>
      </c>
      <c r="F741" s="258" t="s">
        <v>1415</v>
      </c>
      <c r="G741" s="256" t="s">
        <v>64</v>
      </c>
      <c r="H741" s="256" t="s">
        <v>41</v>
      </c>
      <c r="I741" s="256" t="s">
        <v>643</v>
      </c>
      <c r="J741" s="260"/>
      <c r="K741" s="259">
        <v>1.0</v>
      </c>
      <c r="L741" s="260"/>
      <c r="M741" s="260"/>
      <c r="N741" s="260"/>
      <c r="O741" s="260"/>
      <c r="P741" s="260"/>
      <c r="Q741" s="261"/>
      <c r="R741" s="261"/>
      <c r="S741" s="256" t="s">
        <v>137</v>
      </c>
      <c r="T741" s="256" t="s">
        <v>73</v>
      </c>
      <c r="U741" s="256" t="s">
        <v>99</v>
      </c>
      <c r="V741" s="256" t="s">
        <v>1984</v>
      </c>
      <c r="W741" s="262"/>
      <c r="X741" s="262"/>
      <c r="Y741" s="262"/>
      <c r="Z741" s="262"/>
      <c r="AA741" s="263">
        <v>5434.0</v>
      </c>
      <c r="AB741" s="263">
        <v>24453.0</v>
      </c>
      <c r="AC741" s="24" t="s">
        <v>2368</v>
      </c>
      <c r="AD741" s="195">
        <v>6114.0</v>
      </c>
      <c r="AE741" s="38"/>
      <c r="AF741" s="256" t="str">
        <f t="shared" si="1"/>
        <v>Tierra de Fuego, Argentina</v>
      </c>
      <c r="AG741" s="256">
        <f t="shared" si="2"/>
        <v>1</v>
      </c>
      <c r="AH741" s="264">
        <f t="shared" si="3"/>
        <v>0</v>
      </c>
      <c r="AI741" s="264">
        <f t="shared" si="4"/>
        <v>0</v>
      </c>
      <c r="AJ741" s="263">
        <f t="shared" si="5"/>
        <v>29887</v>
      </c>
      <c r="AK741" s="263">
        <f t="shared" si="6"/>
        <v>29887</v>
      </c>
      <c r="AL741" s="265"/>
      <c r="AM741" s="265"/>
    </row>
    <row r="742">
      <c r="A742" s="256">
        <v>741.0</v>
      </c>
      <c r="B742" s="257">
        <v>44449.0</v>
      </c>
      <c r="C742" s="195" t="str">
        <f t="shared" si="7"/>
        <v>92021</v>
      </c>
      <c r="D742" s="258" t="s">
        <v>1821</v>
      </c>
      <c r="E742" s="256" t="s">
        <v>1822</v>
      </c>
      <c r="F742" s="258" t="s">
        <v>1423</v>
      </c>
      <c r="G742" s="256" t="s">
        <v>64</v>
      </c>
      <c r="H742" s="256" t="s">
        <v>41</v>
      </c>
      <c r="I742" s="256" t="s">
        <v>643</v>
      </c>
      <c r="J742" s="259">
        <v>1.0</v>
      </c>
      <c r="K742" s="260"/>
      <c r="L742" s="260"/>
      <c r="M742" s="260"/>
      <c r="N742" s="260"/>
      <c r="O742" s="260"/>
      <c r="P742" s="260"/>
      <c r="Q742" s="261"/>
      <c r="R742" s="261"/>
      <c r="S742" s="256" t="s">
        <v>65</v>
      </c>
      <c r="T742" s="256" t="s">
        <v>66</v>
      </c>
      <c r="U742" s="256" t="s">
        <v>99</v>
      </c>
      <c r="V742" s="256" t="s">
        <v>1984</v>
      </c>
      <c r="W742" s="262"/>
      <c r="X742" s="262"/>
      <c r="Y742" s="262"/>
      <c r="Z742" s="262"/>
      <c r="AA742" s="263">
        <v>6840.0</v>
      </c>
      <c r="AB742" s="263">
        <v>27360.0</v>
      </c>
      <c r="AC742" s="24" t="s">
        <v>2369</v>
      </c>
      <c r="AD742" s="195">
        <v>6118.0</v>
      </c>
      <c r="AE742" s="38"/>
      <c r="AF742" s="256" t="str">
        <f t="shared" si="1"/>
        <v>Buenos Aires, Argentina</v>
      </c>
      <c r="AG742" s="256">
        <f t="shared" si="2"/>
        <v>1</v>
      </c>
      <c r="AH742" s="264">
        <f t="shared" si="3"/>
        <v>0</v>
      </c>
      <c r="AI742" s="264">
        <f t="shared" si="4"/>
        <v>0</v>
      </c>
      <c r="AJ742" s="263">
        <f t="shared" si="5"/>
        <v>34200</v>
      </c>
      <c r="AK742" s="263">
        <f t="shared" si="6"/>
        <v>34200</v>
      </c>
      <c r="AL742" s="265"/>
      <c r="AM742" s="265"/>
    </row>
    <row r="743">
      <c r="A743" s="256">
        <v>742.0</v>
      </c>
      <c r="B743" s="257">
        <v>44449.0</v>
      </c>
      <c r="C743" s="195" t="str">
        <f t="shared" si="7"/>
        <v>92021</v>
      </c>
      <c r="D743" s="258" t="s">
        <v>2370</v>
      </c>
      <c r="E743" s="256" t="s">
        <v>2371</v>
      </c>
      <c r="F743" s="258" t="s">
        <v>2248</v>
      </c>
      <c r="G743" s="256" t="s">
        <v>64</v>
      </c>
      <c r="H743" s="256" t="s">
        <v>41</v>
      </c>
      <c r="I743" s="256" t="s">
        <v>643</v>
      </c>
      <c r="J743" s="260"/>
      <c r="K743" s="260"/>
      <c r="L743" s="260"/>
      <c r="M743" s="260"/>
      <c r="N743" s="260"/>
      <c r="O743" s="260"/>
      <c r="P743" s="260"/>
      <c r="Q743" s="261"/>
      <c r="R743" s="261"/>
      <c r="S743" s="256" t="s">
        <v>65</v>
      </c>
      <c r="T743" s="256" t="s">
        <v>66</v>
      </c>
      <c r="U743" s="256" t="s">
        <v>99</v>
      </c>
      <c r="V743" s="256" t="s">
        <v>1984</v>
      </c>
      <c r="W743" s="262"/>
      <c r="X743" s="262"/>
      <c r="Y743" s="262"/>
      <c r="Z743" s="262"/>
      <c r="AA743" s="263">
        <v>0.0</v>
      </c>
      <c r="AB743" s="263">
        <v>21280.0</v>
      </c>
      <c r="AC743" s="24" t="s">
        <v>2372</v>
      </c>
      <c r="AD743" s="195">
        <v>6122.0</v>
      </c>
      <c r="AE743" s="38"/>
      <c r="AF743" s="256" t="str">
        <f t="shared" si="1"/>
        <v>Buenos Aires, Argentina</v>
      </c>
      <c r="AG743" s="256">
        <f t="shared" si="2"/>
        <v>0</v>
      </c>
      <c r="AH743" s="264">
        <f t="shared" si="3"/>
        <v>0</v>
      </c>
      <c r="AI743" s="264">
        <f t="shared" si="4"/>
        <v>0</v>
      </c>
      <c r="AJ743" s="263">
        <f t="shared" si="5"/>
        <v>21280</v>
      </c>
      <c r="AK743" s="263">
        <f t="shared" si="6"/>
        <v>21280</v>
      </c>
      <c r="AL743" s="265"/>
      <c r="AM743" s="265"/>
    </row>
    <row r="744">
      <c r="A744" s="256">
        <v>743.0</v>
      </c>
      <c r="B744" s="257">
        <v>44453.0</v>
      </c>
      <c r="C744" s="195" t="str">
        <f t="shared" si="7"/>
        <v>92021</v>
      </c>
      <c r="D744" s="258" t="s">
        <v>1982</v>
      </c>
      <c r="E744" s="256" t="s">
        <v>1983</v>
      </c>
      <c r="F744" s="258" t="s">
        <v>1423</v>
      </c>
      <c r="G744" s="256" t="s">
        <v>64</v>
      </c>
      <c r="H744" s="256" t="s">
        <v>41</v>
      </c>
      <c r="I744" s="256" t="s">
        <v>643</v>
      </c>
      <c r="J744" s="259">
        <v>1.0</v>
      </c>
      <c r="K744" s="260"/>
      <c r="L744" s="260"/>
      <c r="M744" s="260"/>
      <c r="N744" s="260"/>
      <c r="O744" s="260"/>
      <c r="P744" s="260"/>
      <c r="Q744" s="261"/>
      <c r="R744" s="261"/>
      <c r="S744" s="256" t="s">
        <v>65</v>
      </c>
      <c r="T744" s="256" t="s">
        <v>66</v>
      </c>
      <c r="U744" s="256" t="s">
        <v>99</v>
      </c>
      <c r="V744" s="256" t="s">
        <v>1984</v>
      </c>
      <c r="W744" s="262"/>
      <c r="X744" s="262"/>
      <c r="Y744" s="262"/>
      <c r="Z744" s="262"/>
      <c r="AA744" s="263">
        <v>7600.0</v>
      </c>
      <c r="AB744" s="263">
        <v>26600.0</v>
      </c>
      <c r="AC744" s="24" t="s">
        <v>2373</v>
      </c>
      <c r="AD744" s="195">
        <v>6132.0</v>
      </c>
      <c r="AE744" s="38"/>
      <c r="AF744" s="256" t="str">
        <f t="shared" si="1"/>
        <v>Buenos Aires, Argentina</v>
      </c>
      <c r="AG744" s="256">
        <f t="shared" si="2"/>
        <v>1</v>
      </c>
      <c r="AH744" s="264">
        <f t="shared" si="3"/>
        <v>0</v>
      </c>
      <c r="AI744" s="264">
        <f t="shared" si="4"/>
        <v>0</v>
      </c>
      <c r="AJ744" s="263">
        <f t="shared" si="5"/>
        <v>34200</v>
      </c>
      <c r="AK744" s="263">
        <f t="shared" si="6"/>
        <v>34200</v>
      </c>
      <c r="AL744" s="265"/>
      <c r="AM744" s="265"/>
    </row>
    <row r="745">
      <c r="A745" s="256">
        <v>744.0</v>
      </c>
      <c r="B745" s="257">
        <v>44455.0</v>
      </c>
      <c r="C745" s="195" t="str">
        <f t="shared" si="7"/>
        <v>92021</v>
      </c>
      <c r="D745" s="258" t="s">
        <v>1872</v>
      </c>
      <c r="E745" s="256" t="s">
        <v>1873</v>
      </c>
      <c r="F745" s="258" t="s">
        <v>1412</v>
      </c>
      <c r="G745" s="256" t="s">
        <v>64</v>
      </c>
      <c r="H745" s="256" t="s">
        <v>41</v>
      </c>
      <c r="I745" s="256" t="s">
        <v>643</v>
      </c>
      <c r="J745" s="259">
        <v>2.0</v>
      </c>
      <c r="K745" s="260"/>
      <c r="L745" s="260"/>
      <c r="M745" s="260"/>
      <c r="N745" s="260"/>
      <c r="O745" s="260"/>
      <c r="P745" s="260"/>
      <c r="Q745" s="261"/>
      <c r="R745" s="261"/>
      <c r="S745" s="256" t="s">
        <v>189</v>
      </c>
      <c r="T745" s="256" t="s">
        <v>66</v>
      </c>
      <c r="U745" s="256" t="s">
        <v>99</v>
      </c>
      <c r="V745" s="256" t="s">
        <v>1984</v>
      </c>
      <c r="W745" s="262"/>
      <c r="X745" s="262"/>
      <c r="Y745" s="262"/>
      <c r="Z745" s="262"/>
      <c r="AA745" s="263">
        <v>15200.0</v>
      </c>
      <c r="AB745" s="263">
        <v>60800.0</v>
      </c>
      <c r="AC745" s="24" t="s">
        <v>2374</v>
      </c>
      <c r="AD745" s="195">
        <v>6138.0</v>
      </c>
      <c r="AE745" s="38"/>
      <c r="AF745" s="256" t="str">
        <f t="shared" si="1"/>
        <v>Buenos Aires, Argentina</v>
      </c>
      <c r="AG745" s="256">
        <f t="shared" si="2"/>
        <v>2</v>
      </c>
      <c r="AH745" s="264">
        <f t="shared" si="3"/>
        <v>0</v>
      </c>
      <c r="AI745" s="264">
        <f t="shared" si="4"/>
        <v>0</v>
      </c>
      <c r="AJ745" s="263">
        <f t="shared" si="5"/>
        <v>76000</v>
      </c>
      <c r="AK745" s="263">
        <f t="shared" si="6"/>
        <v>76000</v>
      </c>
      <c r="AL745" s="265"/>
      <c r="AM745" s="265"/>
    </row>
    <row r="746">
      <c r="A746" s="256">
        <v>745.0</v>
      </c>
      <c r="B746" s="257">
        <v>44459.0</v>
      </c>
      <c r="C746" s="195" t="str">
        <f t="shared" si="7"/>
        <v>92021</v>
      </c>
      <c r="D746" s="258" t="s">
        <v>1931</v>
      </c>
      <c r="E746" s="256" t="s">
        <v>1932</v>
      </c>
      <c r="F746" s="258" t="s">
        <v>1463</v>
      </c>
      <c r="G746" s="256" t="s">
        <v>64</v>
      </c>
      <c r="H746" s="256" t="s">
        <v>41</v>
      </c>
      <c r="I746" s="256" t="s">
        <v>643</v>
      </c>
      <c r="J746" s="259">
        <v>1.0</v>
      </c>
      <c r="K746" s="259">
        <v>2.0</v>
      </c>
      <c r="L746" s="260"/>
      <c r="M746" s="260"/>
      <c r="N746" s="260"/>
      <c r="O746" s="260"/>
      <c r="P746" s="260"/>
      <c r="Q746" s="261"/>
      <c r="R746" s="261"/>
      <c r="S746" s="256" t="s">
        <v>105</v>
      </c>
      <c r="T746" s="256" t="s">
        <v>497</v>
      </c>
      <c r="U746" s="256" t="s">
        <v>99</v>
      </c>
      <c r="V746" s="256" t="s">
        <v>1984</v>
      </c>
      <c r="W746" s="262"/>
      <c r="X746" s="262"/>
      <c r="Y746" s="262"/>
      <c r="Z746" s="262"/>
      <c r="AA746" s="263">
        <v>18468.0</v>
      </c>
      <c r="AB746" s="263">
        <v>73872.0</v>
      </c>
      <c r="AC746" s="24" t="s">
        <v>2375</v>
      </c>
      <c r="AD746" s="195">
        <v>6144.0</v>
      </c>
      <c r="AE746" s="38"/>
      <c r="AF746" s="256" t="str">
        <f t="shared" si="1"/>
        <v>Tucumán, Argentina</v>
      </c>
      <c r="AG746" s="256">
        <f t="shared" si="2"/>
        <v>3</v>
      </c>
      <c r="AH746" s="264">
        <f t="shared" si="3"/>
        <v>0</v>
      </c>
      <c r="AI746" s="264">
        <f t="shared" si="4"/>
        <v>0</v>
      </c>
      <c r="AJ746" s="263">
        <f t="shared" si="5"/>
        <v>92340</v>
      </c>
      <c r="AK746" s="263">
        <f t="shared" si="6"/>
        <v>92340</v>
      </c>
      <c r="AL746" s="265"/>
      <c r="AM746" s="265"/>
    </row>
    <row r="747">
      <c r="A747" s="256">
        <v>746.0</v>
      </c>
      <c r="B747" s="257">
        <v>44460.0</v>
      </c>
      <c r="C747" s="195" t="str">
        <f t="shared" si="7"/>
        <v>92021</v>
      </c>
      <c r="D747" s="258" t="s">
        <v>2376</v>
      </c>
      <c r="E747" s="256" t="s">
        <v>2377</v>
      </c>
      <c r="F747" s="258" t="s">
        <v>2248</v>
      </c>
      <c r="G747" s="256" t="s">
        <v>64</v>
      </c>
      <c r="H747" s="256" t="s">
        <v>41</v>
      </c>
      <c r="I747" s="256" t="s">
        <v>643</v>
      </c>
      <c r="J747" s="260"/>
      <c r="K747" s="260"/>
      <c r="L747" s="260"/>
      <c r="M747" s="260"/>
      <c r="N747" s="260"/>
      <c r="O747" s="260"/>
      <c r="P747" s="260"/>
      <c r="Q747" s="261"/>
      <c r="R747" s="261"/>
      <c r="S747" s="256" t="s">
        <v>276</v>
      </c>
      <c r="T747" s="256" t="s">
        <v>83</v>
      </c>
      <c r="U747" s="256" t="s">
        <v>99</v>
      </c>
      <c r="V747" s="256" t="s">
        <v>1984</v>
      </c>
      <c r="W747" s="262"/>
      <c r="X747" s="262"/>
      <c r="Y747" s="262"/>
      <c r="Z747" s="262"/>
      <c r="AA747" s="263">
        <v>0.0</v>
      </c>
      <c r="AB747" s="263">
        <v>24320.0</v>
      </c>
      <c r="AC747" s="24" t="s">
        <v>2378</v>
      </c>
      <c r="AD747" s="195">
        <v>6150.0</v>
      </c>
      <c r="AE747" s="38"/>
      <c r="AF747" s="256" t="str">
        <f t="shared" si="1"/>
        <v>Capital Federal, Argentina</v>
      </c>
      <c r="AG747" s="256">
        <f t="shared" si="2"/>
        <v>0</v>
      </c>
      <c r="AH747" s="264">
        <f t="shared" si="3"/>
        <v>0</v>
      </c>
      <c r="AI747" s="264">
        <f t="shared" si="4"/>
        <v>0</v>
      </c>
      <c r="AJ747" s="263">
        <f t="shared" si="5"/>
        <v>24320</v>
      </c>
      <c r="AK747" s="263">
        <f t="shared" si="6"/>
        <v>24320</v>
      </c>
      <c r="AL747" s="265"/>
      <c r="AM747" s="265"/>
    </row>
    <row r="748">
      <c r="A748" s="256">
        <v>747.0</v>
      </c>
      <c r="B748" s="257">
        <v>44467.0</v>
      </c>
      <c r="C748" s="195" t="str">
        <f t="shared" si="7"/>
        <v>92021</v>
      </c>
      <c r="D748" s="258" t="s">
        <v>2264</v>
      </c>
      <c r="E748" s="256" t="s">
        <v>2265</v>
      </c>
      <c r="F748" s="258" t="s">
        <v>1507</v>
      </c>
      <c r="G748" s="256" t="s">
        <v>64</v>
      </c>
      <c r="H748" s="256" t="s">
        <v>41</v>
      </c>
      <c r="I748" s="256" t="s">
        <v>643</v>
      </c>
      <c r="J748" s="260"/>
      <c r="K748" s="260"/>
      <c r="L748" s="259">
        <v>1.0</v>
      </c>
      <c r="M748" s="260"/>
      <c r="N748" s="260"/>
      <c r="O748" s="260"/>
      <c r="P748" s="260"/>
      <c r="Q748" s="261"/>
      <c r="R748" s="261"/>
      <c r="S748" s="256" t="s">
        <v>65</v>
      </c>
      <c r="T748" s="256" t="s">
        <v>58</v>
      </c>
      <c r="U748" s="256" t="s">
        <v>99</v>
      </c>
      <c r="V748" s="256" t="s">
        <v>1984</v>
      </c>
      <c r="W748" s="262"/>
      <c r="X748" s="262"/>
      <c r="Y748" s="262"/>
      <c r="Z748" s="262"/>
      <c r="AA748" s="263">
        <v>3800.0</v>
      </c>
      <c r="AB748" s="263">
        <v>15200.0</v>
      </c>
      <c r="AC748" s="24" t="s">
        <v>2379</v>
      </c>
      <c r="AD748" s="195">
        <v>6158.0</v>
      </c>
      <c r="AE748" s="38"/>
      <c r="AF748" s="256" t="str">
        <f t="shared" si="1"/>
        <v>Córdoba, Argentina</v>
      </c>
      <c r="AG748" s="256">
        <f t="shared" si="2"/>
        <v>1</v>
      </c>
      <c r="AH748" s="264">
        <f t="shared" si="3"/>
        <v>0</v>
      </c>
      <c r="AI748" s="264">
        <f t="shared" si="4"/>
        <v>0</v>
      </c>
      <c r="AJ748" s="263">
        <f t="shared" si="5"/>
        <v>19000</v>
      </c>
      <c r="AK748" s="263">
        <f t="shared" si="6"/>
        <v>19000</v>
      </c>
      <c r="AL748" s="265"/>
      <c r="AM748" s="265"/>
    </row>
    <row r="749">
      <c r="A749" s="256">
        <v>748.0</v>
      </c>
      <c r="B749" s="257">
        <v>44467.0</v>
      </c>
      <c r="C749" s="195" t="str">
        <f t="shared" si="7"/>
        <v>92021</v>
      </c>
      <c r="D749" s="258" t="s">
        <v>2045</v>
      </c>
      <c r="E749" s="256" t="s">
        <v>2046</v>
      </c>
      <c r="F749" s="258" t="s">
        <v>1415</v>
      </c>
      <c r="G749" s="256" t="s">
        <v>64</v>
      </c>
      <c r="H749" s="256" t="s">
        <v>41</v>
      </c>
      <c r="I749" s="256" t="s">
        <v>643</v>
      </c>
      <c r="J749" s="260"/>
      <c r="K749" s="259">
        <v>1.0</v>
      </c>
      <c r="L749" s="260"/>
      <c r="M749" s="260"/>
      <c r="N749" s="260"/>
      <c r="O749" s="260"/>
      <c r="P749" s="260"/>
      <c r="Q749" s="261"/>
      <c r="R749" s="261"/>
      <c r="S749" s="256" t="s">
        <v>65</v>
      </c>
      <c r="T749" s="256" t="s">
        <v>66</v>
      </c>
      <c r="U749" s="256" t="s">
        <v>99</v>
      </c>
      <c r="V749" s="256" t="s">
        <v>1984</v>
      </c>
      <c r="W749" s="262"/>
      <c r="X749" s="262"/>
      <c r="Y749" s="262"/>
      <c r="Z749" s="262"/>
      <c r="AA749" s="263">
        <v>5434.0</v>
      </c>
      <c r="AB749" s="263">
        <v>21736.0</v>
      </c>
      <c r="AC749" s="24" t="s">
        <v>2380</v>
      </c>
      <c r="AD749" s="195">
        <v>6156.0</v>
      </c>
      <c r="AE749" s="38"/>
      <c r="AF749" s="256" t="str">
        <f t="shared" si="1"/>
        <v>Buenos Aires, Argentina</v>
      </c>
      <c r="AG749" s="256">
        <f t="shared" si="2"/>
        <v>1</v>
      </c>
      <c r="AH749" s="264">
        <f t="shared" si="3"/>
        <v>0</v>
      </c>
      <c r="AI749" s="264">
        <f t="shared" si="4"/>
        <v>0</v>
      </c>
      <c r="AJ749" s="263">
        <f t="shared" si="5"/>
        <v>27170</v>
      </c>
      <c r="AK749" s="263">
        <f t="shared" si="6"/>
        <v>27170</v>
      </c>
      <c r="AL749" s="265"/>
      <c r="AM749" s="265"/>
    </row>
    <row r="750">
      <c r="A750" s="256">
        <v>749.0</v>
      </c>
      <c r="B750" s="257">
        <v>44467.0</v>
      </c>
      <c r="C750" s="195" t="str">
        <f t="shared" si="7"/>
        <v>92021</v>
      </c>
      <c r="D750" s="258" t="s">
        <v>2381</v>
      </c>
      <c r="E750" s="256" t="s">
        <v>1935</v>
      </c>
      <c r="F750" s="258" t="s">
        <v>1423</v>
      </c>
      <c r="G750" s="256" t="s">
        <v>64</v>
      </c>
      <c r="H750" s="256" t="s">
        <v>41</v>
      </c>
      <c r="I750" s="256" t="s">
        <v>643</v>
      </c>
      <c r="J750" s="259">
        <v>1.0</v>
      </c>
      <c r="K750" s="260"/>
      <c r="L750" s="260"/>
      <c r="M750" s="260"/>
      <c r="N750" s="260"/>
      <c r="O750" s="260"/>
      <c r="P750" s="260"/>
      <c r="Q750" s="261"/>
      <c r="R750" s="261"/>
      <c r="S750" s="256" t="s">
        <v>65</v>
      </c>
      <c r="T750" s="256" t="s">
        <v>83</v>
      </c>
      <c r="U750" s="256" t="s">
        <v>99</v>
      </c>
      <c r="V750" s="256" t="s">
        <v>1984</v>
      </c>
      <c r="W750" s="262"/>
      <c r="X750" s="262"/>
      <c r="Y750" s="262"/>
      <c r="Z750" s="262"/>
      <c r="AA750" s="263">
        <v>6840.0</v>
      </c>
      <c r="AB750" s="263">
        <v>27360.0</v>
      </c>
      <c r="AC750" s="24" t="s">
        <v>2382</v>
      </c>
      <c r="AD750" s="195">
        <v>6164.0</v>
      </c>
      <c r="AE750" s="38"/>
      <c r="AF750" s="256" t="str">
        <f t="shared" si="1"/>
        <v>Capital Federal, Argentina</v>
      </c>
      <c r="AG750" s="256">
        <f t="shared" si="2"/>
        <v>1</v>
      </c>
      <c r="AH750" s="264">
        <f t="shared" si="3"/>
        <v>0</v>
      </c>
      <c r="AI750" s="264">
        <f t="shared" si="4"/>
        <v>0</v>
      </c>
      <c r="AJ750" s="263">
        <f t="shared" si="5"/>
        <v>34200</v>
      </c>
      <c r="AK750" s="263">
        <f t="shared" si="6"/>
        <v>34200</v>
      </c>
      <c r="AL750" s="265"/>
      <c r="AM750" s="265"/>
    </row>
    <row r="751">
      <c r="A751" s="256">
        <v>750.0</v>
      </c>
      <c r="B751" s="257">
        <v>44468.0</v>
      </c>
      <c r="C751" s="195" t="str">
        <f t="shared" si="7"/>
        <v>92021</v>
      </c>
      <c r="D751" s="258" t="s">
        <v>2383</v>
      </c>
      <c r="E751" s="256" t="s">
        <v>2384</v>
      </c>
      <c r="F751" s="258" t="s">
        <v>1423</v>
      </c>
      <c r="G751" s="256" t="s">
        <v>64</v>
      </c>
      <c r="H751" s="256" t="s">
        <v>41</v>
      </c>
      <c r="I751" s="256" t="s">
        <v>643</v>
      </c>
      <c r="J751" s="259">
        <v>1.0</v>
      </c>
      <c r="K751" s="260"/>
      <c r="L751" s="260"/>
      <c r="M751" s="260"/>
      <c r="N751" s="260"/>
      <c r="O751" s="260"/>
      <c r="P751" s="260"/>
      <c r="Q751" s="261"/>
      <c r="R751" s="261"/>
      <c r="S751" s="256" t="s">
        <v>141</v>
      </c>
      <c r="T751" s="256" t="s">
        <v>73</v>
      </c>
      <c r="U751" s="256" t="s">
        <v>99</v>
      </c>
      <c r="V751" s="256" t="s">
        <v>1984</v>
      </c>
      <c r="W751" s="262"/>
      <c r="X751" s="262"/>
      <c r="Y751" s="262"/>
      <c r="Z751" s="262"/>
      <c r="AA751" s="263">
        <v>7600.0</v>
      </c>
      <c r="AB751" s="263">
        <v>30400.0</v>
      </c>
      <c r="AC751" s="24" t="s">
        <v>2385</v>
      </c>
      <c r="AD751" s="195">
        <v>6174.0</v>
      </c>
      <c r="AE751" s="38"/>
      <c r="AF751" s="256" t="str">
        <f t="shared" si="1"/>
        <v>Tierra de Fuego, Argentina</v>
      </c>
      <c r="AG751" s="256">
        <f t="shared" si="2"/>
        <v>1</v>
      </c>
      <c r="AH751" s="264">
        <f t="shared" si="3"/>
        <v>0</v>
      </c>
      <c r="AI751" s="264">
        <f t="shared" si="4"/>
        <v>0</v>
      </c>
      <c r="AJ751" s="263">
        <f t="shared" si="5"/>
        <v>38000</v>
      </c>
      <c r="AK751" s="263">
        <f t="shared" si="6"/>
        <v>38000</v>
      </c>
      <c r="AL751" s="265"/>
      <c r="AM751" s="265"/>
    </row>
    <row r="752">
      <c r="A752" s="256">
        <v>751.0</v>
      </c>
      <c r="B752" s="257">
        <v>44469.0</v>
      </c>
      <c r="C752" s="195" t="str">
        <f t="shared" si="7"/>
        <v>92021</v>
      </c>
      <c r="D752" s="258" t="s">
        <v>2386</v>
      </c>
      <c r="E752" s="256" t="s">
        <v>2387</v>
      </c>
      <c r="F752" s="258" t="s">
        <v>2056</v>
      </c>
      <c r="G752" s="256" t="s">
        <v>40</v>
      </c>
      <c r="H752" s="256" t="s">
        <v>547</v>
      </c>
      <c r="I752" s="256" t="s">
        <v>643</v>
      </c>
      <c r="J752" s="259">
        <v>1.0</v>
      </c>
      <c r="K752" s="260"/>
      <c r="L752" s="260"/>
      <c r="M752" s="259">
        <v>1.0</v>
      </c>
      <c r="N752" s="260"/>
      <c r="O752" s="260"/>
      <c r="P752" s="260"/>
      <c r="Q752" s="261"/>
      <c r="R752" s="261"/>
      <c r="S752" s="256" t="s">
        <v>114</v>
      </c>
      <c r="T752" s="256" t="s">
        <v>66</v>
      </c>
      <c r="U752" s="256" t="s">
        <v>342</v>
      </c>
      <c r="V752" s="256" t="s">
        <v>1984</v>
      </c>
      <c r="W752" s="262"/>
      <c r="X752" s="262"/>
      <c r="Y752" s="262"/>
      <c r="Z752" s="262"/>
      <c r="AA752" s="263">
        <v>9120.0</v>
      </c>
      <c r="AB752" s="263">
        <v>31920.0</v>
      </c>
      <c r="AC752" s="24" t="s">
        <v>2388</v>
      </c>
      <c r="AD752" s="195">
        <v>6180.0</v>
      </c>
      <c r="AE752" s="38"/>
      <c r="AF752" s="256" t="str">
        <f t="shared" si="1"/>
        <v>Buenos Aires, Argentina</v>
      </c>
      <c r="AG752" s="256">
        <f t="shared" si="2"/>
        <v>2</v>
      </c>
      <c r="AH752" s="264">
        <f t="shared" si="3"/>
        <v>0</v>
      </c>
      <c r="AI752" s="264">
        <f t="shared" si="4"/>
        <v>0</v>
      </c>
      <c r="AJ752" s="263">
        <f t="shared" si="5"/>
        <v>41040</v>
      </c>
      <c r="AK752" s="263">
        <f t="shared" si="6"/>
        <v>41040</v>
      </c>
      <c r="AL752" s="265"/>
      <c r="AM752" s="265"/>
    </row>
    <row r="753">
      <c r="A753" s="256">
        <v>752.0</v>
      </c>
      <c r="B753" s="257">
        <v>44469.0</v>
      </c>
      <c r="C753" s="195" t="str">
        <f t="shared" si="7"/>
        <v>92021</v>
      </c>
      <c r="D753" s="258" t="s">
        <v>2389</v>
      </c>
      <c r="E753" s="256" t="s">
        <v>2390</v>
      </c>
      <c r="F753" s="258" t="s">
        <v>2391</v>
      </c>
      <c r="G753" s="256" t="s">
        <v>40</v>
      </c>
      <c r="H753" s="256" t="s">
        <v>41</v>
      </c>
      <c r="I753" s="256" t="s">
        <v>643</v>
      </c>
      <c r="J753" s="259">
        <v>2.0</v>
      </c>
      <c r="K753" s="259">
        <v>1.0</v>
      </c>
      <c r="L753" s="259">
        <v>1.0</v>
      </c>
      <c r="M753" s="260"/>
      <c r="N753" s="260"/>
      <c r="O753" s="260"/>
      <c r="P753" s="260"/>
      <c r="Q753" s="261"/>
      <c r="R753" s="261"/>
      <c r="S753" s="256" t="s">
        <v>72</v>
      </c>
      <c r="T753" s="256" t="s">
        <v>984</v>
      </c>
      <c r="U753" s="256" t="s">
        <v>342</v>
      </c>
      <c r="V753" s="256" t="s">
        <v>1984</v>
      </c>
      <c r="W753" s="262"/>
      <c r="X753" s="262"/>
      <c r="Y753" s="262"/>
      <c r="Z753" s="262"/>
      <c r="AA753" s="263">
        <v>22268.0</v>
      </c>
      <c r="AB753" s="263">
        <v>77938.0</v>
      </c>
      <c r="AC753" s="24" t="s">
        <v>2392</v>
      </c>
      <c r="AD753" s="195">
        <v>6186.0</v>
      </c>
      <c r="AE753" s="38"/>
      <c r="AF753" s="256" t="str">
        <f t="shared" si="1"/>
        <v>Santiago del Estero, Argentina</v>
      </c>
      <c r="AG753" s="256">
        <f t="shared" si="2"/>
        <v>4</v>
      </c>
      <c r="AH753" s="264">
        <f t="shared" si="3"/>
        <v>0</v>
      </c>
      <c r="AI753" s="264">
        <f t="shared" si="4"/>
        <v>0</v>
      </c>
      <c r="AJ753" s="263">
        <f t="shared" si="5"/>
        <v>100206</v>
      </c>
      <c r="AK753" s="263">
        <f t="shared" si="6"/>
        <v>100206</v>
      </c>
      <c r="AL753" s="265"/>
      <c r="AM753" s="265"/>
    </row>
    <row r="754">
      <c r="A754" s="256">
        <v>753.0</v>
      </c>
      <c r="B754" s="257">
        <v>44469.0</v>
      </c>
      <c r="C754" s="195" t="str">
        <f t="shared" si="7"/>
        <v>92021</v>
      </c>
      <c r="D754" s="258" t="s">
        <v>2393</v>
      </c>
      <c r="E754" s="256" t="s">
        <v>2394</v>
      </c>
      <c r="F754" s="258" t="s">
        <v>1412</v>
      </c>
      <c r="G754" s="256" t="s">
        <v>64</v>
      </c>
      <c r="H754" s="256" t="s">
        <v>41</v>
      </c>
      <c r="I754" s="256" t="s">
        <v>643</v>
      </c>
      <c r="J754" s="259">
        <v>2.0</v>
      </c>
      <c r="K754" s="260"/>
      <c r="L754" s="260"/>
      <c r="M754" s="260"/>
      <c r="N754" s="260"/>
      <c r="O754" s="260"/>
      <c r="P754" s="260"/>
      <c r="Q754" s="261"/>
      <c r="R754" s="261"/>
      <c r="S754" s="256" t="s">
        <v>65</v>
      </c>
      <c r="T754" s="256" t="s">
        <v>44</v>
      </c>
      <c r="U754" s="256" t="s">
        <v>99</v>
      </c>
      <c r="V754" s="256" t="s">
        <v>84</v>
      </c>
      <c r="W754" s="262"/>
      <c r="X754" s="262"/>
      <c r="Y754" s="262"/>
      <c r="Z754" s="262"/>
      <c r="AA754" s="263">
        <v>13680.0</v>
      </c>
      <c r="AB754" s="263">
        <v>0.0</v>
      </c>
      <c r="AC754" s="24" t="s">
        <v>2395</v>
      </c>
      <c r="AD754" s="195">
        <v>6184.0</v>
      </c>
      <c r="AE754" s="38"/>
      <c r="AF754" s="256" t="str">
        <f t="shared" si="1"/>
        <v>Mendoza, Argentina</v>
      </c>
      <c r="AG754" s="256">
        <f t="shared" si="2"/>
        <v>2</v>
      </c>
      <c r="AH754" s="264">
        <f t="shared" si="3"/>
        <v>0</v>
      </c>
      <c r="AI754" s="264">
        <f t="shared" si="4"/>
        <v>0</v>
      </c>
      <c r="AJ754" s="263">
        <f t="shared" si="5"/>
        <v>13680</v>
      </c>
      <c r="AK754" s="263">
        <f t="shared" si="6"/>
        <v>13680</v>
      </c>
      <c r="AL754" s="265"/>
      <c r="AM754" s="265"/>
    </row>
    <row r="755">
      <c r="A755" s="256">
        <v>754.0</v>
      </c>
      <c r="B755" s="257">
        <v>44469.0</v>
      </c>
      <c r="C755" s="195" t="str">
        <f t="shared" si="7"/>
        <v>92021</v>
      </c>
      <c r="D755" s="258" t="s">
        <v>1999</v>
      </c>
      <c r="E755" s="256" t="s">
        <v>2396</v>
      </c>
      <c r="F755" s="258" t="s">
        <v>13</v>
      </c>
      <c r="G755" s="256" t="s">
        <v>64</v>
      </c>
      <c r="H755" s="256" t="s">
        <v>41</v>
      </c>
      <c r="I755" s="256" t="s">
        <v>643</v>
      </c>
      <c r="J755" s="260"/>
      <c r="K755" s="260"/>
      <c r="L755" s="260"/>
      <c r="M755" s="260"/>
      <c r="N755" s="259">
        <v>1.0</v>
      </c>
      <c r="O755" s="260"/>
      <c r="P755" s="260"/>
      <c r="Q755" s="261"/>
      <c r="R755" s="261"/>
      <c r="S755" s="256" t="s">
        <v>105</v>
      </c>
      <c r="T755" s="256" t="s">
        <v>66</v>
      </c>
      <c r="U755" s="256" t="s">
        <v>99</v>
      </c>
      <c r="V755" s="256" t="s">
        <v>1984</v>
      </c>
      <c r="W755" s="262"/>
      <c r="X755" s="262"/>
      <c r="Y755" s="262"/>
      <c r="Z755" s="262"/>
      <c r="AA755" s="263">
        <v>7600.0</v>
      </c>
      <c r="AB755" s="263">
        <v>13680.0</v>
      </c>
      <c r="AC755" s="38"/>
      <c r="AD755" s="195">
        <v>6196.0</v>
      </c>
      <c r="AE755" s="38"/>
      <c r="AF755" s="256" t="str">
        <f t="shared" si="1"/>
        <v>Buenos Aires, Argentina</v>
      </c>
      <c r="AG755" s="256">
        <f t="shared" si="2"/>
        <v>1</v>
      </c>
      <c r="AH755" s="264">
        <f t="shared" si="3"/>
        <v>0</v>
      </c>
      <c r="AI755" s="264">
        <f t="shared" si="4"/>
        <v>0</v>
      </c>
      <c r="AJ755" s="263">
        <f t="shared" si="5"/>
        <v>21280</v>
      </c>
      <c r="AK755" s="263">
        <f t="shared" si="6"/>
        <v>21280</v>
      </c>
      <c r="AL755" s="265"/>
      <c r="AM755" s="265"/>
    </row>
    <row r="756">
      <c r="A756" s="256">
        <v>755.0</v>
      </c>
      <c r="B756" s="257">
        <v>44469.0</v>
      </c>
      <c r="C756" s="195" t="str">
        <f t="shared" si="7"/>
        <v>92021</v>
      </c>
      <c r="D756" s="258" t="s">
        <v>2397</v>
      </c>
      <c r="E756" s="256" t="s">
        <v>2398</v>
      </c>
      <c r="F756" s="258" t="s">
        <v>1423</v>
      </c>
      <c r="G756" s="256" t="s">
        <v>64</v>
      </c>
      <c r="H756" s="256" t="s">
        <v>41</v>
      </c>
      <c r="I756" s="256" t="s">
        <v>643</v>
      </c>
      <c r="J756" s="259">
        <v>1.0</v>
      </c>
      <c r="K756" s="260"/>
      <c r="L756" s="260"/>
      <c r="M756" s="260"/>
      <c r="N756" s="260"/>
      <c r="O756" s="260"/>
      <c r="P756" s="260"/>
      <c r="Q756" s="261"/>
      <c r="R756" s="261"/>
      <c r="S756" s="256" t="s">
        <v>98</v>
      </c>
      <c r="T756" s="256" t="s">
        <v>83</v>
      </c>
      <c r="U756" s="256" t="s">
        <v>99</v>
      </c>
      <c r="V756" s="256" t="s">
        <v>1984</v>
      </c>
      <c r="W756" s="262"/>
      <c r="X756" s="262"/>
      <c r="Y756" s="262"/>
      <c r="Z756" s="262"/>
      <c r="AA756" s="263">
        <v>7600.0</v>
      </c>
      <c r="AB756" s="263">
        <v>30400.0</v>
      </c>
      <c r="AC756" s="24" t="s">
        <v>2399</v>
      </c>
      <c r="AD756" s="195">
        <v>6200.0</v>
      </c>
      <c r="AE756" s="38"/>
      <c r="AF756" s="256" t="str">
        <f t="shared" si="1"/>
        <v>Capital Federal, Argentina</v>
      </c>
      <c r="AG756" s="256">
        <f t="shared" si="2"/>
        <v>1</v>
      </c>
      <c r="AH756" s="264">
        <f t="shared" si="3"/>
        <v>0</v>
      </c>
      <c r="AI756" s="264">
        <f t="shared" si="4"/>
        <v>0</v>
      </c>
      <c r="AJ756" s="263">
        <f t="shared" si="5"/>
        <v>38000</v>
      </c>
      <c r="AK756" s="263">
        <f t="shared" si="6"/>
        <v>38000</v>
      </c>
      <c r="AL756" s="265"/>
      <c r="AM756" s="265"/>
    </row>
    <row r="757">
      <c r="A757" s="256">
        <v>756.0</v>
      </c>
      <c r="B757" s="257">
        <v>44469.0</v>
      </c>
      <c r="C757" s="195" t="str">
        <f t="shared" si="7"/>
        <v>92021</v>
      </c>
      <c r="D757" s="258" t="s">
        <v>795</v>
      </c>
      <c r="E757" s="256" t="s">
        <v>796</v>
      </c>
      <c r="F757" s="258" t="s">
        <v>2400</v>
      </c>
      <c r="G757" s="256" t="s">
        <v>64</v>
      </c>
      <c r="H757" s="256" t="s">
        <v>41</v>
      </c>
      <c r="I757" s="256" t="s">
        <v>643</v>
      </c>
      <c r="J757" s="260"/>
      <c r="K757" s="259">
        <v>1.0</v>
      </c>
      <c r="L757" s="260"/>
      <c r="M757" s="260"/>
      <c r="N757" s="260"/>
      <c r="O757" s="260"/>
      <c r="P757" s="260"/>
      <c r="Q757" s="261"/>
      <c r="R757" s="261"/>
      <c r="S757" s="256" t="s">
        <v>98</v>
      </c>
      <c r="T757" s="256" t="s">
        <v>66</v>
      </c>
      <c r="U757" s="256" t="s">
        <v>99</v>
      </c>
      <c r="V757" s="256" t="s">
        <v>1984</v>
      </c>
      <c r="W757" s="262"/>
      <c r="X757" s="262"/>
      <c r="Y757" s="262"/>
      <c r="Z757" s="262"/>
      <c r="AA757" s="263">
        <v>5434.0</v>
      </c>
      <c r="AB757" s="263">
        <v>21736.0</v>
      </c>
      <c r="AC757" s="24" t="s">
        <v>2401</v>
      </c>
      <c r="AD757" s="195">
        <v>6202.0</v>
      </c>
      <c r="AE757" s="38"/>
      <c r="AF757" s="256" t="str">
        <f t="shared" si="1"/>
        <v>Buenos Aires, Argentina</v>
      </c>
      <c r="AG757" s="256">
        <f t="shared" si="2"/>
        <v>1</v>
      </c>
      <c r="AH757" s="264">
        <f t="shared" si="3"/>
        <v>0</v>
      </c>
      <c r="AI757" s="264">
        <f t="shared" si="4"/>
        <v>0</v>
      </c>
      <c r="AJ757" s="263">
        <f t="shared" si="5"/>
        <v>27170</v>
      </c>
      <c r="AK757" s="263">
        <f t="shared" si="6"/>
        <v>27170</v>
      </c>
      <c r="AL757" s="265"/>
      <c r="AM757" s="265"/>
    </row>
    <row r="758">
      <c r="A758" s="256">
        <v>757.0</v>
      </c>
      <c r="B758" s="257">
        <v>44469.0</v>
      </c>
      <c r="C758" s="195" t="str">
        <f t="shared" si="7"/>
        <v>92021</v>
      </c>
      <c r="D758" s="258" t="s">
        <v>2402</v>
      </c>
      <c r="E758" s="256" t="s">
        <v>2403</v>
      </c>
      <c r="F758" s="258" t="s">
        <v>13</v>
      </c>
      <c r="G758" s="256" t="s">
        <v>64</v>
      </c>
      <c r="H758" s="256" t="s">
        <v>41</v>
      </c>
      <c r="I758" s="256" t="s">
        <v>643</v>
      </c>
      <c r="J758" s="260"/>
      <c r="K758" s="260"/>
      <c r="L758" s="260"/>
      <c r="M758" s="260"/>
      <c r="N758" s="259">
        <v>1.0</v>
      </c>
      <c r="O758" s="260"/>
      <c r="P758" s="260"/>
      <c r="Q758" s="261"/>
      <c r="R758" s="261"/>
      <c r="S758" s="256" t="s">
        <v>43</v>
      </c>
      <c r="T758" s="256" t="s">
        <v>83</v>
      </c>
      <c r="U758" s="256" t="s">
        <v>99</v>
      </c>
      <c r="V758" s="256" t="s">
        <v>1984</v>
      </c>
      <c r="W758" s="262"/>
      <c r="X758" s="262"/>
      <c r="Y758" s="262"/>
      <c r="Z758" s="262"/>
      <c r="AA758" s="263">
        <v>7600.0</v>
      </c>
      <c r="AB758" s="263">
        <v>13680.0</v>
      </c>
      <c r="AC758" s="24" t="s">
        <v>2404</v>
      </c>
      <c r="AD758" s="195">
        <v>6222.0</v>
      </c>
      <c r="AE758" s="38"/>
      <c r="AF758" s="256" t="str">
        <f t="shared" si="1"/>
        <v>Capital Federal, Argentina</v>
      </c>
      <c r="AG758" s="256">
        <f t="shared" si="2"/>
        <v>1</v>
      </c>
      <c r="AH758" s="264">
        <f t="shared" si="3"/>
        <v>0</v>
      </c>
      <c r="AI758" s="264">
        <f t="shared" si="4"/>
        <v>0</v>
      </c>
      <c r="AJ758" s="263">
        <f t="shared" si="5"/>
        <v>21280</v>
      </c>
      <c r="AK758" s="263">
        <f t="shared" si="6"/>
        <v>21280</v>
      </c>
      <c r="AL758" s="265"/>
      <c r="AM758" s="265"/>
    </row>
    <row r="759">
      <c r="A759" s="256">
        <v>758.0</v>
      </c>
      <c r="B759" s="257">
        <v>44469.0</v>
      </c>
      <c r="C759" s="195" t="str">
        <f t="shared" si="7"/>
        <v>92021</v>
      </c>
      <c r="D759" s="258" t="s">
        <v>2349</v>
      </c>
      <c r="E759" s="256" t="s">
        <v>2175</v>
      </c>
      <c r="F759" s="258" t="s">
        <v>1415</v>
      </c>
      <c r="G759" s="256" t="s">
        <v>64</v>
      </c>
      <c r="H759" s="256" t="s">
        <v>41</v>
      </c>
      <c r="I759" s="256" t="s">
        <v>643</v>
      </c>
      <c r="J759" s="260"/>
      <c r="K759" s="259">
        <v>1.0</v>
      </c>
      <c r="L759" s="260"/>
      <c r="M759" s="260"/>
      <c r="N759" s="260"/>
      <c r="O759" s="260"/>
      <c r="P759" s="260"/>
      <c r="Q759" s="261"/>
      <c r="R759" s="261"/>
      <c r="S759" s="256" t="s">
        <v>65</v>
      </c>
      <c r="T759" s="256" t="s">
        <v>66</v>
      </c>
      <c r="U759" s="256" t="s">
        <v>99</v>
      </c>
      <c r="V759" s="256" t="s">
        <v>1984</v>
      </c>
      <c r="W759" s="262"/>
      <c r="X759" s="262"/>
      <c r="Y759" s="262"/>
      <c r="Z759" s="262"/>
      <c r="AA759" s="263">
        <v>4891.0</v>
      </c>
      <c r="AB759" s="263">
        <v>19563.0</v>
      </c>
      <c r="AC759" s="24" t="s">
        <v>2405</v>
      </c>
      <c r="AD759" s="195">
        <v>6228.0</v>
      </c>
      <c r="AE759" s="38"/>
      <c r="AF759" s="256" t="str">
        <f t="shared" si="1"/>
        <v>Buenos Aires, Argentina</v>
      </c>
      <c r="AG759" s="256">
        <f t="shared" si="2"/>
        <v>1</v>
      </c>
      <c r="AH759" s="264">
        <f t="shared" si="3"/>
        <v>0</v>
      </c>
      <c r="AI759" s="264">
        <f t="shared" si="4"/>
        <v>0</v>
      </c>
      <c r="AJ759" s="263">
        <f t="shared" si="5"/>
        <v>24454</v>
      </c>
      <c r="AK759" s="263">
        <f t="shared" si="6"/>
        <v>24454</v>
      </c>
      <c r="AL759" s="265"/>
      <c r="AM759" s="265"/>
    </row>
    <row r="760">
      <c r="A760" s="193">
        <v>759.0</v>
      </c>
      <c r="B760" s="194">
        <v>44475.0</v>
      </c>
      <c r="C760" s="195" t="str">
        <f t="shared" si="7"/>
        <v>102021</v>
      </c>
      <c r="D760" s="196" t="s">
        <v>1576</v>
      </c>
      <c r="E760" s="193" t="s">
        <v>2406</v>
      </c>
      <c r="F760" s="196" t="s">
        <v>13</v>
      </c>
      <c r="G760" s="193" t="s">
        <v>64</v>
      </c>
      <c r="H760" s="193" t="s">
        <v>41</v>
      </c>
      <c r="I760" s="193" t="s">
        <v>643</v>
      </c>
      <c r="J760" s="108"/>
      <c r="K760" s="108"/>
      <c r="L760" s="108"/>
      <c r="M760" s="108"/>
      <c r="N760" s="197">
        <v>1.0</v>
      </c>
      <c r="O760" s="108"/>
      <c r="P760" s="108"/>
      <c r="Q760" s="109"/>
      <c r="R760" s="109"/>
      <c r="S760" s="193" t="s">
        <v>98</v>
      </c>
      <c r="T760" s="193" t="s">
        <v>66</v>
      </c>
      <c r="U760" s="193" t="s">
        <v>99</v>
      </c>
      <c r="V760" s="193" t="s">
        <v>1984</v>
      </c>
      <c r="W760" s="110"/>
      <c r="X760" s="110"/>
      <c r="Y760" s="110"/>
      <c r="Z760" s="110"/>
      <c r="AA760" s="198">
        <v>7800.0</v>
      </c>
      <c r="AB760" s="198">
        <v>14040.0</v>
      </c>
      <c r="AC760" s="24" t="s">
        <v>2407</v>
      </c>
      <c r="AD760" s="195">
        <v>6234.0</v>
      </c>
      <c r="AE760" s="38"/>
      <c r="AF760" s="193" t="str">
        <f t="shared" si="1"/>
        <v>Buenos Aires, Argentina</v>
      </c>
      <c r="AG760" s="193">
        <f t="shared" si="2"/>
        <v>1</v>
      </c>
      <c r="AH760" s="200">
        <f t="shared" si="3"/>
        <v>0</v>
      </c>
      <c r="AI760" s="200">
        <f t="shared" si="4"/>
        <v>0</v>
      </c>
      <c r="AJ760" s="198">
        <f t="shared" si="5"/>
        <v>21840</v>
      </c>
      <c r="AK760" s="198">
        <f t="shared" si="6"/>
        <v>21840</v>
      </c>
      <c r="AL760" s="113"/>
      <c r="AM760" s="113"/>
    </row>
    <row r="761">
      <c r="A761" s="193">
        <v>760.0</v>
      </c>
      <c r="B761" s="194">
        <v>44477.0</v>
      </c>
      <c r="C761" s="195" t="str">
        <f t="shared" si="7"/>
        <v>102021</v>
      </c>
      <c r="D761" s="196" t="s">
        <v>2408</v>
      </c>
      <c r="E761" s="193" t="s">
        <v>2409</v>
      </c>
      <c r="F761" s="196" t="s">
        <v>1415</v>
      </c>
      <c r="G761" s="193" t="s">
        <v>64</v>
      </c>
      <c r="H761" s="193" t="s">
        <v>41</v>
      </c>
      <c r="I761" s="193" t="s">
        <v>643</v>
      </c>
      <c r="J761" s="108"/>
      <c r="K761" s="197">
        <v>1.0</v>
      </c>
      <c r="L761" s="108"/>
      <c r="M761" s="108"/>
      <c r="N761" s="108"/>
      <c r="O761" s="108"/>
      <c r="P761" s="108"/>
      <c r="Q761" s="109"/>
      <c r="R761" s="109"/>
      <c r="S761" s="193" t="s">
        <v>109</v>
      </c>
      <c r="T761" s="193" t="s">
        <v>73</v>
      </c>
      <c r="U761" s="193" t="s">
        <v>99</v>
      </c>
      <c r="V761" s="193" t="s">
        <v>1984</v>
      </c>
      <c r="W761" s="110"/>
      <c r="X761" s="110"/>
      <c r="Y761" s="110"/>
      <c r="Z761" s="110"/>
      <c r="AA761" s="198">
        <v>5671.0</v>
      </c>
      <c r="AB761" s="198">
        <v>22683.0</v>
      </c>
      <c r="AC761" s="24" t="s">
        <v>2410</v>
      </c>
      <c r="AD761" s="195">
        <v>6240.0</v>
      </c>
      <c r="AE761" s="38"/>
      <c r="AF761" s="193" t="str">
        <f t="shared" si="1"/>
        <v>Tierra de Fuego, Argentina</v>
      </c>
      <c r="AG761" s="193">
        <f t="shared" si="2"/>
        <v>1</v>
      </c>
      <c r="AH761" s="200">
        <f t="shared" si="3"/>
        <v>0</v>
      </c>
      <c r="AI761" s="200">
        <f t="shared" si="4"/>
        <v>0</v>
      </c>
      <c r="AJ761" s="198">
        <f t="shared" si="5"/>
        <v>28354</v>
      </c>
      <c r="AK761" s="198">
        <f t="shared" si="6"/>
        <v>28354</v>
      </c>
      <c r="AL761" s="113"/>
      <c r="AM761" s="113"/>
    </row>
    <row r="762">
      <c r="A762" s="193">
        <v>761.0</v>
      </c>
      <c r="B762" s="194">
        <v>44483.0</v>
      </c>
      <c r="C762" s="195" t="str">
        <f t="shared" si="7"/>
        <v>102021</v>
      </c>
      <c r="D762" s="196" t="s">
        <v>2411</v>
      </c>
      <c r="E762" s="193" t="s">
        <v>2195</v>
      </c>
      <c r="F762" s="196" t="s">
        <v>2361</v>
      </c>
      <c r="G762" s="193" t="s">
        <v>64</v>
      </c>
      <c r="H762" s="193" t="s">
        <v>227</v>
      </c>
      <c r="I762" s="193" t="s">
        <v>643</v>
      </c>
      <c r="J762" s="108"/>
      <c r="K762" s="108"/>
      <c r="L762" s="108"/>
      <c r="M762" s="108"/>
      <c r="N762" s="108"/>
      <c r="O762" s="108"/>
      <c r="P762" s="108"/>
      <c r="Q762" s="109"/>
      <c r="R762" s="109"/>
      <c r="S762" s="193" t="s">
        <v>65</v>
      </c>
      <c r="T762" s="193" t="s">
        <v>66</v>
      </c>
      <c r="U762" s="193" t="s">
        <v>99</v>
      </c>
      <c r="V762" s="193" t="s">
        <v>84</v>
      </c>
      <c r="W762" s="110"/>
      <c r="X762" s="110"/>
      <c r="Y762" s="110"/>
      <c r="Z762" s="110"/>
      <c r="AA762" s="198">
        <v>0.0</v>
      </c>
      <c r="AB762" s="198">
        <v>66300.0</v>
      </c>
      <c r="AC762" s="24" t="s">
        <v>2412</v>
      </c>
      <c r="AD762" s="195">
        <v>6246.0</v>
      </c>
      <c r="AE762" s="38"/>
      <c r="AF762" s="193" t="str">
        <f t="shared" si="1"/>
        <v>Buenos Aires, Argentina</v>
      </c>
      <c r="AG762" s="193">
        <f t="shared" si="2"/>
        <v>0</v>
      </c>
      <c r="AH762" s="200">
        <f t="shared" si="3"/>
        <v>0</v>
      </c>
      <c r="AI762" s="200">
        <f t="shared" si="4"/>
        <v>0</v>
      </c>
      <c r="AJ762" s="198">
        <f t="shared" si="5"/>
        <v>66300</v>
      </c>
      <c r="AK762" s="198">
        <f t="shared" si="6"/>
        <v>66300</v>
      </c>
      <c r="AL762" s="113"/>
      <c r="AM762" s="113"/>
    </row>
    <row r="763">
      <c r="A763" s="193">
        <v>762.0</v>
      </c>
      <c r="B763" s="194">
        <v>44483.0</v>
      </c>
      <c r="C763" s="195" t="str">
        <f t="shared" si="7"/>
        <v>102021</v>
      </c>
      <c r="D763" s="196" t="s">
        <v>2413</v>
      </c>
      <c r="E763" s="193" t="s">
        <v>2414</v>
      </c>
      <c r="F763" s="196" t="s">
        <v>1423</v>
      </c>
      <c r="G763" s="193" t="s">
        <v>64</v>
      </c>
      <c r="H763" s="193" t="s">
        <v>41</v>
      </c>
      <c r="I763" s="193" t="s">
        <v>643</v>
      </c>
      <c r="J763" s="197">
        <v>1.0</v>
      </c>
      <c r="K763" s="108"/>
      <c r="L763" s="108"/>
      <c r="M763" s="108"/>
      <c r="N763" s="108"/>
      <c r="O763" s="108"/>
      <c r="P763" s="108"/>
      <c r="Q763" s="109"/>
      <c r="R763" s="109"/>
      <c r="S763" s="193" t="s">
        <v>276</v>
      </c>
      <c r="T763" s="193" t="s">
        <v>83</v>
      </c>
      <c r="U763" s="193" t="s">
        <v>99</v>
      </c>
      <c r="V763" s="193" t="s">
        <v>1984</v>
      </c>
      <c r="W763" s="110"/>
      <c r="X763" s="110"/>
      <c r="Y763" s="110"/>
      <c r="Z763" s="110"/>
      <c r="AA763" s="198">
        <v>7800.0</v>
      </c>
      <c r="AB763" s="198">
        <v>27300.0</v>
      </c>
      <c r="AC763" s="24" t="s">
        <v>2415</v>
      </c>
      <c r="AD763" s="195">
        <v>6252.0</v>
      </c>
      <c r="AE763" s="38"/>
      <c r="AF763" s="193" t="str">
        <f t="shared" si="1"/>
        <v>Capital Federal, Argentina</v>
      </c>
      <c r="AG763" s="193">
        <f t="shared" si="2"/>
        <v>1</v>
      </c>
      <c r="AH763" s="200">
        <f t="shared" si="3"/>
        <v>0</v>
      </c>
      <c r="AI763" s="200">
        <f t="shared" si="4"/>
        <v>0</v>
      </c>
      <c r="AJ763" s="198">
        <f t="shared" si="5"/>
        <v>35100</v>
      </c>
      <c r="AK763" s="198">
        <f t="shared" si="6"/>
        <v>35100</v>
      </c>
      <c r="AL763" s="113"/>
      <c r="AM763" s="113"/>
    </row>
    <row r="764">
      <c r="A764" s="193">
        <v>763.0</v>
      </c>
      <c r="B764" s="194">
        <v>44483.0</v>
      </c>
      <c r="C764" s="195" t="str">
        <f t="shared" si="7"/>
        <v>102021</v>
      </c>
      <c r="D764" s="196" t="s">
        <v>1631</v>
      </c>
      <c r="E764" s="193" t="s">
        <v>2416</v>
      </c>
      <c r="F764" s="196" t="s">
        <v>1507</v>
      </c>
      <c r="G764" s="193" t="s">
        <v>64</v>
      </c>
      <c r="H764" s="193" t="s">
        <v>41</v>
      </c>
      <c r="I764" s="193" t="s">
        <v>643</v>
      </c>
      <c r="J764" s="108"/>
      <c r="K764" s="108"/>
      <c r="L764" s="197">
        <v>1.0</v>
      </c>
      <c r="M764" s="108"/>
      <c r="N764" s="108"/>
      <c r="O764" s="108"/>
      <c r="P764" s="108"/>
      <c r="Q764" s="109"/>
      <c r="R764" s="109"/>
      <c r="S764" s="193" t="s">
        <v>89</v>
      </c>
      <c r="T764" s="193" t="s">
        <v>66</v>
      </c>
      <c r="U764" s="193" t="s">
        <v>99</v>
      </c>
      <c r="V764" s="193" t="s">
        <v>1984</v>
      </c>
      <c r="W764" s="110"/>
      <c r="X764" s="110"/>
      <c r="Y764" s="110"/>
      <c r="Z764" s="110"/>
      <c r="AA764" s="198">
        <v>3900.0</v>
      </c>
      <c r="AB764" s="198">
        <v>15600.0</v>
      </c>
      <c r="AC764" s="24" t="s">
        <v>2417</v>
      </c>
      <c r="AD764" s="195">
        <v>6256.0</v>
      </c>
      <c r="AE764" s="38"/>
      <c r="AF764" s="193" t="str">
        <f t="shared" si="1"/>
        <v>Buenos Aires, Argentina</v>
      </c>
      <c r="AG764" s="193">
        <f t="shared" si="2"/>
        <v>1</v>
      </c>
      <c r="AH764" s="200">
        <f t="shared" si="3"/>
        <v>0</v>
      </c>
      <c r="AI764" s="200">
        <f t="shared" si="4"/>
        <v>0</v>
      </c>
      <c r="AJ764" s="198">
        <f t="shared" si="5"/>
        <v>19500</v>
      </c>
      <c r="AK764" s="198">
        <f t="shared" si="6"/>
        <v>19500</v>
      </c>
      <c r="AL764" s="113"/>
      <c r="AM764" s="113"/>
    </row>
    <row r="765">
      <c r="A765" s="193">
        <v>764.0</v>
      </c>
      <c r="B765" s="194">
        <v>44484.0</v>
      </c>
      <c r="C765" s="195" t="str">
        <f t="shared" si="7"/>
        <v>102021</v>
      </c>
      <c r="D765" s="196" t="s">
        <v>2418</v>
      </c>
      <c r="E765" s="193" t="s">
        <v>2419</v>
      </c>
      <c r="F765" s="196" t="s">
        <v>2361</v>
      </c>
      <c r="G765" s="193" t="s">
        <v>64</v>
      </c>
      <c r="H765" s="193" t="s">
        <v>41</v>
      </c>
      <c r="I765" s="193" t="s">
        <v>643</v>
      </c>
      <c r="J765" s="108"/>
      <c r="K765" s="108"/>
      <c r="L765" s="108"/>
      <c r="M765" s="108"/>
      <c r="N765" s="108"/>
      <c r="O765" s="108"/>
      <c r="P765" s="108"/>
      <c r="Q765" s="109"/>
      <c r="R765" s="109"/>
      <c r="S765" s="193" t="s">
        <v>65</v>
      </c>
      <c r="T765" s="193" t="s">
        <v>497</v>
      </c>
      <c r="U765" s="193" t="s">
        <v>99</v>
      </c>
      <c r="V765" s="193" t="s">
        <v>84</v>
      </c>
      <c r="W765" s="110"/>
      <c r="X765" s="110"/>
      <c r="Y765" s="110"/>
      <c r="Z765" s="110"/>
      <c r="AA765" s="198">
        <v>0.0</v>
      </c>
      <c r="AB765" s="198">
        <v>66300.0</v>
      </c>
      <c r="AC765" s="24" t="s">
        <v>2420</v>
      </c>
      <c r="AD765" s="195">
        <v>6264.0</v>
      </c>
      <c r="AE765" s="38"/>
      <c r="AF765" s="193" t="str">
        <f t="shared" si="1"/>
        <v>Tucumán, Argentina</v>
      </c>
      <c r="AG765" s="193">
        <f t="shared" si="2"/>
        <v>0</v>
      </c>
      <c r="AH765" s="200">
        <f t="shared" si="3"/>
        <v>0</v>
      </c>
      <c r="AI765" s="200">
        <f t="shared" si="4"/>
        <v>0</v>
      </c>
      <c r="AJ765" s="198">
        <f t="shared" si="5"/>
        <v>66300</v>
      </c>
      <c r="AK765" s="198">
        <f t="shared" si="6"/>
        <v>66300</v>
      </c>
      <c r="AL765" s="113"/>
      <c r="AM765" s="113"/>
    </row>
    <row r="766">
      <c r="A766" s="193">
        <v>765.0</v>
      </c>
      <c r="B766" s="194">
        <v>44484.0</v>
      </c>
      <c r="C766" s="195" t="str">
        <f t="shared" si="7"/>
        <v>102021</v>
      </c>
      <c r="D766" s="196" t="s">
        <v>1968</v>
      </c>
      <c r="E766" s="193" t="s">
        <v>1969</v>
      </c>
      <c r="F766" s="196" t="s">
        <v>1423</v>
      </c>
      <c r="G766" s="193" t="s">
        <v>64</v>
      </c>
      <c r="H766" s="193" t="s">
        <v>41</v>
      </c>
      <c r="I766" s="193" t="s">
        <v>643</v>
      </c>
      <c r="J766" s="197">
        <v>1.0</v>
      </c>
      <c r="K766" s="108"/>
      <c r="L766" s="108"/>
      <c r="M766" s="108"/>
      <c r="N766" s="108"/>
      <c r="O766" s="108"/>
      <c r="P766" s="108"/>
      <c r="Q766" s="109"/>
      <c r="R766" s="109"/>
      <c r="S766" s="193" t="s">
        <v>114</v>
      </c>
      <c r="T766" s="193" t="s">
        <v>66</v>
      </c>
      <c r="U766" s="193" t="s">
        <v>99</v>
      </c>
      <c r="V766" s="193" t="s">
        <v>1984</v>
      </c>
      <c r="W766" s="110"/>
      <c r="X766" s="110"/>
      <c r="Y766" s="110"/>
      <c r="Z766" s="110"/>
      <c r="AA766" s="198">
        <v>7800.0</v>
      </c>
      <c r="AB766" s="198">
        <v>37440.0</v>
      </c>
      <c r="AC766" s="24" t="s">
        <v>2421</v>
      </c>
      <c r="AD766" s="195">
        <v>6266.0</v>
      </c>
      <c r="AE766" s="38"/>
      <c r="AF766" s="193" t="str">
        <f t="shared" si="1"/>
        <v>Buenos Aires, Argentina</v>
      </c>
      <c r="AG766" s="193">
        <f t="shared" si="2"/>
        <v>1</v>
      </c>
      <c r="AH766" s="200">
        <f t="shared" si="3"/>
        <v>0</v>
      </c>
      <c r="AI766" s="200">
        <f t="shared" si="4"/>
        <v>0</v>
      </c>
      <c r="AJ766" s="198">
        <f t="shared" si="5"/>
        <v>45240</v>
      </c>
      <c r="AK766" s="198">
        <f t="shared" si="6"/>
        <v>45240</v>
      </c>
      <c r="AL766" s="113"/>
      <c r="AM766" s="113"/>
    </row>
    <row r="767">
      <c r="A767" s="193">
        <v>766.0</v>
      </c>
      <c r="B767" s="194">
        <v>44488.0</v>
      </c>
      <c r="C767" s="195" t="str">
        <f t="shared" si="7"/>
        <v>102021</v>
      </c>
      <c r="D767" s="196" t="s">
        <v>2422</v>
      </c>
      <c r="E767" s="193" t="s">
        <v>2423</v>
      </c>
      <c r="F767" s="196" t="s">
        <v>2056</v>
      </c>
      <c r="G767" s="193" t="s">
        <v>40</v>
      </c>
      <c r="H767" s="193" t="s">
        <v>547</v>
      </c>
      <c r="I767" s="193" t="s">
        <v>643</v>
      </c>
      <c r="J767" s="197">
        <v>1.0</v>
      </c>
      <c r="K767" s="108"/>
      <c r="L767" s="108"/>
      <c r="M767" s="197">
        <v>1.0</v>
      </c>
      <c r="N767" s="108"/>
      <c r="O767" s="108"/>
      <c r="P767" s="108"/>
      <c r="Q767" s="109"/>
      <c r="R767" s="109"/>
      <c r="S767" s="193" t="s">
        <v>114</v>
      </c>
      <c r="T767" s="193" t="s">
        <v>66</v>
      </c>
      <c r="U767" s="193" t="s">
        <v>342</v>
      </c>
      <c r="V767" s="193" t="s">
        <v>1984</v>
      </c>
      <c r="W767" s="110"/>
      <c r="X767" s="110"/>
      <c r="Y767" s="110"/>
      <c r="Z767" s="110"/>
      <c r="AA767" s="198">
        <v>9360.0</v>
      </c>
      <c r="AB767" s="198">
        <v>37440.0</v>
      </c>
      <c r="AC767" s="24" t="s">
        <v>2424</v>
      </c>
      <c r="AD767" s="195">
        <v>6276.0</v>
      </c>
      <c r="AE767" s="38"/>
      <c r="AF767" s="193" t="str">
        <f t="shared" si="1"/>
        <v>Buenos Aires, Argentina</v>
      </c>
      <c r="AG767" s="193">
        <f t="shared" si="2"/>
        <v>2</v>
      </c>
      <c r="AH767" s="200">
        <f t="shared" si="3"/>
        <v>0</v>
      </c>
      <c r="AI767" s="200">
        <f t="shared" si="4"/>
        <v>0</v>
      </c>
      <c r="AJ767" s="198">
        <f t="shared" si="5"/>
        <v>46800</v>
      </c>
      <c r="AK767" s="198">
        <f t="shared" si="6"/>
        <v>46800</v>
      </c>
      <c r="AL767" s="113"/>
      <c r="AM767" s="113"/>
    </row>
    <row r="768">
      <c r="A768" s="193">
        <v>767.0</v>
      </c>
      <c r="B768" s="194">
        <v>44488.0</v>
      </c>
      <c r="C768" s="195" t="str">
        <f t="shared" si="7"/>
        <v>102021</v>
      </c>
      <c r="D768" s="196" t="s">
        <v>1791</v>
      </c>
      <c r="E768" s="193" t="s">
        <v>1792</v>
      </c>
      <c r="F768" s="196" t="s">
        <v>1423</v>
      </c>
      <c r="G768" s="193" t="s">
        <v>64</v>
      </c>
      <c r="H768" s="193" t="s">
        <v>41</v>
      </c>
      <c r="I768" s="193" t="s">
        <v>643</v>
      </c>
      <c r="J768" s="197">
        <v>1.0</v>
      </c>
      <c r="K768" s="108"/>
      <c r="L768" s="108"/>
      <c r="M768" s="108"/>
      <c r="N768" s="108"/>
      <c r="O768" s="108"/>
      <c r="P768" s="108"/>
      <c r="Q768" s="109"/>
      <c r="R768" s="109"/>
      <c r="S768" s="193" t="s">
        <v>72</v>
      </c>
      <c r="T768" s="193" t="s">
        <v>66</v>
      </c>
      <c r="U768" s="193" t="s">
        <v>99</v>
      </c>
      <c r="V768" s="193" t="s">
        <v>1984</v>
      </c>
      <c r="W768" s="110"/>
      <c r="X768" s="110"/>
      <c r="Y768" s="110"/>
      <c r="Z768" s="110"/>
      <c r="AA768" s="198">
        <v>7800.0</v>
      </c>
      <c r="AB768" s="198">
        <v>31200.0</v>
      </c>
      <c r="AC768" s="24" t="s">
        <v>2425</v>
      </c>
      <c r="AD768" s="195">
        <v>6280.0</v>
      </c>
      <c r="AE768" s="38"/>
      <c r="AF768" s="193" t="str">
        <f t="shared" si="1"/>
        <v>Buenos Aires, Argentina</v>
      </c>
      <c r="AG768" s="193">
        <f t="shared" si="2"/>
        <v>1</v>
      </c>
      <c r="AH768" s="200">
        <f t="shared" si="3"/>
        <v>0</v>
      </c>
      <c r="AI768" s="200">
        <f t="shared" si="4"/>
        <v>0</v>
      </c>
      <c r="AJ768" s="198">
        <f t="shared" si="5"/>
        <v>39000</v>
      </c>
      <c r="AK768" s="198">
        <f t="shared" si="6"/>
        <v>39000</v>
      </c>
      <c r="AL768" s="113"/>
      <c r="AM768" s="113"/>
    </row>
    <row r="769">
      <c r="A769" s="193">
        <v>768.0</v>
      </c>
      <c r="B769" s="194">
        <v>44489.0</v>
      </c>
      <c r="C769" s="195" t="str">
        <f t="shared" si="7"/>
        <v>102021</v>
      </c>
      <c r="D769" s="196" t="s">
        <v>1976</v>
      </c>
      <c r="E769" s="193" t="s">
        <v>1977</v>
      </c>
      <c r="F769" s="196" t="s">
        <v>1592</v>
      </c>
      <c r="G769" s="193" t="s">
        <v>64</v>
      </c>
      <c r="H769" s="193" t="s">
        <v>41</v>
      </c>
      <c r="I769" s="193" t="s">
        <v>643</v>
      </c>
      <c r="J769" s="197">
        <v>1.0</v>
      </c>
      <c r="K769" s="197">
        <v>1.0</v>
      </c>
      <c r="L769" s="108"/>
      <c r="M769" s="108"/>
      <c r="N769" s="108"/>
      <c r="O769" s="108"/>
      <c r="P769" s="108"/>
      <c r="Q769" s="109"/>
      <c r="R769" s="109"/>
      <c r="S769" s="193" t="s">
        <v>98</v>
      </c>
      <c r="T769" s="193" t="s">
        <v>83</v>
      </c>
      <c r="U769" s="193" t="s">
        <v>99</v>
      </c>
      <c r="V769" s="193" t="s">
        <v>1984</v>
      </c>
      <c r="W769" s="110"/>
      <c r="X769" s="110"/>
      <c r="Y769" s="110"/>
      <c r="Z769" s="110"/>
      <c r="AA769" s="198">
        <v>13471.0</v>
      </c>
      <c r="AB769" s="198">
        <v>53883.0</v>
      </c>
      <c r="AC769" s="24" t="s">
        <v>2426</v>
      </c>
      <c r="AD769" s="195">
        <v>6288.0</v>
      </c>
      <c r="AE769" s="38"/>
      <c r="AF769" s="193" t="str">
        <f t="shared" si="1"/>
        <v>Capital Federal, Argentina</v>
      </c>
      <c r="AG769" s="193">
        <f t="shared" si="2"/>
        <v>2</v>
      </c>
      <c r="AH769" s="200">
        <f t="shared" si="3"/>
        <v>0</v>
      </c>
      <c r="AI769" s="200">
        <f t="shared" si="4"/>
        <v>0</v>
      </c>
      <c r="AJ769" s="198">
        <f t="shared" si="5"/>
        <v>67354</v>
      </c>
      <c r="AK769" s="198">
        <f t="shared" si="6"/>
        <v>67354</v>
      </c>
      <c r="AL769" s="113"/>
      <c r="AM769" s="113"/>
    </row>
    <row r="770">
      <c r="A770" s="193">
        <v>769.0</v>
      </c>
      <c r="B770" s="194">
        <v>44491.0</v>
      </c>
      <c r="C770" s="195" t="str">
        <f t="shared" si="7"/>
        <v>102021</v>
      </c>
      <c r="D770" s="196" t="s">
        <v>2427</v>
      </c>
      <c r="E770" s="193" t="s">
        <v>2299</v>
      </c>
      <c r="F770" s="196" t="s">
        <v>13</v>
      </c>
      <c r="G770" s="193" t="s">
        <v>64</v>
      </c>
      <c r="H770" s="193" t="s">
        <v>41</v>
      </c>
      <c r="I770" s="193" t="s">
        <v>643</v>
      </c>
      <c r="J770" s="108"/>
      <c r="K770" s="108"/>
      <c r="L770" s="108"/>
      <c r="M770" s="108"/>
      <c r="N770" s="197">
        <v>1.0</v>
      </c>
      <c r="O770" s="108"/>
      <c r="P770" s="108"/>
      <c r="Q770" s="109"/>
      <c r="R770" s="109"/>
      <c r="S770" s="193" t="s">
        <v>105</v>
      </c>
      <c r="T770" s="193" t="s">
        <v>66</v>
      </c>
      <c r="U770" s="193" t="s">
        <v>99</v>
      </c>
      <c r="V770" s="193" t="s">
        <v>1984</v>
      </c>
      <c r="W770" s="110"/>
      <c r="X770" s="110"/>
      <c r="Y770" s="110"/>
      <c r="Z770" s="110"/>
      <c r="AA770" s="198">
        <v>7800.0</v>
      </c>
      <c r="AB770" s="198">
        <v>12480.0</v>
      </c>
      <c r="AC770" s="24" t="s">
        <v>2428</v>
      </c>
      <c r="AD770" s="195">
        <v>6298.0</v>
      </c>
      <c r="AE770" s="38"/>
      <c r="AF770" s="193" t="str">
        <f t="shared" si="1"/>
        <v>Buenos Aires, Argentina</v>
      </c>
      <c r="AG770" s="193">
        <f t="shared" si="2"/>
        <v>1</v>
      </c>
      <c r="AH770" s="200">
        <f t="shared" si="3"/>
        <v>0</v>
      </c>
      <c r="AI770" s="200">
        <f t="shared" si="4"/>
        <v>0</v>
      </c>
      <c r="AJ770" s="198">
        <f t="shared" si="5"/>
        <v>20280</v>
      </c>
      <c r="AK770" s="198">
        <f t="shared" si="6"/>
        <v>20280</v>
      </c>
      <c r="AL770" s="113"/>
      <c r="AM770" s="113"/>
    </row>
    <row r="771">
      <c r="A771" s="193">
        <v>770.0</v>
      </c>
      <c r="B771" s="194">
        <v>44491.0</v>
      </c>
      <c r="C771" s="195" t="str">
        <f t="shared" si="7"/>
        <v>102021</v>
      </c>
      <c r="D771" s="196" t="s">
        <v>2321</v>
      </c>
      <c r="E771" s="193" t="s">
        <v>2322</v>
      </c>
      <c r="F771" s="196" t="s">
        <v>1423</v>
      </c>
      <c r="G771" s="193" t="s">
        <v>64</v>
      </c>
      <c r="H771" s="193" t="s">
        <v>41</v>
      </c>
      <c r="I771" s="193" t="s">
        <v>643</v>
      </c>
      <c r="J771" s="197">
        <v>1.0</v>
      </c>
      <c r="K771" s="108"/>
      <c r="L771" s="108"/>
      <c r="M771" s="108"/>
      <c r="N771" s="108"/>
      <c r="O771" s="108"/>
      <c r="P771" s="108"/>
      <c r="Q771" s="109"/>
      <c r="R771" s="109"/>
      <c r="S771" s="193" t="s">
        <v>65</v>
      </c>
      <c r="T771" s="193" t="s">
        <v>984</v>
      </c>
      <c r="U771" s="193" t="s">
        <v>67</v>
      </c>
      <c r="V771" s="193" t="s">
        <v>84</v>
      </c>
      <c r="W771" s="110"/>
      <c r="X771" s="110"/>
      <c r="Y771" s="110"/>
      <c r="Z771" s="110"/>
      <c r="AA771" s="198">
        <v>7400.0</v>
      </c>
      <c r="AB771" s="198">
        <v>35520.0</v>
      </c>
      <c r="AC771" s="24" t="s">
        <v>2429</v>
      </c>
      <c r="AD771" s="195">
        <v>6296.0</v>
      </c>
      <c r="AE771" s="38"/>
      <c r="AF771" s="193" t="str">
        <f t="shared" si="1"/>
        <v>Santiago del Estero, Argentina</v>
      </c>
      <c r="AG771" s="193">
        <f t="shared" si="2"/>
        <v>1</v>
      </c>
      <c r="AH771" s="200">
        <f t="shared" si="3"/>
        <v>0</v>
      </c>
      <c r="AI771" s="200">
        <f t="shared" si="4"/>
        <v>0</v>
      </c>
      <c r="AJ771" s="198">
        <f t="shared" si="5"/>
        <v>42920</v>
      </c>
      <c r="AK771" s="198">
        <f t="shared" si="6"/>
        <v>42920</v>
      </c>
      <c r="AL771" s="113"/>
      <c r="AM771" s="113"/>
    </row>
    <row r="772">
      <c r="A772" s="193">
        <v>771.0</v>
      </c>
      <c r="B772" s="194">
        <v>44491.0</v>
      </c>
      <c r="C772" s="195" t="str">
        <f t="shared" si="7"/>
        <v>102021</v>
      </c>
      <c r="D772" s="196" t="s">
        <v>2430</v>
      </c>
      <c r="E772" s="193" t="s">
        <v>2431</v>
      </c>
      <c r="F772" s="196" t="s">
        <v>2432</v>
      </c>
      <c r="G772" s="193" t="s">
        <v>40</v>
      </c>
      <c r="H772" s="193" t="s">
        <v>41</v>
      </c>
      <c r="I772" s="193" t="s">
        <v>643</v>
      </c>
      <c r="J772" s="197">
        <v>7.0</v>
      </c>
      <c r="K772" s="108"/>
      <c r="L772" s="108"/>
      <c r="M772" s="197">
        <v>1.0</v>
      </c>
      <c r="N772" s="108"/>
      <c r="O772" s="108"/>
      <c r="P772" s="108"/>
      <c r="Q772" s="109"/>
      <c r="R772" s="109"/>
      <c r="S772" s="193" t="s">
        <v>105</v>
      </c>
      <c r="T772" s="193" t="s">
        <v>66</v>
      </c>
      <c r="U772" s="193" t="s">
        <v>1027</v>
      </c>
      <c r="V772" s="193" t="s">
        <v>84</v>
      </c>
      <c r="W772" s="110"/>
      <c r="X772" s="110"/>
      <c r="Y772" s="110"/>
      <c r="Z772" s="110"/>
      <c r="AA772" s="198">
        <v>62400.0</v>
      </c>
      <c r="AB772" s="198">
        <v>265200.0</v>
      </c>
      <c r="AC772" s="24" t="s">
        <v>2433</v>
      </c>
      <c r="AD772" s="195">
        <v>6294.0</v>
      </c>
      <c r="AE772" s="38"/>
      <c r="AF772" s="193" t="str">
        <f t="shared" si="1"/>
        <v>Buenos Aires, Argentina</v>
      </c>
      <c r="AG772" s="193">
        <f t="shared" si="2"/>
        <v>8</v>
      </c>
      <c r="AH772" s="200">
        <f t="shared" si="3"/>
        <v>0</v>
      </c>
      <c r="AI772" s="200">
        <f t="shared" si="4"/>
        <v>0</v>
      </c>
      <c r="AJ772" s="198">
        <f t="shared" si="5"/>
        <v>327600</v>
      </c>
      <c r="AK772" s="198">
        <f t="shared" si="6"/>
        <v>327600</v>
      </c>
      <c r="AL772" s="113"/>
      <c r="AM772" s="113"/>
    </row>
    <row r="773">
      <c r="A773" s="193">
        <v>772.0</v>
      </c>
      <c r="B773" s="194">
        <v>44494.0</v>
      </c>
      <c r="C773" s="195" t="str">
        <f t="shared" si="7"/>
        <v>102021</v>
      </c>
      <c r="D773" s="196" t="s">
        <v>2084</v>
      </c>
      <c r="E773" s="193" t="s">
        <v>2085</v>
      </c>
      <c r="F773" s="196" t="s">
        <v>1423</v>
      </c>
      <c r="G773" s="193" t="s">
        <v>64</v>
      </c>
      <c r="H773" s="193" t="s">
        <v>41</v>
      </c>
      <c r="I773" s="193" t="s">
        <v>643</v>
      </c>
      <c r="J773" s="197">
        <v>1.0</v>
      </c>
      <c r="K773" s="108"/>
      <c r="L773" s="108"/>
      <c r="M773" s="108"/>
      <c r="N773" s="108"/>
      <c r="O773" s="108"/>
      <c r="P773" s="108"/>
      <c r="Q773" s="109"/>
      <c r="R773" s="109"/>
      <c r="S773" s="193" t="s">
        <v>167</v>
      </c>
      <c r="T773" s="193" t="s">
        <v>83</v>
      </c>
      <c r="U773" s="193" t="s">
        <v>99</v>
      </c>
      <c r="V773" s="193" t="s">
        <v>1984</v>
      </c>
      <c r="W773" s="110"/>
      <c r="X773" s="110"/>
      <c r="Y773" s="110"/>
      <c r="Z773" s="110"/>
      <c r="AA773" s="198">
        <v>7800.0</v>
      </c>
      <c r="AB773" s="198">
        <v>31200.0</v>
      </c>
      <c r="AC773" s="24" t="s">
        <v>2434</v>
      </c>
      <c r="AD773" s="195">
        <v>6310.0</v>
      </c>
      <c r="AE773" s="38"/>
      <c r="AF773" s="193" t="str">
        <f t="shared" si="1"/>
        <v>Capital Federal, Argentina</v>
      </c>
      <c r="AG773" s="193">
        <f t="shared" si="2"/>
        <v>1</v>
      </c>
      <c r="AH773" s="200">
        <f t="shared" si="3"/>
        <v>0</v>
      </c>
      <c r="AI773" s="200">
        <f t="shared" si="4"/>
        <v>0</v>
      </c>
      <c r="AJ773" s="198">
        <f t="shared" si="5"/>
        <v>39000</v>
      </c>
      <c r="AK773" s="198">
        <f t="shared" si="6"/>
        <v>39000</v>
      </c>
      <c r="AL773" s="113"/>
      <c r="AM773" s="113"/>
    </row>
    <row r="774">
      <c r="A774" s="193">
        <v>773.0</v>
      </c>
      <c r="B774" s="194">
        <v>44494.0</v>
      </c>
      <c r="C774" s="195" t="str">
        <f t="shared" si="7"/>
        <v>102021</v>
      </c>
      <c r="D774" s="196" t="s">
        <v>2435</v>
      </c>
      <c r="E774" s="193" t="s">
        <v>2436</v>
      </c>
      <c r="F774" s="196" t="s">
        <v>1592</v>
      </c>
      <c r="G774" s="193" t="s">
        <v>64</v>
      </c>
      <c r="H774" s="193" t="s">
        <v>41</v>
      </c>
      <c r="I774" s="193" t="s">
        <v>643</v>
      </c>
      <c r="J774" s="197">
        <v>1.0</v>
      </c>
      <c r="K774" s="197">
        <v>1.0</v>
      </c>
      <c r="L774" s="108"/>
      <c r="M774" s="108"/>
      <c r="N774" s="108"/>
      <c r="O774" s="108"/>
      <c r="P774" s="108"/>
      <c r="Q774" s="109"/>
      <c r="R774" s="109"/>
      <c r="S774" s="193" t="s">
        <v>137</v>
      </c>
      <c r="T774" s="193" t="s">
        <v>66</v>
      </c>
      <c r="U774" s="193" t="s">
        <v>99</v>
      </c>
      <c r="V774" s="193" t="s">
        <v>1984</v>
      </c>
      <c r="W774" s="110"/>
      <c r="X774" s="110"/>
      <c r="Y774" s="110"/>
      <c r="Z774" s="110"/>
      <c r="AA774" s="198">
        <v>13471.0</v>
      </c>
      <c r="AB774" s="198">
        <v>53883.0</v>
      </c>
      <c r="AC774" s="24" t="s">
        <v>2437</v>
      </c>
      <c r="AD774" s="195">
        <v>6324.0</v>
      </c>
      <c r="AE774" s="38"/>
      <c r="AF774" s="193" t="str">
        <f t="shared" si="1"/>
        <v>Buenos Aires, Argentina</v>
      </c>
      <c r="AG774" s="193">
        <f t="shared" si="2"/>
        <v>2</v>
      </c>
      <c r="AH774" s="200">
        <f t="shared" si="3"/>
        <v>0</v>
      </c>
      <c r="AI774" s="200">
        <f t="shared" si="4"/>
        <v>0</v>
      </c>
      <c r="AJ774" s="198">
        <f t="shared" si="5"/>
        <v>67354</v>
      </c>
      <c r="AK774" s="198">
        <f t="shared" si="6"/>
        <v>67354</v>
      </c>
      <c r="AL774" s="113"/>
      <c r="AM774" s="113"/>
    </row>
    <row r="775">
      <c r="A775" s="193">
        <v>774.0</v>
      </c>
      <c r="B775" s="194">
        <v>44496.0</v>
      </c>
      <c r="C775" s="195" t="str">
        <f t="shared" si="7"/>
        <v>102021</v>
      </c>
      <c r="D775" s="196" t="s">
        <v>795</v>
      </c>
      <c r="E775" s="193" t="s">
        <v>796</v>
      </c>
      <c r="F775" s="196" t="s">
        <v>1415</v>
      </c>
      <c r="G775" s="193" t="s">
        <v>64</v>
      </c>
      <c r="H775" s="193" t="s">
        <v>41</v>
      </c>
      <c r="I775" s="193" t="s">
        <v>643</v>
      </c>
      <c r="J775" s="108"/>
      <c r="K775" s="197">
        <v>1.0</v>
      </c>
      <c r="L775" s="108"/>
      <c r="M775" s="108"/>
      <c r="N775" s="108"/>
      <c r="O775" s="108"/>
      <c r="P775" s="108"/>
      <c r="Q775" s="109"/>
      <c r="R775" s="109"/>
      <c r="S775" s="193" t="s">
        <v>98</v>
      </c>
      <c r="T775" s="193" t="s">
        <v>66</v>
      </c>
      <c r="U775" s="193" t="s">
        <v>99</v>
      </c>
      <c r="V775" s="193" t="s">
        <v>1984</v>
      </c>
      <c r="W775" s="110"/>
      <c r="X775" s="110"/>
      <c r="Y775" s="110"/>
      <c r="Z775" s="110"/>
      <c r="AA775" s="198">
        <v>5671.0</v>
      </c>
      <c r="AB775" s="198">
        <v>22683.0</v>
      </c>
      <c r="AC775" s="24" t="s">
        <v>2438</v>
      </c>
      <c r="AD775" s="195">
        <v>6330.0</v>
      </c>
      <c r="AE775" s="38"/>
      <c r="AF775" s="193" t="str">
        <f t="shared" si="1"/>
        <v>Buenos Aires, Argentina</v>
      </c>
      <c r="AG775" s="193">
        <f t="shared" si="2"/>
        <v>1</v>
      </c>
      <c r="AH775" s="200">
        <f t="shared" si="3"/>
        <v>0</v>
      </c>
      <c r="AI775" s="200">
        <f t="shared" si="4"/>
        <v>0</v>
      </c>
      <c r="AJ775" s="198">
        <f t="shared" si="5"/>
        <v>28354</v>
      </c>
      <c r="AK775" s="198">
        <f t="shared" si="6"/>
        <v>28354</v>
      </c>
      <c r="AL775" s="113"/>
      <c r="AM775" s="113"/>
    </row>
    <row r="776">
      <c r="A776" s="193">
        <v>775.0</v>
      </c>
      <c r="B776" s="194">
        <v>44496.0</v>
      </c>
      <c r="C776" s="195" t="str">
        <f t="shared" si="7"/>
        <v>102021</v>
      </c>
      <c r="D776" s="196" t="s">
        <v>437</v>
      </c>
      <c r="E776" s="193" t="s">
        <v>438</v>
      </c>
      <c r="F776" s="196" t="s">
        <v>1423</v>
      </c>
      <c r="G776" s="193" t="s">
        <v>64</v>
      </c>
      <c r="H776" s="193" t="s">
        <v>41</v>
      </c>
      <c r="I776" s="193" t="s">
        <v>643</v>
      </c>
      <c r="J776" s="197">
        <v>1.0</v>
      </c>
      <c r="K776" s="108"/>
      <c r="L776" s="108"/>
      <c r="M776" s="108"/>
      <c r="N776" s="108"/>
      <c r="O776" s="108"/>
      <c r="P776" s="108"/>
      <c r="Q776" s="109"/>
      <c r="R776" s="109"/>
      <c r="S776" s="193" t="s">
        <v>105</v>
      </c>
      <c r="T776" s="193" t="s">
        <v>83</v>
      </c>
      <c r="U776" s="193" t="s">
        <v>99</v>
      </c>
      <c r="V776" s="193" t="s">
        <v>1984</v>
      </c>
      <c r="W776" s="110"/>
      <c r="X776" s="110"/>
      <c r="Y776" s="110"/>
      <c r="Z776" s="110"/>
      <c r="AA776" s="198">
        <v>7800.0</v>
      </c>
      <c r="AB776" s="198">
        <v>31200.0</v>
      </c>
      <c r="AC776" s="24" t="s">
        <v>2439</v>
      </c>
      <c r="AD776" s="195">
        <v>6332.0</v>
      </c>
      <c r="AE776" s="38"/>
      <c r="AF776" s="193" t="str">
        <f t="shared" si="1"/>
        <v>Capital Federal, Argentina</v>
      </c>
      <c r="AG776" s="193">
        <f t="shared" si="2"/>
        <v>1</v>
      </c>
      <c r="AH776" s="200">
        <f t="shared" si="3"/>
        <v>0</v>
      </c>
      <c r="AI776" s="200">
        <f t="shared" si="4"/>
        <v>0</v>
      </c>
      <c r="AJ776" s="198">
        <f t="shared" si="5"/>
        <v>39000</v>
      </c>
      <c r="AK776" s="198">
        <f t="shared" si="6"/>
        <v>39000</v>
      </c>
      <c r="AL776" s="113"/>
      <c r="AM776" s="113"/>
    </row>
    <row r="777">
      <c r="A777" s="193">
        <v>776.0</v>
      </c>
      <c r="B777" s="194">
        <v>44497.0</v>
      </c>
      <c r="C777" s="195" t="str">
        <f t="shared" si="7"/>
        <v>102021</v>
      </c>
      <c r="D777" s="196" t="s">
        <v>2440</v>
      </c>
      <c r="E777" s="193" t="s">
        <v>2441</v>
      </c>
      <c r="F777" s="196" t="s">
        <v>2141</v>
      </c>
      <c r="G777" s="193" t="s">
        <v>40</v>
      </c>
      <c r="H777" s="193" t="s">
        <v>41</v>
      </c>
      <c r="I777" s="193" t="s">
        <v>643</v>
      </c>
      <c r="J777" s="197">
        <v>1.0</v>
      </c>
      <c r="K777" s="197">
        <v>1.0</v>
      </c>
      <c r="L777" s="108"/>
      <c r="M777" s="197">
        <v>1.0</v>
      </c>
      <c r="N777" s="108"/>
      <c r="O777" s="108"/>
      <c r="P777" s="108"/>
      <c r="Q777" s="109"/>
      <c r="R777" s="109"/>
      <c r="S777" s="193" t="s">
        <v>189</v>
      </c>
      <c r="T777" s="193" t="s">
        <v>66</v>
      </c>
      <c r="U777" s="193" t="s">
        <v>342</v>
      </c>
      <c r="V777" s="193" t="s">
        <v>1984</v>
      </c>
      <c r="W777" s="110"/>
      <c r="X777" s="110"/>
      <c r="Y777" s="110"/>
      <c r="Z777" s="110"/>
      <c r="AA777" s="198">
        <v>21271.0</v>
      </c>
      <c r="AB777" s="198">
        <v>102102.0</v>
      </c>
      <c r="AC777" s="24" t="s">
        <v>2442</v>
      </c>
      <c r="AD777" s="195">
        <v>6338.0</v>
      </c>
      <c r="AE777" s="38"/>
      <c r="AF777" s="193" t="str">
        <f t="shared" si="1"/>
        <v>Buenos Aires, Argentina</v>
      </c>
      <c r="AG777" s="193">
        <f t="shared" si="2"/>
        <v>3</v>
      </c>
      <c r="AH777" s="200">
        <f t="shared" si="3"/>
        <v>0</v>
      </c>
      <c r="AI777" s="200">
        <f t="shared" si="4"/>
        <v>0</v>
      </c>
      <c r="AJ777" s="198">
        <f t="shared" si="5"/>
        <v>123373</v>
      </c>
      <c r="AK777" s="198">
        <f t="shared" si="6"/>
        <v>123373</v>
      </c>
      <c r="AL777" s="113"/>
      <c r="AM777" s="113"/>
    </row>
    <row r="778">
      <c r="A778" s="193">
        <v>777.0</v>
      </c>
      <c r="B778" s="194">
        <v>44497.0</v>
      </c>
      <c r="C778" s="195" t="str">
        <f t="shared" si="7"/>
        <v>102021</v>
      </c>
      <c r="D778" s="196" t="s">
        <v>2443</v>
      </c>
      <c r="E778" s="193" t="s">
        <v>2444</v>
      </c>
      <c r="F778" s="196" t="s">
        <v>1592</v>
      </c>
      <c r="G778" s="193" t="s">
        <v>40</v>
      </c>
      <c r="H778" s="193" t="s">
        <v>41</v>
      </c>
      <c r="I778" s="193" t="s">
        <v>643</v>
      </c>
      <c r="J778" s="197">
        <v>1.0</v>
      </c>
      <c r="K778" s="197">
        <v>1.0</v>
      </c>
      <c r="L778" s="108"/>
      <c r="M778" s="108"/>
      <c r="N778" s="108"/>
      <c r="O778" s="108"/>
      <c r="P778" s="108"/>
      <c r="Q778" s="109"/>
      <c r="R778" s="109"/>
      <c r="S778" s="193" t="s">
        <v>137</v>
      </c>
      <c r="T778" s="193" t="s">
        <v>83</v>
      </c>
      <c r="U778" s="193" t="s">
        <v>99</v>
      </c>
      <c r="V778" s="193" t="s">
        <v>1984</v>
      </c>
      <c r="W778" s="110"/>
      <c r="X778" s="110"/>
      <c r="Y778" s="110"/>
      <c r="Z778" s="110"/>
      <c r="AA778" s="198">
        <v>13471.0</v>
      </c>
      <c r="AB778" s="198">
        <v>52536.0</v>
      </c>
      <c r="AC778" s="24" t="s">
        <v>2445</v>
      </c>
      <c r="AD778" s="195">
        <v>6340.0</v>
      </c>
      <c r="AE778" s="38"/>
      <c r="AF778" s="193" t="str">
        <f t="shared" si="1"/>
        <v>Capital Federal, Argentina</v>
      </c>
      <c r="AG778" s="193">
        <f t="shared" si="2"/>
        <v>2</v>
      </c>
      <c r="AH778" s="200">
        <f t="shared" si="3"/>
        <v>0</v>
      </c>
      <c r="AI778" s="200">
        <f t="shared" si="4"/>
        <v>0</v>
      </c>
      <c r="AJ778" s="198">
        <f t="shared" si="5"/>
        <v>66007</v>
      </c>
      <c r="AK778" s="198">
        <f t="shared" si="6"/>
        <v>66007</v>
      </c>
      <c r="AL778" s="113"/>
      <c r="AM778" s="113"/>
    </row>
    <row r="779">
      <c r="A779" s="193">
        <v>778.0</v>
      </c>
      <c r="B779" s="194">
        <v>44498.0</v>
      </c>
      <c r="C779" s="195" t="str">
        <f t="shared" si="7"/>
        <v>102021</v>
      </c>
      <c r="D779" s="196" t="s">
        <v>2446</v>
      </c>
      <c r="E779" s="193" t="s">
        <v>2447</v>
      </c>
      <c r="F779" s="196" t="s">
        <v>2448</v>
      </c>
      <c r="G779" s="193" t="s">
        <v>40</v>
      </c>
      <c r="H779" s="193" t="s">
        <v>41</v>
      </c>
      <c r="I779" s="193" t="s">
        <v>643</v>
      </c>
      <c r="J779" s="197">
        <v>1.0</v>
      </c>
      <c r="K779" s="197">
        <v>1.0</v>
      </c>
      <c r="L779" s="108"/>
      <c r="M779" s="197">
        <v>1.0</v>
      </c>
      <c r="N779" s="108"/>
      <c r="O779" s="197">
        <v>1.0</v>
      </c>
      <c r="P779" s="108"/>
      <c r="Q779" s="109"/>
      <c r="R779" s="109"/>
      <c r="S779" s="193" t="s">
        <v>65</v>
      </c>
      <c r="T779" s="193" t="s">
        <v>66</v>
      </c>
      <c r="U779" s="193" t="s">
        <v>342</v>
      </c>
      <c r="V779" s="193" t="s">
        <v>1984</v>
      </c>
      <c r="W779" s="110"/>
      <c r="X779" s="110"/>
      <c r="Y779" s="110"/>
      <c r="Z779" s="110"/>
      <c r="AA779" s="198">
        <v>21271.0</v>
      </c>
      <c r="AB779" s="198">
        <v>89337.0</v>
      </c>
      <c r="AC779" s="24" t="s">
        <v>2449</v>
      </c>
      <c r="AD779" s="195">
        <v>6350.0</v>
      </c>
      <c r="AE779" s="38"/>
      <c r="AF779" s="193" t="str">
        <f t="shared" si="1"/>
        <v>Buenos Aires, Argentina</v>
      </c>
      <c r="AG779" s="193">
        <f t="shared" si="2"/>
        <v>4</v>
      </c>
      <c r="AH779" s="200">
        <f t="shared" si="3"/>
        <v>0</v>
      </c>
      <c r="AI779" s="200">
        <f t="shared" si="4"/>
        <v>0</v>
      </c>
      <c r="AJ779" s="198">
        <f t="shared" si="5"/>
        <v>110608</v>
      </c>
      <c r="AK779" s="198">
        <f t="shared" si="6"/>
        <v>110608</v>
      </c>
      <c r="AL779" s="113"/>
      <c r="AM779" s="113"/>
    </row>
    <row r="780">
      <c r="A780" s="193">
        <v>779.0</v>
      </c>
      <c r="B780" s="194">
        <v>44498.0</v>
      </c>
      <c r="C780" s="195" t="str">
        <f t="shared" si="7"/>
        <v>102021</v>
      </c>
      <c r="D780" s="196" t="s">
        <v>2450</v>
      </c>
      <c r="E780" s="193" t="s">
        <v>2093</v>
      </c>
      <c r="F780" s="196" t="s">
        <v>2361</v>
      </c>
      <c r="G780" s="193" t="s">
        <v>64</v>
      </c>
      <c r="H780" s="193" t="s">
        <v>41</v>
      </c>
      <c r="I780" s="193" t="s">
        <v>643</v>
      </c>
      <c r="J780" s="108"/>
      <c r="K780" s="108"/>
      <c r="L780" s="108"/>
      <c r="M780" s="108"/>
      <c r="N780" s="108"/>
      <c r="O780" s="108"/>
      <c r="P780" s="108"/>
      <c r="Q780" s="109"/>
      <c r="R780" s="109"/>
      <c r="S780" s="193" t="s">
        <v>65</v>
      </c>
      <c r="T780" s="193" t="s">
        <v>66</v>
      </c>
      <c r="U780" s="193" t="s">
        <v>342</v>
      </c>
      <c r="V780" s="193" t="s">
        <v>84</v>
      </c>
      <c r="W780" s="110"/>
      <c r="X780" s="110"/>
      <c r="Y780" s="110"/>
      <c r="Z780" s="110"/>
      <c r="AA780" s="198">
        <v>0.0</v>
      </c>
      <c r="AB780" s="198">
        <v>66300.0</v>
      </c>
      <c r="AC780" s="24" t="s">
        <v>2451</v>
      </c>
      <c r="AD780" s="195">
        <v>6346.0</v>
      </c>
      <c r="AE780" s="38"/>
      <c r="AF780" s="193" t="str">
        <f t="shared" si="1"/>
        <v>Buenos Aires, Argentina</v>
      </c>
      <c r="AG780" s="193">
        <f t="shared" si="2"/>
        <v>0</v>
      </c>
      <c r="AH780" s="200">
        <f t="shared" si="3"/>
        <v>0</v>
      </c>
      <c r="AI780" s="200">
        <f t="shared" si="4"/>
        <v>0</v>
      </c>
      <c r="AJ780" s="198">
        <f t="shared" si="5"/>
        <v>66300</v>
      </c>
      <c r="AK780" s="198">
        <f t="shared" si="6"/>
        <v>66300</v>
      </c>
      <c r="AL780" s="113"/>
      <c r="AM780" s="113"/>
    </row>
    <row r="781">
      <c r="A781" s="193">
        <v>780.0</v>
      </c>
      <c r="B781" s="194">
        <v>44498.0</v>
      </c>
      <c r="C781" s="195" t="str">
        <f t="shared" si="7"/>
        <v>102021</v>
      </c>
      <c r="D781" s="196" t="s">
        <v>729</v>
      </c>
      <c r="E781" s="193" t="s">
        <v>2452</v>
      </c>
      <c r="F781" s="196" t="s">
        <v>1423</v>
      </c>
      <c r="G781" s="193" t="s">
        <v>64</v>
      </c>
      <c r="H781" s="193" t="s">
        <v>41</v>
      </c>
      <c r="I781" s="193" t="s">
        <v>643</v>
      </c>
      <c r="J781" s="197">
        <v>1.0</v>
      </c>
      <c r="K781" s="108"/>
      <c r="L781" s="108"/>
      <c r="M781" s="108"/>
      <c r="N781" s="108"/>
      <c r="O781" s="108"/>
      <c r="P781" s="108"/>
      <c r="Q781" s="109"/>
      <c r="R781" s="109"/>
      <c r="S781" s="193" t="s">
        <v>137</v>
      </c>
      <c r="T781" s="193" t="s">
        <v>66</v>
      </c>
      <c r="U781" s="193" t="s">
        <v>99</v>
      </c>
      <c r="V781" s="193" t="s">
        <v>1984</v>
      </c>
      <c r="W781" s="110"/>
      <c r="X781" s="110"/>
      <c r="Y781" s="110"/>
      <c r="Z781" s="110"/>
      <c r="AA781" s="198">
        <v>7800.0</v>
      </c>
      <c r="AB781" s="198">
        <v>31200.0</v>
      </c>
      <c r="AC781" s="24" t="s">
        <v>2453</v>
      </c>
      <c r="AD781" s="195">
        <v>6370.0</v>
      </c>
      <c r="AE781" s="38"/>
      <c r="AF781" s="193" t="str">
        <f t="shared" si="1"/>
        <v>Buenos Aires, Argentina</v>
      </c>
      <c r="AG781" s="193">
        <f t="shared" si="2"/>
        <v>1</v>
      </c>
      <c r="AH781" s="200">
        <f t="shared" si="3"/>
        <v>0</v>
      </c>
      <c r="AI781" s="200">
        <f t="shared" si="4"/>
        <v>0</v>
      </c>
      <c r="AJ781" s="198">
        <f t="shared" si="5"/>
        <v>39000</v>
      </c>
      <c r="AK781" s="198">
        <f t="shared" si="6"/>
        <v>39000</v>
      </c>
      <c r="AL781" s="113"/>
      <c r="AM781" s="113"/>
    </row>
    <row r="782">
      <c r="A782" s="193">
        <v>781.0</v>
      </c>
      <c r="B782" s="194">
        <v>44498.0</v>
      </c>
      <c r="C782" s="195" t="str">
        <f t="shared" si="7"/>
        <v>102021</v>
      </c>
      <c r="D782" s="196" t="s">
        <v>2454</v>
      </c>
      <c r="E782" s="193" t="s">
        <v>1810</v>
      </c>
      <c r="F782" s="196" t="s">
        <v>1427</v>
      </c>
      <c r="G782" s="193" t="s">
        <v>64</v>
      </c>
      <c r="H782" s="193" t="s">
        <v>41</v>
      </c>
      <c r="I782" s="193" t="s">
        <v>643</v>
      </c>
      <c r="J782" s="108"/>
      <c r="K782" s="197">
        <v>2.0</v>
      </c>
      <c r="L782" s="108"/>
      <c r="M782" s="108"/>
      <c r="N782" s="108"/>
      <c r="O782" s="108"/>
      <c r="P782" s="108"/>
      <c r="Q782" s="109"/>
      <c r="R782" s="109"/>
      <c r="S782" s="193" t="s">
        <v>65</v>
      </c>
      <c r="T782" s="193" t="s">
        <v>66</v>
      </c>
      <c r="U782" s="193" t="s">
        <v>99</v>
      </c>
      <c r="V782" s="193" t="s">
        <v>1984</v>
      </c>
      <c r="W782" s="110"/>
      <c r="X782" s="110"/>
      <c r="Y782" s="110"/>
      <c r="Z782" s="110"/>
      <c r="AA782" s="198">
        <v>10208.0</v>
      </c>
      <c r="AB782" s="198">
        <v>40832.0</v>
      </c>
      <c r="AC782" s="24" t="s">
        <v>2455</v>
      </c>
      <c r="AD782" s="195">
        <v>6374.0</v>
      </c>
      <c r="AE782" s="38"/>
      <c r="AF782" s="193" t="str">
        <f t="shared" si="1"/>
        <v>Buenos Aires, Argentina</v>
      </c>
      <c r="AG782" s="193">
        <f t="shared" si="2"/>
        <v>2</v>
      </c>
      <c r="AH782" s="200">
        <f t="shared" si="3"/>
        <v>0</v>
      </c>
      <c r="AI782" s="200">
        <f t="shared" si="4"/>
        <v>0</v>
      </c>
      <c r="AJ782" s="198">
        <f t="shared" si="5"/>
        <v>51040</v>
      </c>
      <c r="AK782" s="198">
        <f t="shared" si="6"/>
        <v>51040</v>
      </c>
      <c r="AL782" s="113"/>
      <c r="AM782" s="113"/>
    </row>
    <row r="783">
      <c r="A783" s="193">
        <v>782.0</v>
      </c>
      <c r="B783" s="194">
        <v>44498.0</v>
      </c>
      <c r="C783" s="195" t="str">
        <f t="shared" si="7"/>
        <v>102021</v>
      </c>
      <c r="D783" s="196" t="s">
        <v>2456</v>
      </c>
      <c r="E783" s="193" t="s">
        <v>2457</v>
      </c>
      <c r="F783" s="196" t="s">
        <v>2458</v>
      </c>
      <c r="G783" s="193" t="s">
        <v>40</v>
      </c>
      <c r="H783" s="193" t="s">
        <v>41</v>
      </c>
      <c r="I783" s="193" t="s">
        <v>643</v>
      </c>
      <c r="J783" s="197">
        <v>3.0</v>
      </c>
      <c r="K783" s="197">
        <v>5.0</v>
      </c>
      <c r="L783" s="108"/>
      <c r="M783" s="197">
        <v>1.0</v>
      </c>
      <c r="N783" s="197">
        <v>1.0</v>
      </c>
      <c r="O783" s="108"/>
      <c r="P783" s="108"/>
      <c r="Q783" s="109"/>
      <c r="R783" s="109"/>
      <c r="S783" s="193" t="s">
        <v>43</v>
      </c>
      <c r="T783" s="193" t="s">
        <v>83</v>
      </c>
      <c r="U783" s="193" t="s">
        <v>99</v>
      </c>
      <c r="V783" s="193" t="s">
        <v>84</v>
      </c>
      <c r="W783" s="110"/>
      <c r="X783" s="110"/>
      <c r="Y783" s="110"/>
      <c r="Z783" s="110"/>
      <c r="AA783" s="198">
        <v>67355.0</v>
      </c>
      <c r="AB783" s="198">
        <v>261051.0</v>
      </c>
      <c r="AC783" s="24" t="s">
        <v>2459</v>
      </c>
      <c r="AD783" s="195">
        <v>6366.0</v>
      </c>
      <c r="AE783" s="38"/>
      <c r="AF783" s="193" t="str">
        <f t="shared" si="1"/>
        <v>Capital Federal, Argentina</v>
      </c>
      <c r="AG783" s="193">
        <f t="shared" si="2"/>
        <v>10</v>
      </c>
      <c r="AH783" s="200">
        <f t="shared" si="3"/>
        <v>0</v>
      </c>
      <c r="AI783" s="200">
        <f t="shared" si="4"/>
        <v>0</v>
      </c>
      <c r="AJ783" s="198">
        <f t="shared" si="5"/>
        <v>328406</v>
      </c>
      <c r="AK783" s="198">
        <f t="shared" si="6"/>
        <v>328406</v>
      </c>
      <c r="AL783" s="113"/>
      <c r="AM783" s="113"/>
    </row>
    <row r="784">
      <c r="A784" s="209">
        <v>783.0</v>
      </c>
      <c r="B784" s="210">
        <v>44503.0</v>
      </c>
      <c r="C784" s="195" t="str">
        <f t="shared" si="7"/>
        <v>112021</v>
      </c>
      <c r="D784" s="211" t="s">
        <v>2381</v>
      </c>
      <c r="E784" s="209" t="s">
        <v>1935</v>
      </c>
      <c r="F784" s="211" t="s">
        <v>1357</v>
      </c>
      <c r="G784" s="209" t="s">
        <v>64</v>
      </c>
      <c r="H784" s="209" t="s">
        <v>41</v>
      </c>
      <c r="I784" s="209" t="s">
        <v>643</v>
      </c>
      <c r="J784" s="151"/>
      <c r="K784" s="151"/>
      <c r="L784" s="151"/>
      <c r="M784" s="151"/>
      <c r="N784" s="151"/>
      <c r="O784" s="151"/>
      <c r="P784" s="212">
        <v>1.0</v>
      </c>
      <c r="Q784" s="152"/>
      <c r="R784" s="152"/>
      <c r="S784" s="209" t="s">
        <v>65</v>
      </c>
      <c r="T784" s="209" t="s">
        <v>83</v>
      </c>
      <c r="U784" s="209" t="s">
        <v>99</v>
      </c>
      <c r="V784" s="209" t="s">
        <v>1984</v>
      </c>
      <c r="W784" s="153"/>
      <c r="X784" s="153"/>
      <c r="Y784" s="153"/>
      <c r="Z784" s="153"/>
      <c r="AA784" s="213">
        <v>3627.0</v>
      </c>
      <c r="AB784" s="213">
        <v>14507.0</v>
      </c>
      <c r="AC784" s="24" t="s">
        <v>2460</v>
      </c>
      <c r="AD784" s="195">
        <v>6384.0</v>
      </c>
      <c r="AE784" s="38"/>
      <c r="AF784" s="209" t="str">
        <f t="shared" si="1"/>
        <v>Capital Federal, Argentina</v>
      </c>
      <c r="AG784" s="209">
        <f t="shared" si="2"/>
        <v>1</v>
      </c>
      <c r="AH784" s="214">
        <f t="shared" si="3"/>
        <v>0</v>
      </c>
      <c r="AI784" s="214">
        <f t="shared" si="4"/>
        <v>0</v>
      </c>
      <c r="AJ784" s="213">
        <f t="shared" si="5"/>
        <v>18134</v>
      </c>
      <c r="AK784" s="213">
        <f t="shared" si="6"/>
        <v>18134</v>
      </c>
      <c r="AL784" s="156"/>
      <c r="AM784" s="156"/>
    </row>
    <row r="785">
      <c r="A785" s="209">
        <v>784.0</v>
      </c>
      <c r="B785" s="210">
        <v>44505.0</v>
      </c>
      <c r="C785" s="195" t="str">
        <f t="shared" si="7"/>
        <v>112021</v>
      </c>
      <c r="D785" s="211" t="s">
        <v>2461</v>
      </c>
      <c r="E785" s="209" t="s">
        <v>2462</v>
      </c>
      <c r="F785" s="149" t="s">
        <v>2357</v>
      </c>
      <c r="G785" s="209" t="s">
        <v>64</v>
      </c>
      <c r="H785" s="209" t="s">
        <v>41</v>
      </c>
      <c r="I785" s="209" t="s">
        <v>643</v>
      </c>
      <c r="J785" s="151"/>
      <c r="K785" s="151"/>
      <c r="L785" s="151"/>
      <c r="M785" s="151"/>
      <c r="N785" s="151"/>
      <c r="O785" s="151"/>
      <c r="P785" s="151"/>
      <c r="Q785" s="152"/>
      <c r="R785" s="152"/>
      <c r="S785" s="209" t="s">
        <v>109</v>
      </c>
      <c r="T785" s="209" t="s">
        <v>83</v>
      </c>
      <c r="U785" s="209" t="s">
        <v>99</v>
      </c>
      <c r="V785" s="209" t="s">
        <v>1984</v>
      </c>
      <c r="W785" s="153"/>
      <c r="X785" s="153"/>
      <c r="Y785" s="153"/>
      <c r="Z785" s="153"/>
      <c r="AA785" s="213">
        <v>0.0</v>
      </c>
      <c r="AB785" s="213">
        <v>7254.0</v>
      </c>
      <c r="AC785" s="24" t="s">
        <v>2463</v>
      </c>
      <c r="AD785" s="195">
        <v>6390.0</v>
      </c>
      <c r="AE785" s="38"/>
      <c r="AF785" s="209" t="str">
        <f t="shared" si="1"/>
        <v>Capital Federal, Argentina</v>
      </c>
      <c r="AG785" s="209">
        <f t="shared" si="2"/>
        <v>0</v>
      </c>
      <c r="AH785" s="214">
        <f t="shared" si="3"/>
        <v>0</v>
      </c>
      <c r="AI785" s="214">
        <f t="shared" si="4"/>
        <v>0</v>
      </c>
      <c r="AJ785" s="213">
        <f t="shared" si="5"/>
        <v>7254</v>
      </c>
      <c r="AK785" s="213">
        <f t="shared" si="6"/>
        <v>7254</v>
      </c>
      <c r="AL785" s="156"/>
      <c r="AM785" s="156"/>
    </row>
    <row r="786">
      <c r="A786" s="209">
        <v>785.0</v>
      </c>
      <c r="B786" s="210">
        <v>44505.0</v>
      </c>
      <c r="C786" s="195" t="str">
        <f t="shared" si="7"/>
        <v>112021</v>
      </c>
      <c r="D786" s="211" t="s">
        <v>2464</v>
      </c>
      <c r="E786" s="209" t="s">
        <v>2465</v>
      </c>
      <c r="F786" s="149" t="s">
        <v>2114</v>
      </c>
      <c r="G786" s="209" t="s">
        <v>64</v>
      </c>
      <c r="H786" s="209" t="s">
        <v>41</v>
      </c>
      <c r="I786" s="209" t="s">
        <v>643</v>
      </c>
      <c r="J786" s="151"/>
      <c r="K786" s="151"/>
      <c r="L786" s="151"/>
      <c r="M786" s="151"/>
      <c r="N786" s="151"/>
      <c r="O786" s="151"/>
      <c r="P786" s="151"/>
      <c r="Q786" s="152"/>
      <c r="R786" s="152"/>
      <c r="S786" s="209" t="s">
        <v>276</v>
      </c>
      <c r="T786" s="209" t="s">
        <v>66</v>
      </c>
      <c r="U786" s="209" t="s">
        <v>99</v>
      </c>
      <c r="V786" s="209" t="s">
        <v>1984</v>
      </c>
      <c r="W786" s="153"/>
      <c r="X786" s="153"/>
      <c r="Y786" s="153"/>
      <c r="Z786" s="153"/>
      <c r="AA786" s="213">
        <v>0.0</v>
      </c>
      <c r="AB786" s="213">
        <v>19344.0</v>
      </c>
      <c r="AC786" s="24" t="s">
        <v>2466</v>
      </c>
      <c r="AD786" s="195">
        <v>6398.0</v>
      </c>
      <c r="AE786" s="38"/>
      <c r="AF786" s="209" t="str">
        <f t="shared" si="1"/>
        <v>Buenos Aires, Argentina</v>
      </c>
      <c r="AG786" s="209">
        <f t="shared" si="2"/>
        <v>0</v>
      </c>
      <c r="AH786" s="214">
        <f t="shared" si="3"/>
        <v>0</v>
      </c>
      <c r="AI786" s="214">
        <f t="shared" si="4"/>
        <v>0</v>
      </c>
      <c r="AJ786" s="213">
        <f t="shared" si="5"/>
        <v>19344</v>
      </c>
      <c r="AK786" s="213">
        <f t="shared" si="6"/>
        <v>19344</v>
      </c>
      <c r="AL786" s="156"/>
      <c r="AM786" s="156"/>
    </row>
    <row r="787">
      <c r="A787" s="209">
        <v>786.0</v>
      </c>
      <c r="B787" s="210">
        <v>44509.0</v>
      </c>
      <c r="C787" s="195" t="str">
        <f t="shared" si="7"/>
        <v>112021</v>
      </c>
      <c r="D787" s="211" t="s">
        <v>2467</v>
      </c>
      <c r="E787" s="209" t="s">
        <v>2468</v>
      </c>
      <c r="F787" s="211" t="s">
        <v>2248</v>
      </c>
      <c r="G787" s="209" t="s">
        <v>64</v>
      </c>
      <c r="H787" s="209" t="s">
        <v>41</v>
      </c>
      <c r="I787" s="209" t="s">
        <v>643</v>
      </c>
      <c r="J787" s="151"/>
      <c r="K787" s="151"/>
      <c r="L787" s="151"/>
      <c r="M787" s="151"/>
      <c r="N787" s="151"/>
      <c r="O787" s="151"/>
      <c r="P787" s="151"/>
      <c r="Q787" s="152"/>
      <c r="R787" s="152"/>
      <c r="S787" s="209" t="s">
        <v>65</v>
      </c>
      <c r="T787" s="209" t="s">
        <v>839</v>
      </c>
      <c r="U787" s="209" t="s">
        <v>99</v>
      </c>
      <c r="V787" s="209" t="s">
        <v>1984</v>
      </c>
      <c r="W787" s="153"/>
      <c r="X787" s="153"/>
      <c r="Y787" s="153"/>
      <c r="Z787" s="153"/>
      <c r="AA787" s="213">
        <v>0.0</v>
      </c>
      <c r="AB787" s="213">
        <v>25792.0</v>
      </c>
      <c r="AC787" s="24" t="s">
        <v>2469</v>
      </c>
      <c r="AD787" s="195">
        <v>6404.0</v>
      </c>
      <c r="AE787" s="38"/>
      <c r="AF787" s="209" t="str">
        <f t="shared" si="1"/>
        <v>Neuquén, Argentina</v>
      </c>
      <c r="AG787" s="209">
        <f t="shared" si="2"/>
        <v>0</v>
      </c>
      <c r="AH787" s="214">
        <f t="shared" si="3"/>
        <v>0</v>
      </c>
      <c r="AI787" s="214">
        <f t="shared" si="4"/>
        <v>0</v>
      </c>
      <c r="AJ787" s="213">
        <f t="shared" si="5"/>
        <v>25792</v>
      </c>
      <c r="AK787" s="213">
        <f t="shared" si="6"/>
        <v>25792</v>
      </c>
      <c r="AL787" s="156"/>
      <c r="AM787" s="156"/>
    </row>
    <row r="788">
      <c r="A788" s="209">
        <v>787.0</v>
      </c>
      <c r="B788" s="210">
        <v>44509.0</v>
      </c>
      <c r="C788" s="195" t="str">
        <f t="shared" si="7"/>
        <v>112021</v>
      </c>
      <c r="D788" s="211" t="s">
        <v>795</v>
      </c>
      <c r="E788" s="209" t="s">
        <v>796</v>
      </c>
      <c r="F788" s="211" t="s">
        <v>1592</v>
      </c>
      <c r="G788" s="209" t="s">
        <v>64</v>
      </c>
      <c r="H788" s="209" t="s">
        <v>41</v>
      </c>
      <c r="I788" s="209" t="s">
        <v>643</v>
      </c>
      <c r="J788" s="212">
        <v>1.0</v>
      </c>
      <c r="K788" s="212">
        <v>1.0</v>
      </c>
      <c r="L788" s="151"/>
      <c r="M788" s="151"/>
      <c r="N788" s="151"/>
      <c r="O788" s="151"/>
      <c r="P788" s="151"/>
      <c r="Q788" s="152"/>
      <c r="R788" s="152"/>
      <c r="S788" s="209" t="s">
        <v>98</v>
      </c>
      <c r="T788" s="209" t="s">
        <v>66</v>
      </c>
      <c r="U788" s="209" t="s">
        <v>99</v>
      </c>
      <c r="V788" s="209" t="s">
        <v>1984</v>
      </c>
      <c r="W788" s="153"/>
      <c r="X788" s="153"/>
      <c r="Y788" s="153"/>
      <c r="Z788" s="153"/>
      <c r="AA788" s="213">
        <v>14008.0</v>
      </c>
      <c r="AB788" s="213">
        <v>56032.0</v>
      </c>
      <c r="AC788" s="24" t="s">
        <v>2470</v>
      </c>
      <c r="AD788" s="195">
        <v>6406.0</v>
      </c>
      <c r="AE788" s="38"/>
      <c r="AF788" s="209" t="str">
        <f t="shared" si="1"/>
        <v>Buenos Aires, Argentina</v>
      </c>
      <c r="AG788" s="209">
        <f t="shared" si="2"/>
        <v>2</v>
      </c>
      <c r="AH788" s="214">
        <f t="shared" si="3"/>
        <v>0</v>
      </c>
      <c r="AI788" s="214">
        <f t="shared" si="4"/>
        <v>0</v>
      </c>
      <c r="AJ788" s="213">
        <f t="shared" si="5"/>
        <v>70040</v>
      </c>
      <c r="AK788" s="213">
        <f t="shared" si="6"/>
        <v>70040</v>
      </c>
      <c r="AL788" s="156"/>
      <c r="AM788" s="156"/>
    </row>
    <row r="789">
      <c r="A789" s="209">
        <v>788.0</v>
      </c>
      <c r="B789" s="210">
        <v>44510.0</v>
      </c>
      <c r="C789" s="195" t="str">
        <f t="shared" si="7"/>
        <v>112021</v>
      </c>
      <c r="D789" s="211" t="s">
        <v>2471</v>
      </c>
      <c r="E789" s="209" t="s">
        <v>2122</v>
      </c>
      <c r="F789" s="149" t="s">
        <v>2114</v>
      </c>
      <c r="G789" s="209" t="s">
        <v>64</v>
      </c>
      <c r="H789" s="209" t="s">
        <v>41</v>
      </c>
      <c r="I789" s="209" t="s">
        <v>643</v>
      </c>
      <c r="J789" s="151"/>
      <c r="K789" s="151"/>
      <c r="L789" s="151"/>
      <c r="M789" s="151"/>
      <c r="N789" s="151"/>
      <c r="O789" s="151"/>
      <c r="P789" s="151"/>
      <c r="Q789" s="152"/>
      <c r="R789" s="152"/>
      <c r="S789" s="209" t="s">
        <v>137</v>
      </c>
      <c r="T789" s="209" t="s">
        <v>66</v>
      </c>
      <c r="U789" s="209" t="s">
        <v>99</v>
      </c>
      <c r="V789" s="209" t="s">
        <v>1984</v>
      </c>
      <c r="W789" s="153"/>
      <c r="X789" s="153"/>
      <c r="Y789" s="153"/>
      <c r="Z789" s="153"/>
      <c r="AA789" s="213">
        <v>0.0</v>
      </c>
      <c r="AB789" s="213">
        <v>19344.0</v>
      </c>
      <c r="AC789" s="24" t="s">
        <v>2472</v>
      </c>
      <c r="AD789" s="195">
        <v>6416.0</v>
      </c>
      <c r="AE789" s="38"/>
      <c r="AF789" s="209" t="str">
        <f t="shared" si="1"/>
        <v>Buenos Aires, Argentina</v>
      </c>
      <c r="AG789" s="209">
        <f t="shared" si="2"/>
        <v>0</v>
      </c>
      <c r="AH789" s="214">
        <f t="shared" si="3"/>
        <v>0</v>
      </c>
      <c r="AI789" s="214">
        <f t="shared" si="4"/>
        <v>0</v>
      </c>
      <c r="AJ789" s="213">
        <f t="shared" si="5"/>
        <v>19344</v>
      </c>
      <c r="AK789" s="213">
        <f t="shared" si="6"/>
        <v>19344</v>
      </c>
      <c r="AL789" s="156"/>
      <c r="AM789" s="156"/>
    </row>
    <row r="790">
      <c r="A790" s="209">
        <v>789.0</v>
      </c>
      <c r="B790" s="210">
        <v>44512.0</v>
      </c>
      <c r="C790" s="195" t="str">
        <f t="shared" si="7"/>
        <v>112021</v>
      </c>
      <c r="D790" s="211" t="s">
        <v>2473</v>
      </c>
      <c r="E790" s="209" t="s">
        <v>2135</v>
      </c>
      <c r="F790" s="211" t="s">
        <v>1415</v>
      </c>
      <c r="G790" s="209" t="s">
        <v>64</v>
      </c>
      <c r="H790" s="209" t="s">
        <v>41</v>
      </c>
      <c r="I790" s="209" t="s">
        <v>643</v>
      </c>
      <c r="J790" s="151"/>
      <c r="K790" s="212">
        <v>1.0</v>
      </c>
      <c r="L790" s="151"/>
      <c r="M790" s="151"/>
      <c r="N790" s="151"/>
      <c r="O790" s="151"/>
      <c r="P790" s="151"/>
      <c r="Q790" s="152"/>
      <c r="R790" s="152"/>
      <c r="S790" s="209" t="s">
        <v>137</v>
      </c>
      <c r="T790" s="209" t="s">
        <v>66</v>
      </c>
      <c r="U790" s="209" t="s">
        <v>99</v>
      </c>
      <c r="V790" s="209" t="s">
        <v>1984</v>
      </c>
      <c r="W790" s="153"/>
      <c r="X790" s="153"/>
      <c r="Y790" s="153"/>
      <c r="Z790" s="153"/>
      <c r="AA790" s="213">
        <v>5948.0</v>
      </c>
      <c r="AB790" s="213">
        <v>23792.0</v>
      </c>
      <c r="AC790" s="24" t="s">
        <v>2474</v>
      </c>
      <c r="AD790" s="195">
        <v>6422.0</v>
      </c>
      <c r="AE790" s="38"/>
      <c r="AF790" s="209" t="str">
        <f t="shared" si="1"/>
        <v>Buenos Aires, Argentina</v>
      </c>
      <c r="AG790" s="209">
        <f t="shared" si="2"/>
        <v>1</v>
      </c>
      <c r="AH790" s="214">
        <f t="shared" si="3"/>
        <v>0</v>
      </c>
      <c r="AI790" s="214">
        <f t="shared" si="4"/>
        <v>0</v>
      </c>
      <c r="AJ790" s="213">
        <f t="shared" si="5"/>
        <v>29740</v>
      </c>
      <c r="AK790" s="213">
        <f t="shared" si="6"/>
        <v>29740</v>
      </c>
      <c r="AL790" s="156"/>
      <c r="AM790" s="156"/>
    </row>
    <row r="791">
      <c r="A791" s="209">
        <v>790.0</v>
      </c>
      <c r="B791" s="210">
        <v>44515.0</v>
      </c>
      <c r="C791" s="195" t="str">
        <f t="shared" si="7"/>
        <v>112021</v>
      </c>
      <c r="D791" s="211" t="s">
        <v>2475</v>
      </c>
      <c r="E791" s="209" t="s">
        <v>2476</v>
      </c>
      <c r="F791" s="211" t="s">
        <v>1412</v>
      </c>
      <c r="G791" s="209" t="s">
        <v>64</v>
      </c>
      <c r="H791" s="209" t="s">
        <v>41</v>
      </c>
      <c r="I791" s="209" t="s">
        <v>643</v>
      </c>
      <c r="J791" s="212">
        <v>2.0</v>
      </c>
      <c r="K791" s="151"/>
      <c r="L791" s="151"/>
      <c r="M791" s="151"/>
      <c r="N791" s="151"/>
      <c r="O791" s="151"/>
      <c r="P791" s="151"/>
      <c r="Q791" s="152"/>
      <c r="R791" s="152"/>
      <c r="S791" s="209" t="s">
        <v>105</v>
      </c>
      <c r="T791" s="209" t="s">
        <v>66</v>
      </c>
      <c r="U791" s="209" t="s">
        <v>99</v>
      </c>
      <c r="V791" s="209" t="s">
        <v>1984</v>
      </c>
      <c r="W791" s="153"/>
      <c r="X791" s="153"/>
      <c r="Y791" s="153"/>
      <c r="Z791" s="153"/>
      <c r="AA791" s="213">
        <v>16120.0</v>
      </c>
      <c r="AB791" s="213">
        <v>64480.0</v>
      </c>
      <c r="AC791" s="24" t="s">
        <v>2477</v>
      </c>
      <c r="AD791" s="195">
        <v>6430.0</v>
      </c>
      <c r="AE791" s="38"/>
      <c r="AF791" s="209" t="str">
        <f t="shared" si="1"/>
        <v>Buenos Aires, Argentina</v>
      </c>
      <c r="AG791" s="209">
        <f t="shared" si="2"/>
        <v>2</v>
      </c>
      <c r="AH791" s="214">
        <f t="shared" si="3"/>
        <v>0</v>
      </c>
      <c r="AI791" s="214">
        <f t="shared" si="4"/>
        <v>0</v>
      </c>
      <c r="AJ791" s="213">
        <f t="shared" si="5"/>
        <v>80600</v>
      </c>
      <c r="AK791" s="213">
        <f t="shared" si="6"/>
        <v>80600</v>
      </c>
      <c r="AL791" s="156"/>
      <c r="AM791" s="156"/>
    </row>
    <row r="792">
      <c r="A792" s="209">
        <v>791.0</v>
      </c>
      <c r="B792" s="210">
        <v>44518.0</v>
      </c>
      <c r="C792" s="195" t="str">
        <f t="shared" si="7"/>
        <v>112021</v>
      </c>
      <c r="D792" s="211" t="s">
        <v>2346</v>
      </c>
      <c r="E792" s="209" t="s">
        <v>2347</v>
      </c>
      <c r="F792" s="211" t="s">
        <v>1357</v>
      </c>
      <c r="G792" s="209" t="s">
        <v>64</v>
      </c>
      <c r="H792" s="209" t="s">
        <v>41</v>
      </c>
      <c r="I792" s="209" t="s">
        <v>643</v>
      </c>
      <c r="J792" s="151"/>
      <c r="K792" s="151"/>
      <c r="L792" s="151"/>
      <c r="M792" s="151"/>
      <c r="N792" s="151"/>
      <c r="O792" s="151"/>
      <c r="P792" s="212">
        <v>1.0</v>
      </c>
      <c r="Q792" s="152"/>
      <c r="R792" s="152"/>
      <c r="S792" s="209" t="s">
        <v>65</v>
      </c>
      <c r="T792" s="209" t="s">
        <v>66</v>
      </c>
      <c r="U792" s="209" t="s">
        <v>99</v>
      </c>
      <c r="V792" s="209" t="s">
        <v>1984</v>
      </c>
      <c r="W792" s="153"/>
      <c r="X792" s="153"/>
      <c r="Y792" s="153"/>
      <c r="Z792" s="153"/>
      <c r="AA792" s="213">
        <v>4030.0</v>
      </c>
      <c r="AB792" s="213">
        <v>16120.0</v>
      </c>
      <c r="AC792" s="24" t="s">
        <v>2478</v>
      </c>
      <c r="AD792" s="195">
        <v>6436.0</v>
      </c>
      <c r="AE792" s="38"/>
      <c r="AF792" s="209" t="str">
        <f t="shared" si="1"/>
        <v>Buenos Aires, Argentina</v>
      </c>
      <c r="AG792" s="209">
        <f t="shared" si="2"/>
        <v>1</v>
      </c>
      <c r="AH792" s="214">
        <f t="shared" si="3"/>
        <v>0</v>
      </c>
      <c r="AI792" s="214">
        <f t="shared" si="4"/>
        <v>0</v>
      </c>
      <c r="AJ792" s="213">
        <f t="shared" si="5"/>
        <v>20150</v>
      </c>
      <c r="AK792" s="213">
        <f t="shared" si="6"/>
        <v>20150</v>
      </c>
      <c r="AL792" s="156"/>
      <c r="AM792" s="156"/>
    </row>
    <row r="793">
      <c r="A793" s="209">
        <v>792.0</v>
      </c>
      <c r="B793" s="210">
        <v>44519.0</v>
      </c>
      <c r="C793" s="195" t="str">
        <f t="shared" si="7"/>
        <v>112021</v>
      </c>
      <c r="D793" s="211" t="s">
        <v>2479</v>
      </c>
      <c r="E793" s="209" t="s">
        <v>2268</v>
      </c>
      <c r="F793" s="211" t="s">
        <v>1412</v>
      </c>
      <c r="G793" s="209" t="s">
        <v>64</v>
      </c>
      <c r="H793" s="209" t="s">
        <v>41</v>
      </c>
      <c r="I793" s="209" t="s">
        <v>643</v>
      </c>
      <c r="J793" s="212">
        <v>2.0</v>
      </c>
      <c r="K793" s="151"/>
      <c r="L793" s="151"/>
      <c r="M793" s="151"/>
      <c r="N793" s="151"/>
      <c r="O793" s="151"/>
      <c r="P793" s="151"/>
      <c r="Q793" s="152"/>
      <c r="R793" s="152"/>
      <c r="S793" s="209" t="s">
        <v>98</v>
      </c>
      <c r="T793" s="209" t="s">
        <v>66</v>
      </c>
      <c r="U793" s="209" t="s">
        <v>99</v>
      </c>
      <c r="V793" s="209" t="s">
        <v>1984</v>
      </c>
      <c r="W793" s="153"/>
      <c r="X793" s="153"/>
      <c r="Y793" s="153"/>
      <c r="Z793" s="153"/>
      <c r="AA793" s="213">
        <v>16120.0</v>
      </c>
      <c r="AB793" s="213">
        <v>64480.0</v>
      </c>
      <c r="AC793" s="24" t="s">
        <v>2480</v>
      </c>
      <c r="AD793" s="195">
        <v>6242.0</v>
      </c>
      <c r="AE793" s="38"/>
      <c r="AF793" s="209" t="str">
        <f t="shared" si="1"/>
        <v>Buenos Aires, Argentina</v>
      </c>
      <c r="AG793" s="209">
        <f t="shared" si="2"/>
        <v>2</v>
      </c>
      <c r="AH793" s="214">
        <f t="shared" si="3"/>
        <v>0</v>
      </c>
      <c r="AI793" s="214">
        <f t="shared" si="4"/>
        <v>0</v>
      </c>
      <c r="AJ793" s="213">
        <f t="shared" si="5"/>
        <v>80600</v>
      </c>
      <c r="AK793" s="213">
        <f t="shared" si="6"/>
        <v>80600</v>
      </c>
      <c r="AL793" s="156"/>
      <c r="AM793" s="156"/>
    </row>
    <row r="794">
      <c r="A794" s="209">
        <v>793.0</v>
      </c>
      <c r="B794" s="210">
        <v>44519.0</v>
      </c>
      <c r="C794" s="195" t="str">
        <f t="shared" si="7"/>
        <v>112021</v>
      </c>
      <c r="D794" s="211" t="s">
        <v>2481</v>
      </c>
      <c r="E794" s="209" t="s">
        <v>2093</v>
      </c>
      <c r="F794" s="211" t="s">
        <v>1592</v>
      </c>
      <c r="G794" s="209" t="s">
        <v>64</v>
      </c>
      <c r="H794" s="209" t="s">
        <v>41</v>
      </c>
      <c r="I794" s="209" t="s">
        <v>643</v>
      </c>
      <c r="J794" s="212">
        <v>1.0</v>
      </c>
      <c r="K794" s="212">
        <v>1.0</v>
      </c>
      <c r="L794" s="151"/>
      <c r="M794" s="151"/>
      <c r="N794" s="151"/>
      <c r="O794" s="151"/>
      <c r="P794" s="151"/>
      <c r="Q794" s="152"/>
      <c r="R794" s="152"/>
      <c r="S794" s="209" t="s">
        <v>65</v>
      </c>
      <c r="T794" s="209" t="s">
        <v>66</v>
      </c>
      <c r="U794" s="209" t="s">
        <v>99</v>
      </c>
      <c r="V794" s="209" t="s">
        <v>1984</v>
      </c>
      <c r="W794" s="153"/>
      <c r="X794" s="153"/>
      <c r="Y794" s="153"/>
      <c r="Z794" s="153"/>
      <c r="AA794" s="213">
        <v>12607.0</v>
      </c>
      <c r="AB794" s="213">
        <v>47276.0</v>
      </c>
      <c r="AC794" s="24" t="s">
        <v>2482</v>
      </c>
      <c r="AD794" s="195">
        <v>6446.0</v>
      </c>
      <c r="AE794" s="38"/>
      <c r="AF794" s="209" t="str">
        <f t="shared" si="1"/>
        <v>Buenos Aires, Argentina</v>
      </c>
      <c r="AG794" s="209">
        <f t="shared" si="2"/>
        <v>2</v>
      </c>
      <c r="AH794" s="214">
        <f t="shared" si="3"/>
        <v>0</v>
      </c>
      <c r="AI794" s="214">
        <f t="shared" si="4"/>
        <v>0</v>
      </c>
      <c r="AJ794" s="213">
        <f t="shared" si="5"/>
        <v>59883</v>
      </c>
      <c r="AK794" s="213">
        <f t="shared" si="6"/>
        <v>59883</v>
      </c>
      <c r="AL794" s="156"/>
      <c r="AM794" s="156"/>
    </row>
    <row r="795">
      <c r="A795" s="209">
        <v>794.0</v>
      </c>
      <c r="B795" s="210">
        <v>44523.0</v>
      </c>
      <c r="C795" s="195" t="str">
        <f t="shared" si="7"/>
        <v>112021</v>
      </c>
      <c r="D795" s="211" t="s">
        <v>1821</v>
      </c>
      <c r="E795" s="209" t="s">
        <v>1822</v>
      </c>
      <c r="F795" s="211" t="s">
        <v>1415</v>
      </c>
      <c r="G795" s="209" t="s">
        <v>64</v>
      </c>
      <c r="H795" s="209" t="s">
        <v>41</v>
      </c>
      <c r="I795" s="209" t="s">
        <v>643</v>
      </c>
      <c r="J795" s="151"/>
      <c r="K795" s="212">
        <v>1.0</v>
      </c>
      <c r="L795" s="151"/>
      <c r="M795" s="151"/>
      <c r="N795" s="151"/>
      <c r="O795" s="151"/>
      <c r="P795" s="151"/>
      <c r="Q795" s="152"/>
      <c r="R795" s="152"/>
      <c r="S795" s="209" t="s">
        <v>65</v>
      </c>
      <c r="T795" s="209" t="s">
        <v>66</v>
      </c>
      <c r="U795" s="209" t="s">
        <v>99</v>
      </c>
      <c r="V795" s="209" t="s">
        <v>1984</v>
      </c>
      <c r="W795" s="153"/>
      <c r="X795" s="153"/>
      <c r="Y795" s="153"/>
      <c r="Z795" s="153"/>
      <c r="AA795" s="213">
        <v>5353.0</v>
      </c>
      <c r="AB795" s="213">
        <v>21411.0</v>
      </c>
      <c r="AC795" s="24" t="s">
        <v>2483</v>
      </c>
      <c r="AD795" s="195">
        <v>6458.0</v>
      </c>
      <c r="AE795" s="38"/>
      <c r="AF795" s="209" t="str">
        <f t="shared" si="1"/>
        <v>Buenos Aires, Argentina</v>
      </c>
      <c r="AG795" s="209">
        <f t="shared" si="2"/>
        <v>1</v>
      </c>
      <c r="AH795" s="214">
        <f t="shared" si="3"/>
        <v>0</v>
      </c>
      <c r="AI795" s="214">
        <f t="shared" si="4"/>
        <v>0</v>
      </c>
      <c r="AJ795" s="213">
        <f t="shared" si="5"/>
        <v>26764</v>
      </c>
      <c r="AK795" s="213">
        <f t="shared" si="6"/>
        <v>26764</v>
      </c>
      <c r="AL795" s="156"/>
      <c r="AM795" s="156"/>
    </row>
    <row r="796">
      <c r="A796" s="209">
        <v>795.0</v>
      </c>
      <c r="B796" s="210">
        <v>44523.0</v>
      </c>
      <c r="C796" s="195" t="str">
        <f t="shared" si="7"/>
        <v>112021</v>
      </c>
      <c r="D796" s="211" t="s">
        <v>2484</v>
      </c>
      <c r="E796" s="209" t="s">
        <v>2485</v>
      </c>
      <c r="F796" s="211" t="s">
        <v>2248</v>
      </c>
      <c r="G796" s="209" t="s">
        <v>64</v>
      </c>
      <c r="H796" s="209" t="s">
        <v>41</v>
      </c>
      <c r="I796" s="209" t="s">
        <v>643</v>
      </c>
      <c r="J796" s="151"/>
      <c r="K796" s="151"/>
      <c r="L796" s="151"/>
      <c r="M796" s="151"/>
      <c r="N796" s="151"/>
      <c r="O796" s="151"/>
      <c r="P796" s="151"/>
      <c r="Q796" s="152"/>
      <c r="R796" s="152"/>
      <c r="S796" s="209" t="s">
        <v>105</v>
      </c>
      <c r="T796" s="209" t="s">
        <v>66</v>
      </c>
      <c r="U796" s="209" t="s">
        <v>99</v>
      </c>
      <c r="V796" s="209" t="s">
        <v>1984</v>
      </c>
      <c r="W796" s="153"/>
      <c r="X796" s="153"/>
      <c r="Y796" s="153"/>
      <c r="Z796" s="153"/>
      <c r="AA796" s="213">
        <v>0.0</v>
      </c>
      <c r="AB796" s="213">
        <v>25792.0</v>
      </c>
      <c r="AC796" s="24" t="s">
        <v>2486</v>
      </c>
      <c r="AD796" s="195">
        <v>6460.0</v>
      </c>
      <c r="AE796" s="38"/>
      <c r="AF796" s="209" t="str">
        <f t="shared" si="1"/>
        <v>Buenos Aires, Argentina</v>
      </c>
      <c r="AG796" s="209">
        <f t="shared" si="2"/>
        <v>0</v>
      </c>
      <c r="AH796" s="214">
        <f t="shared" si="3"/>
        <v>0</v>
      </c>
      <c r="AI796" s="214">
        <f t="shared" si="4"/>
        <v>0</v>
      </c>
      <c r="AJ796" s="213">
        <f t="shared" si="5"/>
        <v>25792</v>
      </c>
      <c r="AK796" s="213">
        <f t="shared" si="6"/>
        <v>25792</v>
      </c>
      <c r="AL796" s="156"/>
      <c r="AM796" s="156"/>
    </row>
    <row r="797">
      <c r="A797" s="209">
        <v>796.0</v>
      </c>
      <c r="B797" s="210">
        <v>44524.0</v>
      </c>
      <c r="C797" s="195" t="str">
        <f t="shared" si="7"/>
        <v>112021</v>
      </c>
      <c r="D797" s="211" t="s">
        <v>2487</v>
      </c>
      <c r="E797" s="209" t="s">
        <v>2488</v>
      </c>
      <c r="F797" s="211" t="s">
        <v>2489</v>
      </c>
      <c r="G797" s="209" t="s">
        <v>64</v>
      </c>
      <c r="H797" s="209" t="s">
        <v>41</v>
      </c>
      <c r="I797" s="209" t="s">
        <v>643</v>
      </c>
      <c r="J797" s="151"/>
      <c r="K797" s="151"/>
      <c r="L797" s="151"/>
      <c r="M797" s="212">
        <v>1.0</v>
      </c>
      <c r="N797" s="151"/>
      <c r="O797" s="151"/>
      <c r="P797" s="151"/>
      <c r="Q797" s="152"/>
      <c r="R797" s="152"/>
      <c r="S797" s="209" t="s">
        <v>109</v>
      </c>
      <c r="T797" s="209" t="s">
        <v>66</v>
      </c>
      <c r="U797" s="209" t="s">
        <v>99</v>
      </c>
      <c r="V797" s="209" t="s">
        <v>1984</v>
      </c>
      <c r="W797" s="153"/>
      <c r="X797" s="153"/>
      <c r="Y797" s="153"/>
      <c r="Z797" s="153"/>
      <c r="AA797" s="213">
        <v>8060.0</v>
      </c>
      <c r="AB797" s="213">
        <v>51584.0</v>
      </c>
      <c r="AC797" s="24" t="s">
        <v>2490</v>
      </c>
      <c r="AD797" s="195">
        <v>6466.0</v>
      </c>
      <c r="AE797" s="38"/>
      <c r="AF797" s="209" t="str">
        <f t="shared" si="1"/>
        <v>Buenos Aires, Argentina</v>
      </c>
      <c r="AG797" s="209">
        <f t="shared" si="2"/>
        <v>1</v>
      </c>
      <c r="AH797" s="214">
        <f t="shared" si="3"/>
        <v>0</v>
      </c>
      <c r="AI797" s="214">
        <f t="shared" si="4"/>
        <v>0</v>
      </c>
      <c r="AJ797" s="213">
        <f t="shared" si="5"/>
        <v>59644</v>
      </c>
      <c r="AK797" s="213">
        <f t="shared" si="6"/>
        <v>59644</v>
      </c>
      <c r="AL797" s="156"/>
      <c r="AM797" s="156"/>
    </row>
    <row r="798">
      <c r="A798" s="209">
        <v>797.0</v>
      </c>
      <c r="B798" s="210">
        <v>44525.0</v>
      </c>
      <c r="C798" s="195" t="str">
        <f t="shared" si="7"/>
        <v>112021</v>
      </c>
      <c r="D798" s="211" t="s">
        <v>2491</v>
      </c>
      <c r="E798" s="209" t="s">
        <v>1896</v>
      </c>
      <c r="F798" s="211" t="s">
        <v>1415</v>
      </c>
      <c r="G798" s="209" t="s">
        <v>64</v>
      </c>
      <c r="H798" s="209" t="s">
        <v>41</v>
      </c>
      <c r="I798" s="209" t="s">
        <v>643</v>
      </c>
      <c r="J798" s="151"/>
      <c r="K798" s="212">
        <v>1.0</v>
      </c>
      <c r="L798" s="151"/>
      <c r="M798" s="151"/>
      <c r="N798" s="151"/>
      <c r="O798" s="151"/>
      <c r="P798" s="151"/>
      <c r="Q798" s="152"/>
      <c r="R798" s="152"/>
      <c r="S798" s="209" t="s">
        <v>65</v>
      </c>
      <c r="T798" s="209" t="s">
        <v>83</v>
      </c>
      <c r="U798" s="209" t="s">
        <v>99</v>
      </c>
      <c r="V798" s="209" t="s">
        <v>1984</v>
      </c>
      <c r="W798" s="153"/>
      <c r="X798" s="153"/>
      <c r="Y798" s="153"/>
      <c r="Z798" s="153"/>
      <c r="AA798" s="213">
        <v>5948.0</v>
      </c>
      <c r="AB798" s="213">
        <v>23792.0</v>
      </c>
      <c r="AC798" s="24" t="s">
        <v>2492</v>
      </c>
      <c r="AD798" s="195">
        <v>6472.0</v>
      </c>
      <c r="AE798" s="38"/>
      <c r="AF798" s="209" t="str">
        <f t="shared" si="1"/>
        <v>Capital Federal, Argentina</v>
      </c>
      <c r="AG798" s="209">
        <f t="shared" si="2"/>
        <v>1</v>
      </c>
      <c r="AH798" s="214">
        <f t="shared" si="3"/>
        <v>0</v>
      </c>
      <c r="AI798" s="214">
        <f t="shared" si="4"/>
        <v>0</v>
      </c>
      <c r="AJ798" s="213">
        <f t="shared" si="5"/>
        <v>29740</v>
      </c>
      <c r="AK798" s="213">
        <f t="shared" si="6"/>
        <v>29740</v>
      </c>
      <c r="AL798" s="156"/>
      <c r="AM798" s="156"/>
    </row>
    <row r="799">
      <c r="A799" s="209">
        <v>798.0</v>
      </c>
      <c r="B799" s="210">
        <v>44525.0</v>
      </c>
      <c r="C799" s="195" t="str">
        <f t="shared" si="7"/>
        <v>112021</v>
      </c>
      <c r="D799" s="211" t="s">
        <v>2493</v>
      </c>
      <c r="E799" s="209" t="s">
        <v>1925</v>
      </c>
      <c r="F799" s="211" t="s">
        <v>1463</v>
      </c>
      <c r="G799" s="209" t="s">
        <v>64</v>
      </c>
      <c r="H799" s="209" t="s">
        <v>41</v>
      </c>
      <c r="I799" s="209" t="s">
        <v>643</v>
      </c>
      <c r="J799" s="212">
        <v>1.0</v>
      </c>
      <c r="K799" s="212">
        <v>2.0</v>
      </c>
      <c r="L799" s="151"/>
      <c r="M799" s="151"/>
      <c r="N799" s="151"/>
      <c r="O799" s="151"/>
      <c r="P799" s="151"/>
      <c r="Q799" s="152"/>
      <c r="R799" s="152"/>
      <c r="S799" s="209" t="s">
        <v>65</v>
      </c>
      <c r="T799" s="209" t="s">
        <v>66</v>
      </c>
      <c r="U799" s="209" t="s">
        <v>99</v>
      </c>
      <c r="V799" s="209" t="s">
        <v>1984</v>
      </c>
      <c r="W799" s="153"/>
      <c r="X799" s="153"/>
      <c r="Y799" s="153"/>
      <c r="Z799" s="153"/>
      <c r="AA799" s="213">
        <v>17960.0</v>
      </c>
      <c r="AB799" s="213">
        <v>71840.0</v>
      </c>
      <c r="AC799" s="24" t="s">
        <v>2494</v>
      </c>
      <c r="AD799" s="195">
        <v>6482.0</v>
      </c>
      <c r="AE799" s="38"/>
      <c r="AF799" s="209" t="str">
        <f t="shared" si="1"/>
        <v>Buenos Aires, Argentina</v>
      </c>
      <c r="AG799" s="209">
        <f t="shared" si="2"/>
        <v>3</v>
      </c>
      <c r="AH799" s="214">
        <f t="shared" si="3"/>
        <v>0</v>
      </c>
      <c r="AI799" s="214">
        <f t="shared" si="4"/>
        <v>0</v>
      </c>
      <c r="AJ799" s="213">
        <f t="shared" si="5"/>
        <v>89800</v>
      </c>
      <c r="AK799" s="213">
        <f t="shared" si="6"/>
        <v>89800</v>
      </c>
      <c r="AL799" s="156"/>
      <c r="AM799" s="156"/>
    </row>
    <row r="800">
      <c r="A800" s="209">
        <v>799.0</v>
      </c>
      <c r="B800" s="210">
        <v>44526.0</v>
      </c>
      <c r="C800" s="195" t="str">
        <f t="shared" si="7"/>
        <v>112021</v>
      </c>
      <c r="D800" s="211" t="s">
        <v>2495</v>
      </c>
      <c r="E800" s="209" t="s">
        <v>2281</v>
      </c>
      <c r="F800" s="211" t="s">
        <v>2114</v>
      </c>
      <c r="G800" s="209" t="s">
        <v>64</v>
      </c>
      <c r="H800" s="209" t="s">
        <v>41</v>
      </c>
      <c r="I800" s="209" t="s">
        <v>643</v>
      </c>
      <c r="J800" s="151"/>
      <c r="K800" s="151"/>
      <c r="L800" s="151"/>
      <c r="M800" s="151"/>
      <c r="N800" s="151"/>
      <c r="O800" s="151"/>
      <c r="P800" s="151"/>
      <c r="Q800" s="152"/>
      <c r="R800" s="152"/>
      <c r="S800" s="209" t="s">
        <v>114</v>
      </c>
      <c r="T800" s="209" t="s">
        <v>66</v>
      </c>
      <c r="U800" s="209" t="s">
        <v>99</v>
      </c>
      <c r="V800" s="209" t="s">
        <v>1984</v>
      </c>
      <c r="W800" s="153"/>
      <c r="X800" s="153"/>
      <c r="Y800" s="153"/>
      <c r="Z800" s="153"/>
      <c r="AA800" s="213">
        <v>0.0</v>
      </c>
      <c r="AB800" s="213">
        <v>23406.0</v>
      </c>
      <c r="AC800" s="24" t="s">
        <v>2496</v>
      </c>
      <c r="AD800" s="195">
        <v>6488.0</v>
      </c>
      <c r="AE800" s="38"/>
      <c r="AF800" s="209" t="str">
        <f t="shared" si="1"/>
        <v>Buenos Aires, Argentina</v>
      </c>
      <c r="AG800" s="209">
        <f t="shared" si="2"/>
        <v>0</v>
      </c>
      <c r="AH800" s="214">
        <f t="shared" si="3"/>
        <v>0</v>
      </c>
      <c r="AI800" s="214">
        <f t="shared" si="4"/>
        <v>0</v>
      </c>
      <c r="AJ800" s="213">
        <f t="shared" si="5"/>
        <v>23406</v>
      </c>
      <c r="AK800" s="213">
        <f t="shared" si="6"/>
        <v>23406</v>
      </c>
      <c r="AL800" s="156"/>
      <c r="AM800" s="156"/>
    </row>
    <row r="801">
      <c r="A801" s="209">
        <v>800.0</v>
      </c>
      <c r="B801" s="210">
        <v>44530.0</v>
      </c>
      <c r="C801" s="195" t="str">
        <f t="shared" si="7"/>
        <v>112021</v>
      </c>
      <c r="D801" s="211" t="s">
        <v>2089</v>
      </c>
      <c r="E801" s="209" t="s">
        <v>2090</v>
      </c>
      <c r="F801" s="211" t="s">
        <v>1423</v>
      </c>
      <c r="G801" s="209" t="s">
        <v>64</v>
      </c>
      <c r="H801" s="209" t="s">
        <v>41</v>
      </c>
      <c r="I801" s="209" t="s">
        <v>643</v>
      </c>
      <c r="J801" s="212">
        <v>1.0</v>
      </c>
      <c r="K801" s="151"/>
      <c r="L801" s="151"/>
      <c r="M801" s="151"/>
      <c r="N801" s="151"/>
      <c r="O801" s="151"/>
      <c r="P801" s="151"/>
      <c r="Q801" s="152"/>
      <c r="R801" s="152"/>
      <c r="S801" s="209" t="s">
        <v>89</v>
      </c>
      <c r="T801" s="209" t="s">
        <v>66</v>
      </c>
      <c r="U801" s="209" t="s">
        <v>99</v>
      </c>
      <c r="V801" s="209" t="s">
        <v>1984</v>
      </c>
      <c r="W801" s="153"/>
      <c r="X801" s="153"/>
      <c r="Y801" s="153"/>
      <c r="Z801" s="153"/>
      <c r="AA801" s="213">
        <v>8060.0</v>
      </c>
      <c r="AB801" s="213">
        <v>32240.0</v>
      </c>
      <c r="AC801" s="24" t="s">
        <v>2497</v>
      </c>
      <c r="AD801" s="195">
        <v>6494.0</v>
      </c>
      <c r="AE801" s="38"/>
      <c r="AF801" s="209" t="str">
        <f t="shared" si="1"/>
        <v>Buenos Aires, Argentina</v>
      </c>
      <c r="AG801" s="209">
        <f t="shared" si="2"/>
        <v>1</v>
      </c>
      <c r="AH801" s="214">
        <f t="shared" si="3"/>
        <v>0</v>
      </c>
      <c r="AI801" s="214">
        <f t="shared" si="4"/>
        <v>0</v>
      </c>
      <c r="AJ801" s="213">
        <f t="shared" si="5"/>
        <v>40300</v>
      </c>
      <c r="AK801" s="213">
        <f t="shared" si="6"/>
        <v>40300</v>
      </c>
      <c r="AL801" s="156"/>
      <c r="AM801" s="156"/>
    </row>
    <row r="802">
      <c r="A802" s="209">
        <v>801.0</v>
      </c>
      <c r="B802" s="210">
        <v>44530.0</v>
      </c>
      <c r="C802" s="195" t="str">
        <f t="shared" si="7"/>
        <v>112021</v>
      </c>
      <c r="D802" s="211" t="s">
        <v>2427</v>
      </c>
      <c r="E802" s="209" t="s">
        <v>2299</v>
      </c>
      <c r="F802" s="211" t="s">
        <v>2498</v>
      </c>
      <c r="G802" s="209" t="s">
        <v>64</v>
      </c>
      <c r="H802" s="209" t="s">
        <v>41</v>
      </c>
      <c r="I802" s="209" t="s">
        <v>643</v>
      </c>
      <c r="J802" s="212">
        <v>1.0</v>
      </c>
      <c r="K802" s="151"/>
      <c r="L802" s="151"/>
      <c r="M802" s="151"/>
      <c r="N802" s="151"/>
      <c r="O802" s="151"/>
      <c r="P802" s="151"/>
      <c r="Q802" s="152"/>
      <c r="R802" s="152"/>
      <c r="S802" s="209" t="s">
        <v>105</v>
      </c>
      <c r="T802" s="209" t="s">
        <v>66</v>
      </c>
      <c r="U802" s="209" t="s">
        <v>99</v>
      </c>
      <c r="V802" s="209" t="s">
        <v>1984</v>
      </c>
      <c r="W802" s="153"/>
      <c r="X802" s="153"/>
      <c r="Y802" s="153"/>
      <c r="Z802" s="153"/>
      <c r="AA802" s="213">
        <v>7400.0</v>
      </c>
      <c r="AB802" s="213">
        <v>31700.0</v>
      </c>
      <c r="AC802" s="24" t="s">
        <v>2499</v>
      </c>
      <c r="AD802" s="195">
        <v>6496.0</v>
      </c>
      <c r="AE802" s="38"/>
      <c r="AF802" s="209" t="str">
        <f t="shared" si="1"/>
        <v>Buenos Aires, Argentina</v>
      </c>
      <c r="AG802" s="209">
        <f t="shared" si="2"/>
        <v>1</v>
      </c>
      <c r="AH802" s="214">
        <f t="shared" si="3"/>
        <v>0</v>
      </c>
      <c r="AI802" s="214">
        <f t="shared" si="4"/>
        <v>0</v>
      </c>
      <c r="AJ802" s="213">
        <f t="shared" si="5"/>
        <v>39100</v>
      </c>
      <c r="AK802" s="213">
        <f t="shared" si="6"/>
        <v>39100</v>
      </c>
      <c r="AL802" s="156"/>
      <c r="AM802" s="156"/>
    </row>
    <row r="803">
      <c r="A803" s="209">
        <v>802.0</v>
      </c>
      <c r="B803" s="210">
        <v>44530.0</v>
      </c>
      <c r="C803" s="195" t="str">
        <f t="shared" si="7"/>
        <v>112021</v>
      </c>
      <c r="D803" s="211" t="s">
        <v>2500</v>
      </c>
      <c r="E803" s="209" t="s">
        <v>2501</v>
      </c>
      <c r="F803" s="211" t="s">
        <v>2502</v>
      </c>
      <c r="G803" s="209" t="s">
        <v>40</v>
      </c>
      <c r="H803" s="209" t="s">
        <v>41</v>
      </c>
      <c r="I803" s="209" t="s">
        <v>643</v>
      </c>
      <c r="J803" s="212">
        <v>1.0</v>
      </c>
      <c r="K803" s="212">
        <v>3.0</v>
      </c>
      <c r="L803" s="151"/>
      <c r="M803" s="212">
        <v>1.0</v>
      </c>
      <c r="N803" s="151"/>
      <c r="O803" s="151"/>
      <c r="P803" s="151"/>
      <c r="Q803" s="152"/>
      <c r="R803" s="152"/>
      <c r="S803" s="209" t="s">
        <v>137</v>
      </c>
      <c r="T803" s="209" t="s">
        <v>83</v>
      </c>
      <c r="U803" s="209" t="s">
        <v>53</v>
      </c>
      <c r="V803" s="209" t="s">
        <v>84</v>
      </c>
      <c r="W803" s="153"/>
      <c r="X803" s="153"/>
      <c r="Y803" s="153"/>
      <c r="Z803" s="153"/>
      <c r="AA803" s="213">
        <v>33964.0</v>
      </c>
      <c r="AB803" s="213">
        <v>163027.0</v>
      </c>
      <c r="AC803" s="24" t="s">
        <v>2503</v>
      </c>
      <c r="AD803" s="195">
        <v>6506.0</v>
      </c>
      <c r="AE803" s="38"/>
      <c r="AF803" s="209" t="str">
        <f t="shared" si="1"/>
        <v>Capital Federal, Argentina</v>
      </c>
      <c r="AG803" s="209">
        <f t="shared" si="2"/>
        <v>5</v>
      </c>
      <c r="AH803" s="214">
        <f t="shared" si="3"/>
        <v>0</v>
      </c>
      <c r="AI803" s="214">
        <f t="shared" si="4"/>
        <v>0</v>
      </c>
      <c r="AJ803" s="213">
        <f t="shared" si="5"/>
        <v>196991</v>
      </c>
      <c r="AK803" s="213">
        <f t="shared" si="6"/>
        <v>196991</v>
      </c>
      <c r="AL803" s="156"/>
      <c r="AM803" s="156"/>
    </row>
    <row r="804">
      <c r="A804" s="209">
        <v>803.0</v>
      </c>
      <c r="B804" s="210">
        <v>44530.0</v>
      </c>
      <c r="C804" s="195" t="str">
        <f t="shared" si="7"/>
        <v>112021</v>
      </c>
      <c r="D804" s="211" t="s">
        <v>2504</v>
      </c>
      <c r="E804" s="209" t="s">
        <v>2505</v>
      </c>
      <c r="F804" s="211" t="s">
        <v>2506</v>
      </c>
      <c r="G804" s="209" t="s">
        <v>40</v>
      </c>
      <c r="H804" s="209" t="s">
        <v>41</v>
      </c>
      <c r="I804" s="209" t="s">
        <v>643</v>
      </c>
      <c r="J804" s="212">
        <v>3.0</v>
      </c>
      <c r="K804" s="212">
        <v>3.0</v>
      </c>
      <c r="L804" s="151"/>
      <c r="M804" s="212">
        <v>1.0</v>
      </c>
      <c r="N804" s="151"/>
      <c r="O804" s="151"/>
      <c r="P804" s="151"/>
      <c r="Q804" s="152"/>
      <c r="R804" s="152"/>
      <c r="S804" s="209" t="s">
        <v>114</v>
      </c>
      <c r="T804" s="209" t="s">
        <v>66</v>
      </c>
      <c r="U804" s="209" t="s">
        <v>342</v>
      </c>
      <c r="V804" s="209" t="s">
        <v>1984</v>
      </c>
      <c r="W804" s="153"/>
      <c r="X804" s="153"/>
      <c r="Y804" s="153"/>
      <c r="Z804" s="153"/>
      <c r="AA804" s="213">
        <v>58144.0</v>
      </c>
      <c r="AB804" s="213">
        <v>337124.0</v>
      </c>
      <c r="AC804" s="24" t="s">
        <v>2507</v>
      </c>
      <c r="AD804" s="195">
        <v>6512.0</v>
      </c>
      <c r="AE804" s="38"/>
      <c r="AF804" s="209" t="str">
        <f t="shared" si="1"/>
        <v>Buenos Aires, Argentina</v>
      </c>
      <c r="AG804" s="209">
        <f t="shared" si="2"/>
        <v>7</v>
      </c>
      <c r="AH804" s="214">
        <f t="shared" si="3"/>
        <v>0</v>
      </c>
      <c r="AI804" s="214">
        <f t="shared" si="4"/>
        <v>0</v>
      </c>
      <c r="AJ804" s="213">
        <f t="shared" si="5"/>
        <v>395268</v>
      </c>
      <c r="AK804" s="213">
        <f t="shared" si="6"/>
        <v>395268</v>
      </c>
      <c r="AL804" s="156"/>
      <c r="AM804" s="156"/>
    </row>
    <row r="805">
      <c r="A805" s="209">
        <v>804.0</v>
      </c>
      <c r="B805" s="210">
        <v>44530.0</v>
      </c>
      <c r="C805" s="195" t="str">
        <f t="shared" si="7"/>
        <v>112021</v>
      </c>
      <c r="D805" s="211" t="s">
        <v>2508</v>
      </c>
      <c r="E805" s="209" t="s">
        <v>2509</v>
      </c>
      <c r="F805" s="211" t="s">
        <v>2063</v>
      </c>
      <c r="G805" s="209" t="s">
        <v>40</v>
      </c>
      <c r="H805" s="209" t="s">
        <v>41</v>
      </c>
      <c r="I805" s="209" t="s">
        <v>643</v>
      </c>
      <c r="J805" s="212">
        <v>2.0</v>
      </c>
      <c r="K805" s="212">
        <v>2.0</v>
      </c>
      <c r="L805" s="151"/>
      <c r="M805" s="212">
        <v>1.0</v>
      </c>
      <c r="N805" s="151"/>
      <c r="O805" s="151"/>
      <c r="P805" s="151"/>
      <c r="Q805" s="152"/>
      <c r="R805" s="152"/>
      <c r="S805" s="209" t="s">
        <v>204</v>
      </c>
      <c r="T805" s="209" t="s">
        <v>83</v>
      </c>
      <c r="U805" s="209" t="s">
        <v>342</v>
      </c>
      <c r="V805" s="209" t="s">
        <v>1984</v>
      </c>
      <c r="W805" s="153"/>
      <c r="X805" s="153"/>
      <c r="Y805" s="153"/>
      <c r="Z805" s="153"/>
      <c r="AA805" s="213">
        <v>44136.0</v>
      </c>
      <c r="AB805" s="213">
        <v>269884.0</v>
      </c>
      <c r="AC805" s="24" t="s">
        <v>2510</v>
      </c>
      <c r="AD805" s="195">
        <v>6456.0</v>
      </c>
      <c r="AE805" s="38"/>
      <c r="AF805" s="209" t="str">
        <f t="shared" si="1"/>
        <v>Capital Federal, Argentina</v>
      </c>
      <c r="AG805" s="209">
        <f t="shared" si="2"/>
        <v>5</v>
      </c>
      <c r="AH805" s="214">
        <f t="shared" si="3"/>
        <v>0</v>
      </c>
      <c r="AI805" s="214">
        <f t="shared" si="4"/>
        <v>0</v>
      </c>
      <c r="AJ805" s="213">
        <f t="shared" si="5"/>
        <v>314020</v>
      </c>
      <c r="AK805" s="213">
        <f t="shared" si="6"/>
        <v>314020</v>
      </c>
      <c r="AL805" s="156"/>
      <c r="AM805" s="156"/>
    </row>
    <row r="806">
      <c r="A806" s="209">
        <v>805.0</v>
      </c>
      <c r="B806" s="210">
        <v>44530.0</v>
      </c>
      <c r="C806" s="195" t="str">
        <f t="shared" si="7"/>
        <v>112021</v>
      </c>
      <c r="D806" s="211" t="s">
        <v>2511</v>
      </c>
      <c r="E806" s="209" t="s">
        <v>2512</v>
      </c>
      <c r="F806" s="211" t="s">
        <v>2063</v>
      </c>
      <c r="G806" s="209" t="s">
        <v>40</v>
      </c>
      <c r="H806" s="209" t="s">
        <v>41</v>
      </c>
      <c r="I806" s="209" t="s">
        <v>643</v>
      </c>
      <c r="J806" s="212">
        <v>2.0</v>
      </c>
      <c r="K806" s="212">
        <v>2.0</v>
      </c>
      <c r="L806" s="151"/>
      <c r="M806" s="212">
        <v>1.0</v>
      </c>
      <c r="N806" s="151"/>
      <c r="O806" s="151"/>
      <c r="P806" s="151"/>
      <c r="Q806" s="152"/>
      <c r="R806" s="152"/>
      <c r="S806" s="209" t="s">
        <v>114</v>
      </c>
      <c r="T806" s="209" t="s">
        <v>83</v>
      </c>
      <c r="U806" s="209" t="s">
        <v>342</v>
      </c>
      <c r="V806" s="209" t="s">
        <v>1984</v>
      </c>
      <c r="W806" s="153"/>
      <c r="X806" s="153"/>
      <c r="Y806" s="153"/>
      <c r="Z806" s="153"/>
      <c r="AA806" s="213">
        <v>44136.0</v>
      </c>
      <c r="AB806" s="213">
        <v>269884.0</v>
      </c>
      <c r="AC806" s="24" t="s">
        <v>2513</v>
      </c>
      <c r="AD806" s="195">
        <v>6454.0</v>
      </c>
      <c r="AE806" s="38"/>
      <c r="AF806" s="209" t="str">
        <f t="shared" si="1"/>
        <v>Capital Federal, Argentina</v>
      </c>
      <c r="AG806" s="209">
        <f t="shared" si="2"/>
        <v>5</v>
      </c>
      <c r="AH806" s="214">
        <f t="shared" si="3"/>
        <v>0</v>
      </c>
      <c r="AI806" s="214">
        <f t="shared" si="4"/>
        <v>0</v>
      </c>
      <c r="AJ806" s="213">
        <f t="shared" si="5"/>
        <v>314020</v>
      </c>
      <c r="AK806" s="213">
        <f t="shared" si="6"/>
        <v>314020</v>
      </c>
      <c r="AL806" s="156"/>
      <c r="AM806" s="156"/>
    </row>
    <row r="807">
      <c r="A807" s="209">
        <v>806.0</v>
      </c>
      <c r="B807" s="210">
        <v>44530.0</v>
      </c>
      <c r="C807" s="195" t="str">
        <f t="shared" si="7"/>
        <v>112021</v>
      </c>
      <c r="D807" s="211" t="s">
        <v>1783</v>
      </c>
      <c r="E807" s="209" t="s">
        <v>1784</v>
      </c>
      <c r="F807" s="211" t="s">
        <v>1511</v>
      </c>
      <c r="G807" s="209" t="s">
        <v>64</v>
      </c>
      <c r="H807" s="209" t="s">
        <v>41</v>
      </c>
      <c r="I807" s="209" t="s">
        <v>643</v>
      </c>
      <c r="J807" s="212">
        <v>2.0</v>
      </c>
      <c r="K807" s="212">
        <v>2.0</v>
      </c>
      <c r="L807" s="151"/>
      <c r="M807" s="151"/>
      <c r="N807" s="151"/>
      <c r="O807" s="151"/>
      <c r="P807" s="151"/>
      <c r="Q807" s="152"/>
      <c r="R807" s="152"/>
      <c r="S807" s="209" t="s">
        <v>65</v>
      </c>
      <c r="T807" s="209" t="s">
        <v>66</v>
      </c>
      <c r="U807" s="209" t="s">
        <v>99</v>
      </c>
      <c r="V807" s="209" t="s">
        <v>1984</v>
      </c>
      <c r="W807" s="153"/>
      <c r="X807" s="153"/>
      <c r="Y807" s="153"/>
      <c r="Z807" s="153"/>
      <c r="AA807" s="213">
        <v>25214.0</v>
      </c>
      <c r="AB807" s="213">
        <v>100856.0</v>
      </c>
      <c r="AC807" s="24" t="s">
        <v>2514</v>
      </c>
      <c r="AD807" s="195">
        <v>6522.0</v>
      </c>
      <c r="AE807" s="38"/>
      <c r="AF807" s="209" t="str">
        <f t="shared" si="1"/>
        <v>Buenos Aires, Argentina</v>
      </c>
      <c r="AG807" s="209">
        <f t="shared" si="2"/>
        <v>4</v>
      </c>
      <c r="AH807" s="214">
        <f t="shared" si="3"/>
        <v>0</v>
      </c>
      <c r="AI807" s="214">
        <f t="shared" si="4"/>
        <v>0</v>
      </c>
      <c r="AJ807" s="213">
        <f t="shared" si="5"/>
        <v>126070</v>
      </c>
      <c r="AK807" s="213">
        <f t="shared" si="6"/>
        <v>126070</v>
      </c>
      <c r="AL807" s="156"/>
      <c r="AM807" s="156"/>
    </row>
    <row r="808">
      <c r="A808" s="209">
        <v>807.0</v>
      </c>
      <c r="B808" s="210">
        <v>44530.0</v>
      </c>
      <c r="C808" s="195" t="str">
        <f t="shared" si="7"/>
        <v>112021</v>
      </c>
      <c r="D808" s="211" t="s">
        <v>2515</v>
      </c>
      <c r="E808" s="209" t="s">
        <v>2516</v>
      </c>
      <c r="F808" s="211" t="s">
        <v>2172</v>
      </c>
      <c r="G808" s="209" t="s">
        <v>40</v>
      </c>
      <c r="H808" s="209" t="s">
        <v>547</v>
      </c>
      <c r="I808" s="209" t="s">
        <v>643</v>
      </c>
      <c r="J808" s="212">
        <v>2.0</v>
      </c>
      <c r="K808" s="151"/>
      <c r="L808" s="151"/>
      <c r="M808" s="212">
        <v>1.0</v>
      </c>
      <c r="N808" s="151"/>
      <c r="O808" s="151"/>
      <c r="P808" s="151"/>
      <c r="Q808" s="152"/>
      <c r="R808" s="152"/>
      <c r="S808" s="209" t="s">
        <v>72</v>
      </c>
      <c r="T808" s="209" t="s">
        <v>66</v>
      </c>
      <c r="U808" s="209" t="s">
        <v>342</v>
      </c>
      <c r="V808" s="209" t="s">
        <v>1984</v>
      </c>
      <c r="W808" s="153"/>
      <c r="X808" s="153"/>
      <c r="Y808" s="153"/>
      <c r="Z808" s="153"/>
      <c r="AA808" s="213">
        <v>9672.0</v>
      </c>
      <c r="AB808" s="213">
        <v>56669.0</v>
      </c>
      <c r="AC808" s="24" t="s">
        <v>2517</v>
      </c>
      <c r="AD808" s="195">
        <v>6520.0</v>
      </c>
      <c r="AE808" s="38"/>
      <c r="AF808" s="209" t="str">
        <f t="shared" si="1"/>
        <v>Buenos Aires, Argentina</v>
      </c>
      <c r="AG808" s="209">
        <f t="shared" si="2"/>
        <v>3</v>
      </c>
      <c r="AH808" s="214">
        <f t="shared" si="3"/>
        <v>0</v>
      </c>
      <c r="AI808" s="214">
        <f t="shared" si="4"/>
        <v>0</v>
      </c>
      <c r="AJ808" s="213">
        <f t="shared" si="5"/>
        <v>66341</v>
      </c>
      <c r="AK808" s="213">
        <f t="shared" si="6"/>
        <v>66341</v>
      </c>
      <c r="AL808" s="156"/>
      <c r="AM808" s="156"/>
    </row>
    <row r="809">
      <c r="A809" s="266">
        <v>808.0</v>
      </c>
      <c r="B809" s="267">
        <v>44531.0</v>
      </c>
      <c r="C809" s="195" t="str">
        <f t="shared" si="7"/>
        <v>122021</v>
      </c>
      <c r="D809" s="268" t="s">
        <v>1968</v>
      </c>
      <c r="E809" s="266" t="s">
        <v>1969</v>
      </c>
      <c r="F809" s="268" t="s">
        <v>1423</v>
      </c>
      <c r="G809" s="266" t="s">
        <v>64</v>
      </c>
      <c r="H809" s="266" t="s">
        <v>41</v>
      </c>
      <c r="I809" s="266" t="s">
        <v>643</v>
      </c>
      <c r="J809" s="269">
        <v>1.0</v>
      </c>
      <c r="K809" s="187"/>
      <c r="L809" s="187"/>
      <c r="M809" s="187"/>
      <c r="N809" s="187"/>
      <c r="O809" s="187"/>
      <c r="P809" s="187"/>
      <c r="Q809" s="188"/>
      <c r="R809" s="188"/>
      <c r="S809" s="266" t="s">
        <v>105</v>
      </c>
      <c r="T809" s="266" t="s">
        <v>66</v>
      </c>
      <c r="U809" s="266" t="s">
        <v>99</v>
      </c>
      <c r="V809" s="266" t="s">
        <v>1984</v>
      </c>
      <c r="W809" s="189"/>
      <c r="X809" s="189"/>
      <c r="Y809" s="189"/>
      <c r="Z809" s="189"/>
      <c r="AA809" s="270">
        <v>8385.0</v>
      </c>
      <c r="AB809" s="270">
        <v>33539.0</v>
      </c>
      <c r="AC809" s="24" t="s">
        <v>2518</v>
      </c>
      <c r="AD809" s="195">
        <v>6538.0</v>
      </c>
      <c r="AE809" s="38"/>
      <c r="AF809" s="266" t="str">
        <f t="shared" si="1"/>
        <v>Buenos Aires, Argentina</v>
      </c>
      <c r="AG809" s="266">
        <f t="shared" si="2"/>
        <v>1</v>
      </c>
      <c r="AH809" s="271">
        <f t="shared" si="3"/>
        <v>0</v>
      </c>
      <c r="AI809" s="271">
        <f t="shared" si="4"/>
        <v>0</v>
      </c>
      <c r="AJ809" s="270">
        <f t="shared" si="5"/>
        <v>41924</v>
      </c>
      <c r="AK809" s="270">
        <f t="shared" si="6"/>
        <v>41924</v>
      </c>
      <c r="AL809" s="192"/>
      <c r="AM809" s="192"/>
    </row>
    <row r="810">
      <c r="A810" s="266">
        <v>809.0</v>
      </c>
      <c r="B810" s="267">
        <v>44533.0</v>
      </c>
      <c r="C810" s="195" t="str">
        <f t="shared" si="7"/>
        <v>122021</v>
      </c>
      <c r="D810" s="268" t="s">
        <v>2519</v>
      </c>
      <c r="E810" s="266" t="s">
        <v>2520</v>
      </c>
      <c r="F810" s="268" t="s">
        <v>2248</v>
      </c>
      <c r="G810" s="266" t="s">
        <v>64</v>
      </c>
      <c r="H810" s="266" t="s">
        <v>41</v>
      </c>
      <c r="I810" s="266" t="s">
        <v>643</v>
      </c>
      <c r="J810" s="187"/>
      <c r="K810" s="187"/>
      <c r="L810" s="187"/>
      <c r="M810" s="187"/>
      <c r="N810" s="187"/>
      <c r="O810" s="187"/>
      <c r="P810" s="187"/>
      <c r="Q810" s="188"/>
      <c r="R810" s="188"/>
      <c r="S810" s="266" t="s">
        <v>204</v>
      </c>
      <c r="T810" s="266" t="s">
        <v>66</v>
      </c>
      <c r="U810" s="266" t="s">
        <v>99</v>
      </c>
      <c r="V810" s="266" t="s">
        <v>1984</v>
      </c>
      <c r="W810" s="189"/>
      <c r="X810" s="189"/>
      <c r="Y810" s="189"/>
      <c r="Z810" s="189"/>
      <c r="AA810" s="270">
        <v>0.0</v>
      </c>
      <c r="AB810" s="270">
        <v>26832.0</v>
      </c>
      <c r="AC810" s="24" t="s">
        <v>2521</v>
      </c>
      <c r="AD810" s="195">
        <v>6544.0</v>
      </c>
      <c r="AE810" s="38"/>
      <c r="AF810" s="266" t="str">
        <f t="shared" si="1"/>
        <v>Buenos Aires, Argentina</v>
      </c>
      <c r="AG810" s="266">
        <f t="shared" si="2"/>
        <v>0</v>
      </c>
      <c r="AH810" s="271">
        <f t="shared" si="3"/>
        <v>0</v>
      </c>
      <c r="AI810" s="271">
        <f t="shared" si="4"/>
        <v>0</v>
      </c>
      <c r="AJ810" s="270">
        <f t="shared" si="5"/>
        <v>26832</v>
      </c>
      <c r="AK810" s="270">
        <f t="shared" si="6"/>
        <v>26832</v>
      </c>
      <c r="AL810" s="192"/>
      <c r="AM810" s="192"/>
    </row>
    <row r="811">
      <c r="A811" s="266">
        <v>810.0</v>
      </c>
      <c r="B811" s="267">
        <v>44537.0</v>
      </c>
      <c r="C811" s="195" t="str">
        <f t="shared" si="7"/>
        <v>122021</v>
      </c>
      <c r="D811" s="268" t="s">
        <v>2522</v>
      </c>
      <c r="E811" s="266" t="s">
        <v>2523</v>
      </c>
      <c r="F811" s="268" t="s">
        <v>1423</v>
      </c>
      <c r="G811" s="266" t="s">
        <v>40</v>
      </c>
      <c r="H811" s="266" t="s">
        <v>547</v>
      </c>
      <c r="I811" s="266" t="s">
        <v>643</v>
      </c>
      <c r="J811" s="269">
        <v>1.0</v>
      </c>
      <c r="K811" s="187"/>
      <c r="L811" s="187"/>
      <c r="M811" s="187"/>
      <c r="N811" s="187"/>
      <c r="O811" s="187"/>
      <c r="P811" s="187"/>
      <c r="Q811" s="188"/>
      <c r="R811" s="188"/>
      <c r="S811" s="266" t="s">
        <v>189</v>
      </c>
      <c r="T811" s="266" t="s">
        <v>66</v>
      </c>
      <c r="U811" s="266" t="s">
        <v>53</v>
      </c>
      <c r="V811" s="266" t="s">
        <v>1984</v>
      </c>
      <c r="W811" s="189"/>
      <c r="X811" s="189"/>
      <c r="Y811" s="189"/>
      <c r="Z811" s="189"/>
      <c r="AA811" s="270">
        <v>5031.0</v>
      </c>
      <c r="AB811" s="270">
        <v>16100.0</v>
      </c>
      <c r="AC811" s="24" t="s">
        <v>2524</v>
      </c>
      <c r="AD811" s="195">
        <v>10129.0</v>
      </c>
      <c r="AE811" s="38"/>
      <c r="AF811" s="266" t="str">
        <f t="shared" si="1"/>
        <v>Buenos Aires, Argentina</v>
      </c>
      <c r="AG811" s="266">
        <f t="shared" si="2"/>
        <v>1</v>
      </c>
      <c r="AH811" s="271">
        <f t="shared" si="3"/>
        <v>0</v>
      </c>
      <c r="AI811" s="271">
        <f t="shared" si="4"/>
        <v>0</v>
      </c>
      <c r="AJ811" s="270">
        <f t="shared" si="5"/>
        <v>21131</v>
      </c>
      <c r="AK811" s="270">
        <f t="shared" si="6"/>
        <v>21131</v>
      </c>
      <c r="AL811" s="192"/>
      <c r="AM811" s="192"/>
    </row>
    <row r="812">
      <c r="A812" s="266">
        <v>811.0</v>
      </c>
      <c r="B812" s="267">
        <v>44537.0</v>
      </c>
      <c r="C812" s="195" t="str">
        <f t="shared" si="7"/>
        <v>122021</v>
      </c>
      <c r="D812" s="268" t="s">
        <v>795</v>
      </c>
      <c r="E812" s="266" t="s">
        <v>796</v>
      </c>
      <c r="F812" s="268" t="s">
        <v>1423</v>
      </c>
      <c r="G812" s="266" t="s">
        <v>64</v>
      </c>
      <c r="H812" s="266" t="s">
        <v>41</v>
      </c>
      <c r="I812" s="266" t="s">
        <v>643</v>
      </c>
      <c r="J812" s="269">
        <v>1.0</v>
      </c>
      <c r="K812" s="187"/>
      <c r="L812" s="187"/>
      <c r="M812" s="187"/>
      <c r="N812" s="187"/>
      <c r="O812" s="187"/>
      <c r="P812" s="187"/>
      <c r="Q812" s="188"/>
      <c r="R812" s="188"/>
      <c r="S812" s="266" t="s">
        <v>98</v>
      </c>
      <c r="T812" s="266" t="s">
        <v>66</v>
      </c>
      <c r="U812" s="266" t="s">
        <v>99</v>
      </c>
      <c r="V812" s="266" t="s">
        <v>1984</v>
      </c>
      <c r="W812" s="189"/>
      <c r="X812" s="189"/>
      <c r="Y812" s="189"/>
      <c r="Z812" s="189"/>
      <c r="AA812" s="270">
        <v>8385.0</v>
      </c>
      <c r="AB812" s="270">
        <v>37732.0</v>
      </c>
      <c r="AC812" s="24" t="s">
        <v>2525</v>
      </c>
      <c r="AD812" s="195">
        <v>6556.0</v>
      </c>
      <c r="AE812" s="38"/>
      <c r="AF812" s="266" t="str">
        <f t="shared" si="1"/>
        <v>Buenos Aires, Argentina</v>
      </c>
      <c r="AG812" s="266">
        <f t="shared" si="2"/>
        <v>1</v>
      </c>
      <c r="AH812" s="271">
        <f t="shared" si="3"/>
        <v>0</v>
      </c>
      <c r="AI812" s="271">
        <f t="shared" si="4"/>
        <v>0</v>
      </c>
      <c r="AJ812" s="270">
        <f t="shared" si="5"/>
        <v>46117</v>
      </c>
      <c r="AK812" s="270">
        <f t="shared" si="6"/>
        <v>46117</v>
      </c>
      <c r="AL812" s="192"/>
      <c r="AM812" s="192"/>
    </row>
    <row r="813">
      <c r="A813" s="183">
        <v>812.0</v>
      </c>
      <c r="B813" s="184">
        <v>44539.0</v>
      </c>
      <c r="C813" s="195" t="str">
        <f t="shared" si="7"/>
        <v>122021</v>
      </c>
      <c r="D813" s="185" t="s">
        <v>2456</v>
      </c>
      <c r="E813" s="183" t="s">
        <v>2457</v>
      </c>
      <c r="F813" s="185" t="s">
        <v>2526</v>
      </c>
      <c r="G813" s="183" t="s">
        <v>64</v>
      </c>
      <c r="H813" s="183" t="s">
        <v>41</v>
      </c>
      <c r="I813" s="183" t="s">
        <v>643</v>
      </c>
      <c r="J813" s="187"/>
      <c r="K813" s="187"/>
      <c r="L813" s="187"/>
      <c r="M813" s="187"/>
      <c r="N813" s="187"/>
      <c r="O813" s="187"/>
      <c r="P813" s="187"/>
      <c r="Q813" s="188"/>
      <c r="R813" s="188"/>
      <c r="S813" s="183" t="s">
        <v>43</v>
      </c>
      <c r="T813" s="183" t="s">
        <v>83</v>
      </c>
      <c r="U813" s="183" t="s">
        <v>67</v>
      </c>
      <c r="V813" s="183" t="s">
        <v>84</v>
      </c>
      <c r="W813" s="190">
        <v>50600.0</v>
      </c>
      <c r="X813" s="190">
        <v>698000.0</v>
      </c>
      <c r="Y813" s="189"/>
      <c r="Z813" s="189"/>
      <c r="AA813" s="190">
        <v>0.0</v>
      </c>
      <c r="AB813" s="190">
        <v>0.0</v>
      </c>
      <c r="AC813" s="24" t="s">
        <v>2527</v>
      </c>
      <c r="AD813" s="17">
        <v>38720.0</v>
      </c>
      <c r="AE813" s="38"/>
      <c r="AF813" s="183" t="str">
        <f t="shared" si="1"/>
        <v>Capital Federal, Argentina</v>
      </c>
      <c r="AG813" s="183">
        <f t="shared" si="2"/>
        <v>0</v>
      </c>
      <c r="AH813" s="191">
        <f t="shared" si="3"/>
        <v>748600</v>
      </c>
      <c r="AI813" s="191">
        <f t="shared" si="4"/>
        <v>0</v>
      </c>
      <c r="AJ813" s="190">
        <f t="shared" si="5"/>
        <v>0</v>
      </c>
      <c r="AK813" s="190">
        <f t="shared" si="6"/>
        <v>748600</v>
      </c>
      <c r="AL813" s="192"/>
      <c r="AM813" s="192"/>
    </row>
    <row r="814">
      <c r="A814" s="266">
        <v>813.0</v>
      </c>
      <c r="B814" s="267">
        <v>44539.0</v>
      </c>
      <c r="C814" s="195" t="str">
        <f t="shared" si="7"/>
        <v>122021</v>
      </c>
      <c r="D814" s="268" t="s">
        <v>1968</v>
      </c>
      <c r="E814" s="266" t="s">
        <v>1969</v>
      </c>
      <c r="F814" s="268" t="s">
        <v>2528</v>
      </c>
      <c r="G814" s="266" t="s">
        <v>64</v>
      </c>
      <c r="H814" s="266" t="s">
        <v>41</v>
      </c>
      <c r="I814" s="266" t="s">
        <v>643</v>
      </c>
      <c r="J814" s="187"/>
      <c r="K814" s="187"/>
      <c r="L814" s="187"/>
      <c r="M814" s="269">
        <v>1.0</v>
      </c>
      <c r="N814" s="187"/>
      <c r="O814" s="187"/>
      <c r="P814" s="187"/>
      <c r="Q814" s="188"/>
      <c r="R814" s="188"/>
      <c r="S814" s="266" t="s">
        <v>105</v>
      </c>
      <c r="T814" s="266" t="s">
        <v>66</v>
      </c>
      <c r="U814" s="266" t="s">
        <v>99</v>
      </c>
      <c r="V814" s="266" t="s">
        <v>1984</v>
      </c>
      <c r="W814" s="189"/>
      <c r="X814" s="189"/>
      <c r="Y814" s="189"/>
      <c r="Z814" s="189"/>
      <c r="AA814" s="270">
        <v>8385.0</v>
      </c>
      <c r="AB814" s="270">
        <v>33539.0</v>
      </c>
      <c r="AC814" s="24" t="s">
        <v>2529</v>
      </c>
      <c r="AD814" s="195">
        <v>6560.0</v>
      </c>
      <c r="AE814" s="38"/>
      <c r="AF814" s="266" t="str">
        <f t="shared" si="1"/>
        <v>Buenos Aires, Argentina</v>
      </c>
      <c r="AG814" s="266">
        <f t="shared" si="2"/>
        <v>1</v>
      </c>
      <c r="AH814" s="271">
        <f t="shared" si="3"/>
        <v>0</v>
      </c>
      <c r="AI814" s="271">
        <f t="shared" si="4"/>
        <v>0</v>
      </c>
      <c r="AJ814" s="270">
        <f t="shared" si="5"/>
        <v>41924</v>
      </c>
      <c r="AK814" s="270">
        <f t="shared" si="6"/>
        <v>41924</v>
      </c>
      <c r="AL814" s="192"/>
      <c r="AM814" s="192"/>
    </row>
    <row r="815">
      <c r="A815" s="266">
        <v>814.0</v>
      </c>
      <c r="B815" s="267">
        <v>44539.0</v>
      </c>
      <c r="C815" s="195" t="str">
        <f t="shared" si="7"/>
        <v>122021</v>
      </c>
      <c r="D815" s="268" t="s">
        <v>1979</v>
      </c>
      <c r="E815" s="266" t="s">
        <v>1980</v>
      </c>
      <c r="F815" s="268" t="s">
        <v>1412</v>
      </c>
      <c r="G815" s="266" t="s">
        <v>64</v>
      </c>
      <c r="H815" s="266" t="s">
        <v>41</v>
      </c>
      <c r="I815" s="266" t="s">
        <v>643</v>
      </c>
      <c r="J815" s="269">
        <v>2.0</v>
      </c>
      <c r="K815" s="187"/>
      <c r="L815" s="187"/>
      <c r="M815" s="187"/>
      <c r="N815" s="187"/>
      <c r="O815" s="187"/>
      <c r="P815" s="187"/>
      <c r="Q815" s="188"/>
      <c r="R815" s="188"/>
      <c r="S815" s="266" t="s">
        <v>65</v>
      </c>
      <c r="T815" s="266" t="s">
        <v>83</v>
      </c>
      <c r="U815" s="266" t="s">
        <v>99</v>
      </c>
      <c r="V815" s="266" t="s">
        <v>1984</v>
      </c>
      <c r="W815" s="189"/>
      <c r="X815" s="189"/>
      <c r="Y815" s="189"/>
      <c r="Z815" s="189"/>
      <c r="AA815" s="270">
        <v>15093.0</v>
      </c>
      <c r="AB815" s="270">
        <v>67919.0</v>
      </c>
      <c r="AC815" s="24" t="s">
        <v>2530</v>
      </c>
      <c r="AD815" s="195">
        <v>6566.0</v>
      </c>
      <c r="AE815" s="38"/>
      <c r="AF815" s="266" t="str">
        <f t="shared" si="1"/>
        <v>Capital Federal, Argentina</v>
      </c>
      <c r="AG815" s="266">
        <f t="shared" si="2"/>
        <v>2</v>
      </c>
      <c r="AH815" s="271">
        <f t="shared" si="3"/>
        <v>0</v>
      </c>
      <c r="AI815" s="271">
        <f t="shared" si="4"/>
        <v>0</v>
      </c>
      <c r="AJ815" s="270">
        <f t="shared" si="5"/>
        <v>83012</v>
      </c>
      <c r="AK815" s="270">
        <f t="shared" si="6"/>
        <v>83012</v>
      </c>
      <c r="AL815" s="192"/>
      <c r="AM815" s="192"/>
    </row>
    <row r="816">
      <c r="A816" s="266">
        <v>815.0</v>
      </c>
      <c r="B816" s="267">
        <v>44539.0</v>
      </c>
      <c r="C816" s="195" t="str">
        <f t="shared" si="7"/>
        <v>122021</v>
      </c>
      <c r="D816" s="268" t="s">
        <v>2346</v>
      </c>
      <c r="E816" s="266" t="s">
        <v>2347</v>
      </c>
      <c r="F816" s="268" t="s">
        <v>2531</v>
      </c>
      <c r="G816" s="266" t="s">
        <v>64</v>
      </c>
      <c r="H816" s="266" t="s">
        <v>41</v>
      </c>
      <c r="I816" s="266" t="s">
        <v>643</v>
      </c>
      <c r="J816" s="187"/>
      <c r="K816" s="187"/>
      <c r="L816" s="187"/>
      <c r="M816" s="187"/>
      <c r="N816" s="187"/>
      <c r="O816" s="187"/>
      <c r="P816" s="187"/>
      <c r="Q816" s="188"/>
      <c r="R816" s="188"/>
      <c r="S816" s="266" t="s">
        <v>65</v>
      </c>
      <c r="T816" s="266" t="s">
        <v>66</v>
      </c>
      <c r="U816" s="266" t="s">
        <v>99</v>
      </c>
      <c r="V816" s="266" t="s">
        <v>1984</v>
      </c>
      <c r="W816" s="270">
        <v>7150.0</v>
      </c>
      <c r="X816" s="270">
        <v>32175.0</v>
      </c>
      <c r="Y816" s="189"/>
      <c r="Z816" s="189"/>
      <c r="AA816" s="270">
        <v>0.0</v>
      </c>
      <c r="AB816" s="270">
        <v>0.0</v>
      </c>
      <c r="AC816" s="24" t="s">
        <v>2532</v>
      </c>
      <c r="AD816" s="195">
        <v>6570.0</v>
      </c>
      <c r="AE816" s="38"/>
      <c r="AF816" s="266" t="str">
        <f t="shared" si="1"/>
        <v>Buenos Aires, Argentina</v>
      </c>
      <c r="AG816" s="266">
        <f t="shared" si="2"/>
        <v>0</v>
      </c>
      <c r="AH816" s="271">
        <f t="shared" si="3"/>
        <v>39325</v>
      </c>
      <c r="AI816" s="271">
        <f t="shared" si="4"/>
        <v>0</v>
      </c>
      <c r="AJ816" s="270">
        <f t="shared" si="5"/>
        <v>0</v>
      </c>
      <c r="AK816" s="270">
        <f t="shared" si="6"/>
        <v>39325</v>
      </c>
      <c r="AL816" s="192"/>
      <c r="AM816" s="192"/>
    </row>
    <row r="817">
      <c r="A817" s="266">
        <v>816.0</v>
      </c>
      <c r="B817" s="267">
        <v>44544.0</v>
      </c>
      <c r="C817" s="195" t="str">
        <f t="shared" si="7"/>
        <v>122021</v>
      </c>
      <c r="D817" s="268" t="s">
        <v>2533</v>
      </c>
      <c r="E817" s="266" t="s">
        <v>2534</v>
      </c>
      <c r="F817" s="268" t="s">
        <v>2257</v>
      </c>
      <c r="G817" s="266" t="s">
        <v>64</v>
      </c>
      <c r="H817" s="266" t="s">
        <v>41</v>
      </c>
      <c r="I817" s="266" t="s">
        <v>643</v>
      </c>
      <c r="J817" s="187"/>
      <c r="K817" s="269">
        <v>1.0</v>
      </c>
      <c r="L817" s="187"/>
      <c r="M817" s="187"/>
      <c r="N817" s="187"/>
      <c r="O817" s="187"/>
      <c r="P817" s="187"/>
      <c r="Q817" s="188"/>
      <c r="R817" s="188"/>
      <c r="S817" s="266" t="s">
        <v>98</v>
      </c>
      <c r="T817" s="266" t="s">
        <v>66</v>
      </c>
      <c r="U817" s="266" t="s">
        <v>99</v>
      </c>
      <c r="V817" s="266" t="s">
        <v>1984</v>
      </c>
      <c r="W817" s="189"/>
      <c r="X817" s="189"/>
      <c r="Y817" s="189"/>
      <c r="Z817" s="189"/>
      <c r="AA817" s="270">
        <v>6289.0</v>
      </c>
      <c r="AB817" s="270">
        <v>25155.0</v>
      </c>
      <c r="AC817" s="24" t="s">
        <v>2535</v>
      </c>
      <c r="AD817" s="195">
        <v>6586.0</v>
      </c>
      <c r="AE817" s="38"/>
      <c r="AF817" s="266" t="str">
        <f t="shared" si="1"/>
        <v>Buenos Aires, Argentina</v>
      </c>
      <c r="AG817" s="266">
        <f t="shared" si="2"/>
        <v>1</v>
      </c>
      <c r="AH817" s="271">
        <f t="shared" si="3"/>
        <v>0</v>
      </c>
      <c r="AI817" s="271">
        <f t="shared" si="4"/>
        <v>0</v>
      </c>
      <c r="AJ817" s="270">
        <f t="shared" si="5"/>
        <v>31444</v>
      </c>
      <c r="AK817" s="270">
        <f t="shared" si="6"/>
        <v>31444</v>
      </c>
      <c r="AL817" s="192"/>
      <c r="AM817" s="192"/>
    </row>
    <row r="818">
      <c r="A818" s="266">
        <v>817.0</v>
      </c>
      <c r="B818" s="267">
        <v>44545.0</v>
      </c>
      <c r="C818" s="195" t="str">
        <f t="shared" si="7"/>
        <v>122021</v>
      </c>
      <c r="D818" s="268" t="s">
        <v>795</v>
      </c>
      <c r="E818" s="266" t="s">
        <v>796</v>
      </c>
      <c r="F818" s="268" t="s">
        <v>2536</v>
      </c>
      <c r="G818" s="266" t="s">
        <v>64</v>
      </c>
      <c r="H818" s="266" t="s">
        <v>41</v>
      </c>
      <c r="I818" s="266" t="s">
        <v>643</v>
      </c>
      <c r="J818" s="187"/>
      <c r="K818" s="269">
        <v>1.0</v>
      </c>
      <c r="L818" s="187"/>
      <c r="M818" s="187"/>
      <c r="N818" s="187"/>
      <c r="O818" s="187"/>
      <c r="P818" s="187"/>
      <c r="Q818" s="188"/>
      <c r="R818" s="188"/>
      <c r="S818" s="266" t="s">
        <v>98</v>
      </c>
      <c r="T818" s="266" t="s">
        <v>66</v>
      </c>
      <c r="U818" s="266" t="s">
        <v>99</v>
      </c>
      <c r="V818" s="266" t="s">
        <v>1984</v>
      </c>
      <c r="W818" s="189"/>
      <c r="X818" s="189"/>
      <c r="Y818" s="189"/>
      <c r="Z818" s="189"/>
      <c r="AA818" s="270">
        <v>6289.0</v>
      </c>
      <c r="AB818" s="270">
        <v>28300.0</v>
      </c>
      <c r="AC818" s="24" t="s">
        <v>2537</v>
      </c>
      <c r="AD818" s="195">
        <v>6590.0</v>
      </c>
      <c r="AE818" s="38"/>
      <c r="AF818" s="266" t="str">
        <f t="shared" si="1"/>
        <v>Buenos Aires, Argentina</v>
      </c>
      <c r="AG818" s="266">
        <f t="shared" si="2"/>
        <v>1</v>
      </c>
      <c r="AH818" s="271">
        <f t="shared" si="3"/>
        <v>0</v>
      </c>
      <c r="AI818" s="271">
        <f t="shared" si="4"/>
        <v>0</v>
      </c>
      <c r="AJ818" s="270">
        <f t="shared" si="5"/>
        <v>34589</v>
      </c>
      <c r="AK818" s="270">
        <f t="shared" si="6"/>
        <v>34589</v>
      </c>
      <c r="AL818" s="192"/>
      <c r="AM818" s="192"/>
    </row>
    <row r="819">
      <c r="A819" s="266">
        <v>818.0</v>
      </c>
      <c r="B819" s="267">
        <v>44545.0</v>
      </c>
      <c r="C819" s="195" t="str">
        <f t="shared" si="7"/>
        <v>122021</v>
      </c>
      <c r="D819" s="268" t="s">
        <v>2220</v>
      </c>
      <c r="E819" s="266" t="s">
        <v>2221</v>
      </c>
      <c r="F819" s="268" t="s">
        <v>13</v>
      </c>
      <c r="G819" s="266" t="s">
        <v>64</v>
      </c>
      <c r="H819" s="266" t="s">
        <v>41</v>
      </c>
      <c r="I819" s="266" t="s">
        <v>643</v>
      </c>
      <c r="J819" s="187"/>
      <c r="K819" s="187"/>
      <c r="L819" s="187"/>
      <c r="M819" s="187"/>
      <c r="N819" s="269">
        <v>1.0</v>
      </c>
      <c r="O819" s="187"/>
      <c r="P819" s="187"/>
      <c r="Q819" s="188"/>
      <c r="R819" s="188"/>
      <c r="S819" s="266" t="s">
        <v>43</v>
      </c>
      <c r="T819" s="266" t="s">
        <v>58</v>
      </c>
      <c r="U819" s="266" t="s">
        <v>99</v>
      </c>
      <c r="V819" s="266" t="s">
        <v>1984</v>
      </c>
      <c r="W819" s="189"/>
      <c r="X819" s="189"/>
      <c r="Y819" s="189"/>
      <c r="Z819" s="189"/>
      <c r="AA819" s="270">
        <v>8385.0</v>
      </c>
      <c r="AB819" s="270">
        <v>37732.0</v>
      </c>
      <c r="AC819" s="24" t="s">
        <v>2538</v>
      </c>
      <c r="AD819" s="195">
        <v>6592.0</v>
      </c>
      <c r="AE819" s="38"/>
      <c r="AF819" s="266" t="str">
        <f t="shared" si="1"/>
        <v>Córdoba, Argentina</v>
      </c>
      <c r="AG819" s="266">
        <f t="shared" si="2"/>
        <v>1</v>
      </c>
      <c r="AH819" s="271">
        <f t="shared" si="3"/>
        <v>0</v>
      </c>
      <c r="AI819" s="271">
        <f t="shared" si="4"/>
        <v>0</v>
      </c>
      <c r="AJ819" s="270">
        <f t="shared" si="5"/>
        <v>46117</v>
      </c>
      <c r="AK819" s="270">
        <f t="shared" si="6"/>
        <v>46117</v>
      </c>
      <c r="AL819" s="192"/>
      <c r="AM819" s="192"/>
    </row>
    <row r="820">
      <c r="A820" s="266">
        <v>819.0</v>
      </c>
      <c r="B820" s="267">
        <v>44547.0</v>
      </c>
      <c r="C820" s="195" t="str">
        <f t="shared" si="7"/>
        <v>122021</v>
      </c>
      <c r="D820" s="268" t="s">
        <v>2539</v>
      </c>
      <c r="E820" s="266" t="s">
        <v>2183</v>
      </c>
      <c r="F820" s="268" t="s">
        <v>2540</v>
      </c>
      <c r="G820" s="266" t="s">
        <v>64</v>
      </c>
      <c r="H820" s="266" t="s">
        <v>41</v>
      </c>
      <c r="I820" s="266" t="s">
        <v>643</v>
      </c>
      <c r="J820" s="187"/>
      <c r="K820" s="187"/>
      <c r="L820" s="187"/>
      <c r="M820" s="187"/>
      <c r="N820" s="187"/>
      <c r="O820" s="187"/>
      <c r="P820" s="187"/>
      <c r="Q820" s="188"/>
      <c r="R820" s="188"/>
      <c r="S820" s="266" t="s">
        <v>189</v>
      </c>
      <c r="T820" s="266" t="s">
        <v>83</v>
      </c>
      <c r="U820" s="266" t="s">
        <v>99</v>
      </c>
      <c r="V820" s="266" t="s">
        <v>1984</v>
      </c>
      <c r="W820" s="270">
        <v>11050.0</v>
      </c>
      <c r="X820" s="270">
        <v>0.0</v>
      </c>
      <c r="Y820" s="189"/>
      <c r="Z820" s="189"/>
      <c r="AA820" s="270">
        <v>0.0</v>
      </c>
      <c r="AB820" s="270">
        <v>0.0</v>
      </c>
      <c r="AC820" s="24" t="s">
        <v>2541</v>
      </c>
      <c r="AD820" s="195">
        <v>6604.0</v>
      </c>
      <c r="AE820" s="38"/>
      <c r="AF820" s="266" t="str">
        <f t="shared" si="1"/>
        <v>Capital Federal, Argentina</v>
      </c>
      <c r="AG820" s="266">
        <f t="shared" si="2"/>
        <v>0</v>
      </c>
      <c r="AH820" s="271">
        <f t="shared" si="3"/>
        <v>11050</v>
      </c>
      <c r="AI820" s="271">
        <f t="shared" si="4"/>
        <v>0</v>
      </c>
      <c r="AJ820" s="270">
        <f t="shared" si="5"/>
        <v>0</v>
      </c>
      <c r="AK820" s="270">
        <f t="shared" si="6"/>
        <v>11050</v>
      </c>
      <c r="AL820" s="192"/>
      <c r="AM820" s="192"/>
    </row>
    <row r="821">
      <c r="A821" s="266">
        <v>820.0</v>
      </c>
      <c r="B821" s="267">
        <v>44547.0</v>
      </c>
      <c r="C821" s="195" t="str">
        <f t="shared" si="7"/>
        <v>122021</v>
      </c>
      <c r="D821" s="268" t="s">
        <v>2542</v>
      </c>
      <c r="E821" s="266" t="s">
        <v>2543</v>
      </c>
      <c r="F821" s="268" t="s">
        <v>1423</v>
      </c>
      <c r="G821" s="266" t="s">
        <v>64</v>
      </c>
      <c r="H821" s="266" t="s">
        <v>547</v>
      </c>
      <c r="I821" s="266" t="s">
        <v>643</v>
      </c>
      <c r="J821" s="269">
        <v>1.0</v>
      </c>
      <c r="K821" s="187"/>
      <c r="L821" s="187"/>
      <c r="M821" s="187"/>
      <c r="N821" s="187"/>
      <c r="O821" s="187"/>
      <c r="P821" s="187"/>
      <c r="Q821" s="188"/>
      <c r="R821" s="188"/>
      <c r="S821" s="266" t="s">
        <v>114</v>
      </c>
      <c r="T821" s="266" t="s">
        <v>66</v>
      </c>
      <c r="U821" s="266" t="s">
        <v>99</v>
      </c>
      <c r="V821" s="266" t="s">
        <v>1984</v>
      </c>
      <c r="W821" s="189"/>
      <c r="X821" s="189"/>
      <c r="Y821" s="189"/>
      <c r="Z821" s="189"/>
      <c r="AA821" s="270">
        <v>5031.0</v>
      </c>
      <c r="AB821" s="270">
        <v>20123.0</v>
      </c>
      <c r="AC821" s="24" t="s">
        <v>2544</v>
      </c>
      <c r="AD821" s="195">
        <v>6610.0</v>
      </c>
      <c r="AE821" s="38"/>
      <c r="AF821" s="266" t="str">
        <f t="shared" si="1"/>
        <v>Buenos Aires, Argentina</v>
      </c>
      <c r="AG821" s="266">
        <f t="shared" si="2"/>
        <v>1</v>
      </c>
      <c r="AH821" s="271">
        <f t="shared" si="3"/>
        <v>0</v>
      </c>
      <c r="AI821" s="271">
        <f t="shared" si="4"/>
        <v>0</v>
      </c>
      <c r="AJ821" s="270">
        <f t="shared" si="5"/>
        <v>25154</v>
      </c>
      <c r="AK821" s="270">
        <f t="shared" si="6"/>
        <v>25154</v>
      </c>
      <c r="AL821" s="192"/>
      <c r="AM821" s="192"/>
    </row>
    <row r="822">
      <c r="A822" s="266">
        <v>821.0</v>
      </c>
      <c r="B822" s="267">
        <v>44552.0</v>
      </c>
      <c r="C822" s="195" t="str">
        <f t="shared" si="7"/>
        <v>122021</v>
      </c>
      <c r="D822" s="268" t="s">
        <v>2402</v>
      </c>
      <c r="E822" s="266" t="s">
        <v>2403</v>
      </c>
      <c r="F822" s="268" t="s">
        <v>1423</v>
      </c>
      <c r="G822" s="266" t="s">
        <v>64</v>
      </c>
      <c r="H822" s="266" t="s">
        <v>41</v>
      </c>
      <c r="I822" s="266" t="s">
        <v>643</v>
      </c>
      <c r="J822" s="269">
        <v>1.0</v>
      </c>
      <c r="K822" s="187"/>
      <c r="L822" s="187"/>
      <c r="M822" s="187"/>
      <c r="N822" s="187"/>
      <c r="O822" s="187"/>
      <c r="P822" s="187"/>
      <c r="Q822" s="188"/>
      <c r="R822" s="188"/>
      <c r="S822" s="266" t="s">
        <v>43</v>
      </c>
      <c r="T822" s="266" t="s">
        <v>83</v>
      </c>
      <c r="U822" s="266" t="s">
        <v>99</v>
      </c>
      <c r="V822" s="266" t="s">
        <v>1984</v>
      </c>
      <c r="W822" s="189"/>
      <c r="X822" s="189"/>
      <c r="Y822" s="189"/>
      <c r="Z822" s="189"/>
      <c r="AA822" s="270">
        <v>8385.0</v>
      </c>
      <c r="AB822" s="270">
        <v>37732.0</v>
      </c>
      <c r="AC822" s="24" t="s">
        <v>2545</v>
      </c>
      <c r="AD822" s="195">
        <v>6616.0</v>
      </c>
      <c r="AE822" s="38"/>
      <c r="AF822" s="266" t="str">
        <f t="shared" si="1"/>
        <v>Capital Federal, Argentina</v>
      </c>
      <c r="AG822" s="266">
        <f t="shared" si="2"/>
        <v>1</v>
      </c>
      <c r="AH822" s="271">
        <f t="shared" si="3"/>
        <v>0</v>
      </c>
      <c r="AI822" s="271">
        <f t="shared" si="4"/>
        <v>0</v>
      </c>
      <c r="AJ822" s="270">
        <f t="shared" si="5"/>
        <v>46117</v>
      </c>
      <c r="AK822" s="270">
        <f t="shared" si="6"/>
        <v>46117</v>
      </c>
      <c r="AL822" s="192"/>
      <c r="AM822" s="192"/>
    </row>
    <row r="823">
      <c r="A823" s="266">
        <v>822.0</v>
      </c>
      <c r="B823" s="267">
        <v>44553.0</v>
      </c>
      <c r="C823" s="195" t="str">
        <f t="shared" si="7"/>
        <v>122021</v>
      </c>
      <c r="D823" s="268" t="s">
        <v>2546</v>
      </c>
      <c r="E823" s="266" t="s">
        <v>2547</v>
      </c>
      <c r="F823" s="268" t="s">
        <v>1415</v>
      </c>
      <c r="G823" s="266" t="s">
        <v>64</v>
      </c>
      <c r="H823" s="266" t="s">
        <v>41</v>
      </c>
      <c r="I823" s="266" t="s">
        <v>643</v>
      </c>
      <c r="J823" s="187"/>
      <c r="K823" s="269">
        <v>1.0</v>
      </c>
      <c r="L823" s="187"/>
      <c r="M823" s="187"/>
      <c r="N823" s="187"/>
      <c r="O823" s="187"/>
      <c r="P823" s="187"/>
      <c r="Q823" s="188"/>
      <c r="R823" s="188"/>
      <c r="S823" s="266" t="s">
        <v>65</v>
      </c>
      <c r="T823" s="266" t="s">
        <v>58</v>
      </c>
      <c r="U823" s="266" t="s">
        <v>99</v>
      </c>
      <c r="V823" s="266" t="s">
        <v>1984</v>
      </c>
      <c r="W823" s="189"/>
      <c r="X823" s="189"/>
      <c r="Y823" s="189"/>
      <c r="Z823" s="189"/>
      <c r="AA823" s="270">
        <v>6289.0</v>
      </c>
      <c r="AB823" s="270">
        <v>25155.0</v>
      </c>
      <c r="AC823" s="24" t="s">
        <v>2548</v>
      </c>
      <c r="AD823" s="195">
        <v>6220.0</v>
      </c>
      <c r="AE823" s="38"/>
      <c r="AF823" s="266" t="str">
        <f t="shared" si="1"/>
        <v>Córdoba, Argentina</v>
      </c>
      <c r="AG823" s="266">
        <f t="shared" si="2"/>
        <v>1</v>
      </c>
      <c r="AH823" s="271">
        <f t="shared" si="3"/>
        <v>0</v>
      </c>
      <c r="AI823" s="271">
        <f t="shared" si="4"/>
        <v>0</v>
      </c>
      <c r="AJ823" s="270">
        <f t="shared" si="5"/>
        <v>31444</v>
      </c>
      <c r="AK823" s="270">
        <f t="shared" si="6"/>
        <v>31444</v>
      </c>
      <c r="AL823" s="192"/>
      <c r="AM823" s="192"/>
    </row>
    <row r="824">
      <c r="A824" s="266">
        <v>823.0</v>
      </c>
      <c r="B824" s="267">
        <v>44557.0</v>
      </c>
      <c r="C824" s="195" t="str">
        <f t="shared" si="7"/>
        <v>122021</v>
      </c>
      <c r="D824" s="268" t="s">
        <v>2549</v>
      </c>
      <c r="E824" s="266" t="s">
        <v>2550</v>
      </c>
      <c r="F824" s="268" t="s">
        <v>1592</v>
      </c>
      <c r="G824" s="266" t="s">
        <v>40</v>
      </c>
      <c r="H824" s="266" t="s">
        <v>41</v>
      </c>
      <c r="I824" s="266" t="s">
        <v>643</v>
      </c>
      <c r="J824" s="269">
        <v>1.0</v>
      </c>
      <c r="K824" s="269">
        <v>1.0</v>
      </c>
      <c r="L824" s="187"/>
      <c r="M824" s="187"/>
      <c r="N824" s="187"/>
      <c r="O824" s="187"/>
      <c r="P824" s="187"/>
      <c r="Q824" s="188"/>
      <c r="R824" s="188"/>
      <c r="S824" s="266" t="s">
        <v>65</v>
      </c>
      <c r="T824" s="266" t="s">
        <v>66</v>
      </c>
      <c r="U824" s="266" t="s">
        <v>342</v>
      </c>
      <c r="V824" s="266" t="s">
        <v>1984</v>
      </c>
      <c r="W824" s="189"/>
      <c r="X824" s="189"/>
      <c r="Y824" s="189"/>
      <c r="Z824" s="189"/>
      <c r="AA824" s="270">
        <v>14674.0</v>
      </c>
      <c r="AB824" s="270">
        <v>58696.0</v>
      </c>
      <c r="AC824" s="24" t="s">
        <v>2551</v>
      </c>
      <c r="AD824" s="195">
        <v>6628.0</v>
      </c>
      <c r="AE824" s="38"/>
      <c r="AF824" s="266" t="str">
        <f t="shared" si="1"/>
        <v>Buenos Aires, Argentina</v>
      </c>
      <c r="AG824" s="266">
        <f t="shared" si="2"/>
        <v>2</v>
      </c>
      <c r="AH824" s="271">
        <f t="shared" si="3"/>
        <v>0</v>
      </c>
      <c r="AI824" s="271">
        <f t="shared" si="4"/>
        <v>0</v>
      </c>
      <c r="AJ824" s="270">
        <f t="shared" si="5"/>
        <v>73370</v>
      </c>
      <c r="AK824" s="270">
        <f t="shared" si="6"/>
        <v>73370</v>
      </c>
      <c r="AL824" s="192"/>
      <c r="AM824" s="192"/>
    </row>
    <row r="825">
      <c r="A825" s="266">
        <v>824.0</v>
      </c>
      <c r="B825" s="267">
        <v>44559.0</v>
      </c>
      <c r="C825" s="195" t="str">
        <f t="shared" si="7"/>
        <v>122021</v>
      </c>
      <c r="D825" s="268" t="s">
        <v>2552</v>
      </c>
      <c r="E825" s="266" t="s">
        <v>2553</v>
      </c>
      <c r="F825" s="268" t="s">
        <v>1415</v>
      </c>
      <c r="G825" s="266" t="s">
        <v>64</v>
      </c>
      <c r="H825" s="266" t="s">
        <v>41</v>
      </c>
      <c r="I825" s="266" t="s">
        <v>643</v>
      </c>
      <c r="J825" s="187"/>
      <c r="K825" s="269">
        <v>1.0</v>
      </c>
      <c r="L825" s="187"/>
      <c r="M825" s="187"/>
      <c r="N825" s="187"/>
      <c r="O825" s="187"/>
      <c r="P825" s="187"/>
      <c r="Q825" s="188"/>
      <c r="R825" s="188"/>
      <c r="S825" s="266" t="s">
        <v>65</v>
      </c>
      <c r="T825" s="266" t="s">
        <v>66</v>
      </c>
      <c r="U825" s="266" t="s">
        <v>99</v>
      </c>
      <c r="V825" s="266" t="s">
        <v>1984</v>
      </c>
      <c r="W825" s="189"/>
      <c r="X825" s="189"/>
      <c r="Y825" s="189"/>
      <c r="Z825" s="189"/>
      <c r="AA825" s="270">
        <v>5660.0</v>
      </c>
      <c r="AB825" s="270">
        <v>22640.0</v>
      </c>
      <c r="AC825" s="24" t="s">
        <v>2554</v>
      </c>
      <c r="AD825" s="195">
        <v>6634.0</v>
      </c>
      <c r="AE825" s="38"/>
      <c r="AF825" s="266" t="str">
        <f t="shared" si="1"/>
        <v>Buenos Aires, Argentina</v>
      </c>
      <c r="AG825" s="266">
        <f t="shared" si="2"/>
        <v>1</v>
      </c>
      <c r="AH825" s="271">
        <f t="shared" si="3"/>
        <v>0</v>
      </c>
      <c r="AI825" s="271">
        <f t="shared" si="4"/>
        <v>0</v>
      </c>
      <c r="AJ825" s="270">
        <f t="shared" si="5"/>
        <v>28300</v>
      </c>
      <c r="AK825" s="270">
        <f t="shared" si="6"/>
        <v>28300</v>
      </c>
      <c r="AL825" s="192"/>
      <c r="AM825" s="192"/>
    </row>
    <row r="826">
      <c r="A826" s="266">
        <v>825.0</v>
      </c>
      <c r="B826" s="267">
        <v>44559.0</v>
      </c>
      <c r="C826" s="195" t="str">
        <f t="shared" si="7"/>
        <v>122021</v>
      </c>
      <c r="D826" s="268" t="s">
        <v>2555</v>
      </c>
      <c r="E826" s="266" t="s">
        <v>2556</v>
      </c>
      <c r="F826" s="268" t="s">
        <v>2557</v>
      </c>
      <c r="G826" s="266" t="s">
        <v>64</v>
      </c>
      <c r="H826" s="266" t="s">
        <v>41</v>
      </c>
      <c r="I826" s="266" t="s">
        <v>643</v>
      </c>
      <c r="J826" s="269">
        <v>1.0</v>
      </c>
      <c r="K826" s="187"/>
      <c r="L826" s="187"/>
      <c r="M826" s="187"/>
      <c r="N826" s="187"/>
      <c r="O826" s="187"/>
      <c r="P826" s="187"/>
      <c r="Q826" s="188"/>
      <c r="R826" s="188"/>
      <c r="S826" s="266" t="s">
        <v>51</v>
      </c>
      <c r="T826" s="266" t="s">
        <v>66</v>
      </c>
      <c r="U826" s="266" t="s">
        <v>99</v>
      </c>
      <c r="V826" s="266" t="s">
        <v>1984</v>
      </c>
      <c r="W826" s="189"/>
      <c r="X826" s="189"/>
      <c r="Y826" s="189"/>
      <c r="Z826" s="189"/>
      <c r="AA826" s="270">
        <v>8385.0</v>
      </c>
      <c r="AB826" s="270">
        <v>33539.0</v>
      </c>
      <c r="AC826" s="24" t="s">
        <v>2558</v>
      </c>
      <c r="AD826" s="195">
        <v>6638.0</v>
      </c>
      <c r="AE826" s="38"/>
      <c r="AF826" s="266" t="str">
        <f t="shared" si="1"/>
        <v>Buenos Aires, Argentina</v>
      </c>
      <c r="AG826" s="266">
        <f t="shared" si="2"/>
        <v>1</v>
      </c>
      <c r="AH826" s="271">
        <f t="shared" si="3"/>
        <v>0</v>
      </c>
      <c r="AI826" s="271">
        <f t="shared" si="4"/>
        <v>0</v>
      </c>
      <c r="AJ826" s="270">
        <f t="shared" si="5"/>
        <v>41924</v>
      </c>
      <c r="AK826" s="270">
        <f t="shared" si="6"/>
        <v>41924</v>
      </c>
      <c r="AL826" s="192"/>
      <c r="AM826" s="192"/>
    </row>
    <row r="827">
      <c r="A827" s="266">
        <v>826.0</v>
      </c>
      <c r="B827" s="267">
        <v>44559.0</v>
      </c>
      <c r="C827" s="195" t="str">
        <f t="shared" si="7"/>
        <v>122021</v>
      </c>
      <c r="D827" s="268" t="s">
        <v>2321</v>
      </c>
      <c r="E827" s="266" t="s">
        <v>2322</v>
      </c>
      <c r="F827" s="268" t="s">
        <v>2559</v>
      </c>
      <c r="G827" s="266" t="s">
        <v>64</v>
      </c>
      <c r="H827" s="266" t="s">
        <v>41</v>
      </c>
      <c r="I827" s="266" t="s">
        <v>643</v>
      </c>
      <c r="J827" s="187"/>
      <c r="K827" s="187"/>
      <c r="L827" s="187"/>
      <c r="M827" s="187"/>
      <c r="N827" s="187"/>
      <c r="O827" s="187"/>
      <c r="P827" s="187"/>
      <c r="Q827" s="188"/>
      <c r="R827" s="188"/>
      <c r="S827" s="266" t="s">
        <v>65</v>
      </c>
      <c r="T827" s="266" t="s">
        <v>984</v>
      </c>
      <c r="U827" s="266" t="s">
        <v>99</v>
      </c>
      <c r="V827" s="266" t="s">
        <v>1984</v>
      </c>
      <c r="W827" s="189"/>
      <c r="X827" s="189"/>
      <c r="Y827" s="189"/>
      <c r="Z827" s="189"/>
      <c r="AA827" s="270">
        <v>0.0</v>
      </c>
      <c r="AB827" s="270">
        <v>6707.0</v>
      </c>
      <c r="AC827" s="24" t="s">
        <v>2560</v>
      </c>
      <c r="AD827" s="195">
        <v>6642.0</v>
      </c>
      <c r="AE827" s="38"/>
      <c r="AF827" s="266" t="str">
        <f t="shared" si="1"/>
        <v>Santiago del Estero, Argentina</v>
      </c>
      <c r="AG827" s="266">
        <f t="shared" si="2"/>
        <v>0</v>
      </c>
      <c r="AH827" s="271">
        <f t="shared" si="3"/>
        <v>0</v>
      </c>
      <c r="AI827" s="271">
        <f t="shared" si="4"/>
        <v>0</v>
      </c>
      <c r="AJ827" s="270">
        <f t="shared" si="5"/>
        <v>6707</v>
      </c>
      <c r="AK827" s="270">
        <f t="shared" si="6"/>
        <v>6707</v>
      </c>
      <c r="AL827" s="192"/>
      <c r="AM827" s="192"/>
    </row>
    <row r="828">
      <c r="A828" s="266">
        <v>827.0</v>
      </c>
      <c r="B828" s="267">
        <v>44559.0</v>
      </c>
      <c r="C828" s="195" t="str">
        <f t="shared" si="7"/>
        <v>122021</v>
      </c>
      <c r="D828" s="268" t="s">
        <v>2561</v>
      </c>
      <c r="E828" s="266" t="s">
        <v>2562</v>
      </c>
      <c r="F828" s="268" t="s">
        <v>2141</v>
      </c>
      <c r="G828" s="266" t="s">
        <v>40</v>
      </c>
      <c r="H828" s="266" t="s">
        <v>41</v>
      </c>
      <c r="I828" s="266" t="s">
        <v>643</v>
      </c>
      <c r="J828" s="269">
        <v>1.0</v>
      </c>
      <c r="K828" s="269">
        <v>1.0</v>
      </c>
      <c r="L828" s="187"/>
      <c r="M828" s="269">
        <v>1.0</v>
      </c>
      <c r="N828" s="187"/>
      <c r="O828" s="187"/>
      <c r="P828" s="187"/>
      <c r="Q828" s="188"/>
      <c r="R828" s="188"/>
      <c r="S828" s="266" t="s">
        <v>276</v>
      </c>
      <c r="T828" s="266" t="s">
        <v>66</v>
      </c>
      <c r="U828" s="266" t="s">
        <v>342</v>
      </c>
      <c r="V828" s="266" t="s">
        <v>1984</v>
      </c>
      <c r="W828" s="189"/>
      <c r="X828" s="189"/>
      <c r="Y828" s="189"/>
      <c r="Z828" s="189"/>
      <c r="AA828" s="270">
        <v>14674.0</v>
      </c>
      <c r="AB828" s="270">
        <v>112360.0</v>
      </c>
      <c r="AC828" s="24" t="s">
        <v>2563</v>
      </c>
      <c r="AD828" s="195">
        <v>6646.0</v>
      </c>
      <c r="AE828" s="38"/>
      <c r="AF828" s="266" t="str">
        <f t="shared" si="1"/>
        <v>Buenos Aires, Argentina</v>
      </c>
      <c r="AG828" s="266">
        <f t="shared" si="2"/>
        <v>3</v>
      </c>
      <c r="AH828" s="271">
        <f t="shared" si="3"/>
        <v>0</v>
      </c>
      <c r="AI828" s="271">
        <f t="shared" si="4"/>
        <v>0</v>
      </c>
      <c r="AJ828" s="270">
        <f t="shared" si="5"/>
        <v>127034</v>
      </c>
      <c r="AK828" s="270">
        <f t="shared" si="6"/>
        <v>127034</v>
      </c>
      <c r="AL828" s="192"/>
      <c r="AM828" s="192"/>
    </row>
    <row r="829">
      <c r="A829" s="266">
        <v>828.0</v>
      </c>
      <c r="B829" s="267">
        <v>44560.0</v>
      </c>
      <c r="C829" s="195" t="str">
        <f t="shared" si="7"/>
        <v>122021</v>
      </c>
      <c r="D829" s="268" t="s">
        <v>2564</v>
      </c>
      <c r="E829" s="266" t="s">
        <v>1980</v>
      </c>
      <c r="F829" s="268" t="s">
        <v>1357</v>
      </c>
      <c r="G829" s="266" t="s">
        <v>64</v>
      </c>
      <c r="H829" s="266" t="s">
        <v>41</v>
      </c>
      <c r="I829" s="266" t="s">
        <v>643</v>
      </c>
      <c r="J829" s="187"/>
      <c r="K829" s="187"/>
      <c r="L829" s="187"/>
      <c r="M829" s="187"/>
      <c r="N829" s="187"/>
      <c r="O829" s="187"/>
      <c r="P829" s="269">
        <v>1.0</v>
      </c>
      <c r="Q829" s="188"/>
      <c r="R829" s="188"/>
      <c r="S829" s="266" t="s">
        <v>65</v>
      </c>
      <c r="T829" s="266" t="s">
        <v>66</v>
      </c>
      <c r="U829" s="266" t="s">
        <v>99</v>
      </c>
      <c r="V829" s="266" t="s">
        <v>1984</v>
      </c>
      <c r="W829" s="189"/>
      <c r="X829" s="189"/>
      <c r="Y829" s="189"/>
      <c r="Z829" s="189"/>
      <c r="AA829" s="270">
        <v>4528.0</v>
      </c>
      <c r="AB829" s="270">
        <v>18112.0</v>
      </c>
      <c r="AC829" s="24" t="s">
        <v>2565</v>
      </c>
      <c r="AD829" s="195">
        <v>6658.0</v>
      </c>
      <c r="AE829" s="38"/>
      <c r="AF829" s="266" t="str">
        <f t="shared" si="1"/>
        <v>Buenos Aires, Argentina</v>
      </c>
      <c r="AG829" s="266">
        <f t="shared" si="2"/>
        <v>1</v>
      </c>
      <c r="AH829" s="271">
        <f t="shared" si="3"/>
        <v>0</v>
      </c>
      <c r="AI829" s="271">
        <f t="shared" si="4"/>
        <v>0</v>
      </c>
      <c r="AJ829" s="270">
        <f t="shared" si="5"/>
        <v>22640</v>
      </c>
      <c r="AK829" s="270">
        <f t="shared" si="6"/>
        <v>22640</v>
      </c>
      <c r="AL829" s="192"/>
      <c r="AM829" s="192"/>
    </row>
    <row r="830">
      <c r="A830" s="266">
        <v>829.0</v>
      </c>
      <c r="B830" s="267">
        <v>44560.0</v>
      </c>
      <c r="C830" s="195" t="str">
        <f t="shared" si="7"/>
        <v>122021</v>
      </c>
      <c r="D830" s="268" t="s">
        <v>2564</v>
      </c>
      <c r="E830" s="266" t="s">
        <v>1980</v>
      </c>
      <c r="F830" s="268" t="s">
        <v>2566</v>
      </c>
      <c r="G830" s="266" t="s">
        <v>64</v>
      </c>
      <c r="H830" s="266" t="s">
        <v>41</v>
      </c>
      <c r="I830" s="266" t="s">
        <v>643</v>
      </c>
      <c r="J830" s="187"/>
      <c r="K830" s="187"/>
      <c r="L830" s="187"/>
      <c r="M830" s="187"/>
      <c r="N830" s="187"/>
      <c r="O830" s="187"/>
      <c r="P830" s="187"/>
      <c r="Q830" s="188"/>
      <c r="R830" s="188"/>
      <c r="S830" s="266" t="s">
        <v>65</v>
      </c>
      <c r="T830" s="266" t="s">
        <v>66</v>
      </c>
      <c r="U830" s="266" t="s">
        <v>99</v>
      </c>
      <c r="V830" s="266" t="s">
        <v>1984</v>
      </c>
      <c r="W830" s="270">
        <v>72000.0</v>
      </c>
      <c r="X830" s="270">
        <v>288000.0</v>
      </c>
      <c r="Y830" s="189"/>
      <c r="Z830" s="189"/>
      <c r="AA830" s="270">
        <v>0.0</v>
      </c>
      <c r="AB830" s="270">
        <v>0.0</v>
      </c>
      <c r="AC830" s="24" t="s">
        <v>2567</v>
      </c>
      <c r="AD830" s="195">
        <v>6660.0</v>
      </c>
      <c r="AE830" s="38"/>
      <c r="AF830" s="266" t="str">
        <f t="shared" si="1"/>
        <v>Buenos Aires, Argentina</v>
      </c>
      <c r="AG830" s="266">
        <f t="shared" si="2"/>
        <v>0</v>
      </c>
      <c r="AH830" s="271">
        <f t="shared" si="3"/>
        <v>360000</v>
      </c>
      <c r="AI830" s="271">
        <f t="shared" si="4"/>
        <v>0</v>
      </c>
      <c r="AJ830" s="270">
        <f t="shared" si="5"/>
        <v>0</v>
      </c>
      <c r="AK830" s="270">
        <f t="shared" si="6"/>
        <v>360000</v>
      </c>
      <c r="AL830" s="192"/>
      <c r="AM830" s="192"/>
    </row>
    <row r="831">
      <c r="A831" s="266">
        <v>830.0</v>
      </c>
      <c r="B831" s="267">
        <v>44560.0</v>
      </c>
      <c r="C831" s="195" t="str">
        <f t="shared" si="7"/>
        <v>122021</v>
      </c>
      <c r="D831" s="268" t="s">
        <v>2568</v>
      </c>
      <c r="E831" s="266" t="s">
        <v>2569</v>
      </c>
      <c r="F831" s="268" t="s">
        <v>2056</v>
      </c>
      <c r="G831" s="266" t="s">
        <v>40</v>
      </c>
      <c r="H831" s="266" t="s">
        <v>41</v>
      </c>
      <c r="I831" s="266" t="s">
        <v>643</v>
      </c>
      <c r="J831" s="269">
        <v>1.0</v>
      </c>
      <c r="K831" s="187"/>
      <c r="L831" s="187"/>
      <c r="M831" s="269">
        <v>1.0</v>
      </c>
      <c r="N831" s="187"/>
      <c r="O831" s="187"/>
      <c r="P831" s="187"/>
      <c r="Q831" s="188"/>
      <c r="R831" s="188"/>
      <c r="S831" s="266" t="s">
        <v>65</v>
      </c>
      <c r="T831" s="266" t="s">
        <v>66</v>
      </c>
      <c r="U831" s="266" t="s">
        <v>342</v>
      </c>
      <c r="V831" s="266" t="s">
        <v>1984</v>
      </c>
      <c r="W831" s="189"/>
      <c r="X831" s="189"/>
      <c r="Y831" s="189"/>
      <c r="Z831" s="189"/>
      <c r="AA831" s="270">
        <v>16770.0</v>
      </c>
      <c r="AB831" s="270">
        <v>58694.0</v>
      </c>
      <c r="AC831" s="24" t="s">
        <v>2570</v>
      </c>
      <c r="AD831" s="195">
        <v>6668.0</v>
      </c>
      <c r="AE831" s="38"/>
      <c r="AF831" s="266" t="str">
        <f t="shared" si="1"/>
        <v>Buenos Aires, Argentina</v>
      </c>
      <c r="AG831" s="266">
        <f t="shared" si="2"/>
        <v>2</v>
      </c>
      <c r="AH831" s="271">
        <f t="shared" si="3"/>
        <v>0</v>
      </c>
      <c r="AI831" s="271">
        <f t="shared" si="4"/>
        <v>0</v>
      </c>
      <c r="AJ831" s="270">
        <f t="shared" si="5"/>
        <v>75464</v>
      </c>
      <c r="AK831" s="270">
        <f t="shared" si="6"/>
        <v>75464</v>
      </c>
      <c r="AL831" s="192"/>
      <c r="AM831" s="192"/>
    </row>
    <row r="832">
      <c r="A832" s="266">
        <v>831.0</v>
      </c>
      <c r="B832" s="267">
        <v>44560.0</v>
      </c>
      <c r="C832" s="195" t="str">
        <f t="shared" si="7"/>
        <v>122021</v>
      </c>
      <c r="D832" s="268" t="s">
        <v>2571</v>
      </c>
      <c r="E832" s="266" t="s">
        <v>2572</v>
      </c>
      <c r="F832" s="268" t="s">
        <v>2248</v>
      </c>
      <c r="G832" s="266" t="s">
        <v>64</v>
      </c>
      <c r="H832" s="266" t="s">
        <v>41</v>
      </c>
      <c r="I832" s="266" t="s">
        <v>643</v>
      </c>
      <c r="J832" s="187"/>
      <c r="K832" s="187"/>
      <c r="L832" s="187"/>
      <c r="M832" s="187"/>
      <c r="N832" s="187"/>
      <c r="O832" s="187"/>
      <c r="P832" s="187"/>
      <c r="Q832" s="188"/>
      <c r="R832" s="188"/>
      <c r="S832" s="266" t="s">
        <v>189</v>
      </c>
      <c r="T832" s="266" t="s">
        <v>66</v>
      </c>
      <c r="U832" s="266" t="s">
        <v>99</v>
      </c>
      <c r="V832" s="266" t="s">
        <v>1984</v>
      </c>
      <c r="W832" s="189"/>
      <c r="X832" s="189"/>
      <c r="Y832" s="189"/>
      <c r="Z832" s="189"/>
      <c r="AA832" s="270">
        <v>0.0</v>
      </c>
      <c r="AB832" s="270">
        <v>33540.0</v>
      </c>
      <c r="AC832" s="24" t="s">
        <v>2573</v>
      </c>
      <c r="AD832" s="195">
        <v>6680.0</v>
      </c>
      <c r="AE832" s="38"/>
      <c r="AF832" s="266" t="str">
        <f t="shared" si="1"/>
        <v>Buenos Aires, Argentina</v>
      </c>
      <c r="AG832" s="266">
        <f t="shared" si="2"/>
        <v>0</v>
      </c>
      <c r="AH832" s="271">
        <f t="shared" si="3"/>
        <v>0</v>
      </c>
      <c r="AI832" s="271">
        <f t="shared" si="4"/>
        <v>0</v>
      </c>
      <c r="AJ832" s="270">
        <f t="shared" si="5"/>
        <v>33540</v>
      </c>
      <c r="AK832" s="270">
        <f t="shared" si="6"/>
        <v>33540</v>
      </c>
      <c r="AL832" s="192"/>
      <c r="AM832" s="192"/>
    </row>
    <row r="833">
      <c r="A833" s="266">
        <v>832.0</v>
      </c>
      <c r="B833" s="267">
        <v>44561.0</v>
      </c>
      <c r="C833" s="195" t="str">
        <f t="shared" si="7"/>
        <v>122021</v>
      </c>
      <c r="D833" s="268" t="s">
        <v>2150</v>
      </c>
      <c r="E833" s="266" t="s">
        <v>2151</v>
      </c>
      <c r="F833" s="268" t="s">
        <v>1592</v>
      </c>
      <c r="G833" s="266" t="s">
        <v>64</v>
      </c>
      <c r="H833" s="266" t="s">
        <v>41</v>
      </c>
      <c r="I833" s="266" t="s">
        <v>643</v>
      </c>
      <c r="J833" s="269">
        <v>1.0</v>
      </c>
      <c r="K833" s="269">
        <v>1.0</v>
      </c>
      <c r="L833" s="187"/>
      <c r="M833" s="187"/>
      <c r="N833" s="187"/>
      <c r="O833" s="187"/>
      <c r="P833" s="187"/>
      <c r="Q833" s="188"/>
      <c r="R833" s="188"/>
      <c r="S833" s="266" t="s">
        <v>65</v>
      </c>
      <c r="T833" s="266" t="s">
        <v>66</v>
      </c>
      <c r="U833" s="266" t="s">
        <v>99</v>
      </c>
      <c r="V833" s="266" t="s">
        <v>1984</v>
      </c>
      <c r="W833" s="189"/>
      <c r="X833" s="189"/>
      <c r="Y833" s="189"/>
      <c r="Z833" s="189"/>
      <c r="AA833" s="270">
        <v>14674.0</v>
      </c>
      <c r="AB833" s="270">
        <v>66033.0</v>
      </c>
      <c r="AC833" s="24" t="s">
        <v>2574</v>
      </c>
      <c r="AD833" s="195">
        <v>6684.0</v>
      </c>
      <c r="AE833" s="38"/>
      <c r="AF833" s="266" t="str">
        <f t="shared" si="1"/>
        <v>Buenos Aires, Argentina</v>
      </c>
      <c r="AG833" s="266">
        <f t="shared" si="2"/>
        <v>2</v>
      </c>
      <c r="AH833" s="271">
        <f t="shared" si="3"/>
        <v>0</v>
      </c>
      <c r="AI833" s="271">
        <f t="shared" si="4"/>
        <v>0</v>
      </c>
      <c r="AJ833" s="270">
        <f t="shared" si="5"/>
        <v>80707</v>
      </c>
      <c r="AK833" s="270">
        <f t="shared" si="6"/>
        <v>80707</v>
      </c>
      <c r="AL833" s="192"/>
      <c r="AM833" s="192"/>
    </row>
    <row r="834">
      <c r="A834" s="266">
        <v>833.0</v>
      </c>
      <c r="B834" s="267">
        <v>44561.0</v>
      </c>
      <c r="C834" s="195" t="str">
        <f t="shared" si="7"/>
        <v>122021</v>
      </c>
      <c r="D834" s="268" t="s">
        <v>2278</v>
      </c>
      <c r="E834" s="266" t="s">
        <v>2028</v>
      </c>
      <c r="F834" s="268" t="s">
        <v>1412</v>
      </c>
      <c r="G834" s="266" t="s">
        <v>64</v>
      </c>
      <c r="H834" s="266" t="s">
        <v>41</v>
      </c>
      <c r="I834" s="266" t="s">
        <v>643</v>
      </c>
      <c r="J834" s="269">
        <v>2.0</v>
      </c>
      <c r="K834" s="187"/>
      <c r="L834" s="187"/>
      <c r="M834" s="187"/>
      <c r="N834" s="187"/>
      <c r="O834" s="187"/>
      <c r="P834" s="187"/>
      <c r="Q834" s="188"/>
      <c r="R834" s="188"/>
      <c r="S834" s="266" t="s">
        <v>137</v>
      </c>
      <c r="T834" s="266" t="s">
        <v>73</v>
      </c>
      <c r="U834" s="266" t="s">
        <v>99</v>
      </c>
      <c r="V834" s="266" t="s">
        <v>1984</v>
      </c>
      <c r="W834" s="189"/>
      <c r="X834" s="189"/>
      <c r="Y834" s="189"/>
      <c r="Z834" s="189"/>
      <c r="AA834" s="270">
        <v>16770.0</v>
      </c>
      <c r="AB834" s="270">
        <v>67080.0</v>
      </c>
      <c r="AC834" s="24" t="s">
        <v>2575</v>
      </c>
      <c r="AD834" s="195">
        <v>6692.0</v>
      </c>
      <c r="AE834" s="38"/>
      <c r="AF834" s="266" t="str">
        <f t="shared" si="1"/>
        <v>Tierra de Fuego, Argentina</v>
      </c>
      <c r="AG834" s="266">
        <f t="shared" si="2"/>
        <v>2</v>
      </c>
      <c r="AH834" s="271">
        <f t="shared" si="3"/>
        <v>0</v>
      </c>
      <c r="AI834" s="271">
        <f t="shared" si="4"/>
        <v>0</v>
      </c>
      <c r="AJ834" s="270">
        <f t="shared" si="5"/>
        <v>83850</v>
      </c>
      <c r="AK834" s="270">
        <f t="shared" si="6"/>
        <v>83850</v>
      </c>
      <c r="AL834" s="192"/>
      <c r="AM834" s="192"/>
    </row>
    <row r="835">
      <c r="A835" s="272">
        <v>834.0</v>
      </c>
      <c r="B835" s="273">
        <v>44566.0</v>
      </c>
      <c r="C835" s="195" t="str">
        <f t="shared" si="7"/>
        <v>12022</v>
      </c>
      <c r="D835" s="274" t="s">
        <v>2576</v>
      </c>
      <c r="E835" s="272" t="s">
        <v>2577</v>
      </c>
      <c r="F835" s="274" t="s">
        <v>1357</v>
      </c>
      <c r="G835" s="272" t="s">
        <v>64</v>
      </c>
      <c r="H835" s="272" t="s">
        <v>41</v>
      </c>
      <c r="I835" s="272" t="s">
        <v>643</v>
      </c>
      <c r="J835" s="228"/>
      <c r="K835" s="228"/>
      <c r="L835" s="228"/>
      <c r="M835" s="228"/>
      <c r="N835" s="228"/>
      <c r="O835" s="228"/>
      <c r="P835" s="275">
        <v>1.0</v>
      </c>
      <c r="Q835" s="229"/>
      <c r="R835" s="229"/>
      <c r="S835" s="272" t="s">
        <v>98</v>
      </c>
      <c r="T835" s="272" t="s">
        <v>66</v>
      </c>
      <c r="U835" s="272" t="s">
        <v>99</v>
      </c>
      <c r="V835" s="272" t="s">
        <v>1984</v>
      </c>
      <c r="W835" s="230"/>
      <c r="X835" s="230"/>
      <c r="Y835" s="230"/>
      <c r="Z835" s="230"/>
      <c r="AA835" s="276">
        <v>6525.0</v>
      </c>
      <c r="AB835" s="276">
        <v>26099.0</v>
      </c>
      <c r="AC835" s="24" t="s">
        <v>2578</v>
      </c>
      <c r="AD835" s="17">
        <v>6698.0</v>
      </c>
      <c r="AE835" s="38"/>
      <c r="AF835" s="272" t="str">
        <f t="shared" si="1"/>
        <v>Buenos Aires, Argentina</v>
      </c>
      <c r="AG835" s="272">
        <f t="shared" si="2"/>
        <v>1</v>
      </c>
      <c r="AH835" s="277">
        <f t="shared" si="3"/>
        <v>0</v>
      </c>
      <c r="AI835" s="277">
        <f t="shared" si="4"/>
        <v>0</v>
      </c>
      <c r="AJ835" s="276">
        <f t="shared" si="5"/>
        <v>32624</v>
      </c>
      <c r="AK835" s="276">
        <f t="shared" si="6"/>
        <v>32624</v>
      </c>
      <c r="AL835" s="233"/>
      <c r="AM835" s="233"/>
    </row>
    <row r="836">
      <c r="A836" s="272">
        <v>835.0</v>
      </c>
      <c r="B836" s="273">
        <v>44566.0</v>
      </c>
      <c r="C836" s="195" t="str">
        <f t="shared" si="7"/>
        <v>12022</v>
      </c>
      <c r="D836" s="274" t="s">
        <v>2576</v>
      </c>
      <c r="E836" s="272" t="s">
        <v>2577</v>
      </c>
      <c r="F836" s="274" t="s">
        <v>2540</v>
      </c>
      <c r="G836" s="272" t="s">
        <v>64</v>
      </c>
      <c r="H836" s="272" t="s">
        <v>41</v>
      </c>
      <c r="I836" s="272" t="s">
        <v>643</v>
      </c>
      <c r="J836" s="228"/>
      <c r="K836" s="228"/>
      <c r="L836" s="228"/>
      <c r="M836" s="228"/>
      <c r="N836" s="228"/>
      <c r="O836" s="228"/>
      <c r="P836" s="228"/>
      <c r="Q836" s="229"/>
      <c r="R836" s="229"/>
      <c r="S836" s="272" t="s">
        <v>98</v>
      </c>
      <c r="T836" s="272" t="s">
        <v>66</v>
      </c>
      <c r="U836" s="272" t="s">
        <v>99</v>
      </c>
      <c r="V836" s="272" t="s">
        <v>1984</v>
      </c>
      <c r="W836" s="276">
        <v>11050.0</v>
      </c>
      <c r="X836" s="276">
        <v>44200.0</v>
      </c>
      <c r="Y836" s="230"/>
      <c r="Z836" s="230"/>
      <c r="AA836" s="276">
        <v>0.0</v>
      </c>
      <c r="AB836" s="276">
        <v>0.0</v>
      </c>
      <c r="AC836" s="24" t="s">
        <v>2579</v>
      </c>
      <c r="AD836" s="17">
        <v>6700.0</v>
      </c>
      <c r="AE836" s="38"/>
      <c r="AF836" s="272" t="str">
        <f t="shared" si="1"/>
        <v>Buenos Aires, Argentina</v>
      </c>
      <c r="AG836" s="272">
        <f t="shared" si="2"/>
        <v>0</v>
      </c>
      <c r="AH836" s="277">
        <f t="shared" si="3"/>
        <v>55250</v>
      </c>
      <c r="AI836" s="277">
        <f t="shared" si="4"/>
        <v>0</v>
      </c>
      <c r="AJ836" s="276">
        <f t="shared" si="5"/>
        <v>0</v>
      </c>
      <c r="AK836" s="276">
        <f t="shared" si="6"/>
        <v>55250</v>
      </c>
      <c r="AL836" s="233"/>
      <c r="AM836" s="233"/>
    </row>
    <row r="837">
      <c r="A837" s="272">
        <v>836.0</v>
      </c>
      <c r="B837" s="273">
        <v>44572.0</v>
      </c>
      <c r="C837" s="195" t="str">
        <f t="shared" si="7"/>
        <v>12022</v>
      </c>
      <c r="D837" s="274" t="s">
        <v>1394</v>
      </c>
      <c r="E837" s="272" t="s">
        <v>2580</v>
      </c>
      <c r="F837" s="274" t="s">
        <v>1423</v>
      </c>
      <c r="G837" s="272" t="s">
        <v>64</v>
      </c>
      <c r="H837" s="272" t="s">
        <v>547</v>
      </c>
      <c r="I837" s="272" t="s">
        <v>643</v>
      </c>
      <c r="J837" s="275">
        <v>1.0</v>
      </c>
      <c r="K837" s="228"/>
      <c r="L837" s="228"/>
      <c r="M837" s="228"/>
      <c r="N837" s="228"/>
      <c r="O837" s="228"/>
      <c r="P837" s="228"/>
      <c r="Q837" s="229"/>
      <c r="R837" s="229"/>
      <c r="S837" s="272" t="s">
        <v>105</v>
      </c>
      <c r="T837" s="272" t="s">
        <v>83</v>
      </c>
      <c r="U837" s="272" t="s">
        <v>99</v>
      </c>
      <c r="V837" s="272" t="s">
        <v>1984</v>
      </c>
      <c r="W837" s="230"/>
      <c r="X837" s="230"/>
      <c r="Y837" s="230"/>
      <c r="Z837" s="230"/>
      <c r="AA837" s="276">
        <v>5220.0</v>
      </c>
      <c r="AB837" s="276">
        <v>16443.0</v>
      </c>
      <c r="AC837" s="24" t="s">
        <v>2581</v>
      </c>
      <c r="AD837" s="17">
        <v>6710.0</v>
      </c>
      <c r="AE837" s="38"/>
      <c r="AF837" s="272" t="str">
        <f t="shared" si="1"/>
        <v>Capital Federal, Argentina</v>
      </c>
      <c r="AG837" s="272">
        <f t="shared" si="2"/>
        <v>1</v>
      </c>
      <c r="AH837" s="277">
        <f t="shared" si="3"/>
        <v>0</v>
      </c>
      <c r="AI837" s="277">
        <f t="shared" si="4"/>
        <v>0</v>
      </c>
      <c r="AJ837" s="276">
        <f t="shared" si="5"/>
        <v>21663</v>
      </c>
      <c r="AK837" s="276">
        <f t="shared" si="6"/>
        <v>21663</v>
      </c>
      <c r="AL837" s="233"/>
      <c r="AM837" s="233"/>
    </row>
    <row r="838">
      <c r="A838" s="272">
        <v>837.0</v>
      </c>
      <c r="B838" s="273">
        <v>44573.0</v>
      </c>
      <c r="C838" s="195" t="str">
        <f t="shared" si="7"/>
        <v>12022</v>
      </c>
      <c r="D838" s="274" t="s">
        <v>1961</v>
      </c>
      <c r="E838" s="272" t="s">
        <v>1962</v>
      </c>
      <c r="F838" s="274" t="s">
        <v>1423</v>
      </c>
      <c r="G838" s="272" t="s">
        <v>64</v>
      </c>
      <c r="H838" s="272" t="s">
        <v>227</v>
      </c>
      <c r="I838" s="272" t="s">
        <v>643</v>
      </c>
      <c r="J838" s="275">
        <v>1.0</v>
      </c>
      <c r="K838" s="228"/>
      <c r="L838" s="228"/>
      <c r="M838" s="228"/>
      <c r="N838" s="228"/>
      <c r="O838" s="228"/>
      <c r="P838" s="228"/>
      <c r="Q838" s="229"/>
      <c r="R838" s="229"/>
      <c r="S838" s="272" t="s">
        <v>89</v>
      </c>
      <c r="T838" s="272" t="s">
        <v>83</v>
      </c>
      <c r="U838" s="272" t="s">
        <v>99</v>
      </c>
      <c r="V838" s="272" t="s">
        <v>84</v>
      </c>
      <c r="W838" s="230"/>
      <c r="X838" s="230"/>
      <c r="Y838" s="230"/>
      <c r="Z838" s="230"/>
      <c r="AA838" s="276">
        <v>13050.0</v>
      </c>
      <c r="AB838" s="276">
        <v>88087.0</v>
      </c>
      <c r="AC838" s="24" t="s">
        <v>2582</v>
      </c>
      <c r="AD838" s="17">
        <v>6716.0</v>
      </c>
      <c r="AE838" s="38"/>
      <c r="AF838" s="272" t="str">
        <f t="shared" si="1"/>
        <v>Capital Federal, Argentina</v>
      </c>
      <c r="AG838" s="272">
        <f t="shared" si="2"/>
        <v>1</v>
      </c>
      <c r="AH838" s="277">
        <f t="shared" si="3"/>
        <v>0</v>
      </c>
      <c r="AI838" s="277">
        <f t="shared" si="4"/>
        <v>0</v>
      </c>
      <c r="AJ838" s="276">
        <f t="shared" si="5"/>
        <v>101137</v>
      </c>
      <c r="AK838" s="276">
        <f t="shared" si="6"/>
        <v>101137</v>
      </c>
      <c r="AL838" s="233"/>
      <c r="AM838" s="233"/>
    </row>
    <row r="839">
      <c r="A839" s="224">
        <v>838.0</v>
      </c>
      <c r="B839" s="225">
        <v>44574.0</v>
      </c>
      <c r="C839" s="195" t="str">
        <f t="shared" si="7"/>
        <v>12022</v>
      </c>
      <c r="D839" s="226" t="s">
        <v>2583</v>
      </c>
      <c r="E839" s="224" t="s">
        <v>2584</v>
      </c>
      <c r="F839" s="226" t="s">
        <v>2585</v>
      </c>
      <c r="G839" s="224" t="s">
        <v>64</v>
      </c>
      <c r="H839" s="224" t="s">
        <v>41</v>
      </c>
      <c r="I839" s="224" t="s">
        <v>643</v>
      </c>
      <c r="J839" s="228"/>
      <c r="K839" s="228"/>
      <c r="L839" s="228"/>
      <c r="M839" s="228"/>
      <c r="N839" s="228"/>
      <c r="O839" s="228"/>
      <c r="P839" s="228"/>
      <c r="Q839" s="229"/>
      <c r="R839" s="229"/>
      <c r="S839" s="224" t="s">
        <v>276</v>
      </c>
      <c r="T839" s="224" t="s">
        <v>83</v>
      </c>
      <c r="U839" s="224" t="s">
        <v>99</v>
      </c>
      <c r="V839" s="224" t="s">
        <v>1984</v>
      </c>
      <c r="W839" s="231">
        <v>17550.0</v>
      </c>
      <c r="X839" s="231">
        <v>0.0</v>
      </c>
      <c r="Y839" s="230"/>
      <c r="Z839" s="230"/>
      <c r="AA839" s="231">
        <v>0.0</v>
      </c>
      <c r="AB839" s="231">
        <v>0.0</v>
      </c>
      <c r="AC839" s="24" t="s">
        <v>2586</v>
      </c>
      <c r="AD839" s="195">
        <v>6722.0</v>
      </c>
      <c r="AE839" s="38"/>
      <c r="AF839" s="224" t="str">
        <f t="shared" si="1"/>
        <v>Capital Federal, Argentina</v>
      </c>
      <c r="AG839" s="224">
        <f t="shared" si="2"/>
        <v>0</v>
      </c>
      <c r="AH839" s="232">
        <f t="shared" si="3"/>
        <v>17550</v>
      </c>
      <c r="AI839" s="232">
        <f t="shared" si="4"/>
        <v>0</v>
      </c>
      <c r="AJ839" s="231">
        <f t="shared" si="5"/>
        <v>0</v>
      </c>
      <c r="AK839" s="231">
        <f t="shared" si="6"/>
        <v>17550</v>
      </c>
      <c r="AL839" s="233"/>
      <c r="AM839" s="233"/>
    </row>
    <row r="840">
      <c r="A840" s="224">
        <v>839.0</v>
      </c>
      <c r="B840" s="225">
        <v>44575.0</v>
      </c>
      <c r="C840" s="195" t="str">
        <f t="shared" si="7"/>
        <v>12022</v>
      </c>
      <c r="D840" s="226" t="s">
        <v>2587</v>
      </c>
      <c r="E840" s="224" t="s">
        <v>2588</v>
      </c>
      <c r="F840" s="226" t="s">
        <v>1423</v>
      </c>
      <c r="G840" s="224" t="s">
        <v>40</v>
      </c>
      <c r="H840" s="224" t="s">
        <v>41</v>
      </c>
      <c r="I840" s="224" t="s">
        <v>643</v>
      </c>
      <c r="J840" s="227">
        <v>1.0</v>
      </c>
      <c r="K840" s="228"/>
      <c r="L840" s="228"/>
      <c r="M840" s="228"/>
      <c r="N840" s="228"/>
      <c r="O840" s="228"/>
      <c r="P840" s="228"/>
      <c r="Q840" s="229"/>
      <c r="R840" s="229"/>
      <c r="S840" s="224" t="s">
        <v>65</v>
      </c>
      <c r="T840" s="224" t="s">
        <v>83</v>
      </c>
      <c r="U840" s="224" t="s">
        <v>45</v>
      </c>
      <c r="V840" s="224" t="s">
        <v>84</v>
      </c>
      <c r="W840" s="230"/>
      <c r="X840" s="230"/>
      <c r="Y840" s="230"/>
      <c r="Z840" s="230"/>
      <c r="AA840" s="231">
        <v>7800.0</v>
      </c>
      <c r="AB840" s="231">
        <v>34800.0</v>
      </c>
      <c r="AC840" s="24" t="s">
        <v>2589</v>
      </c>
      <c r="AD840" s="195">
        <v>6728.0</v>
      </c>
      <c r="AE840" s="38"/>
      <c r="AF840" s="224" t="str">
        <f t="shared" si="1"/>
        <v>Capital Federal, Argentina</v>
      </c>
      <c r="AG840" s="224">
        <f t="shared" si="2"/>
        <v>1</v>
      </c>
      <c r="AH840" s="232">
        <f t="shared" si="3"/>
        <v>0</v>
      </c>
      <c r="AI840" s="232">
        <f t="shared" si="4"/>
        <v>0</v>
      </c>
      <c r="AJ840" s="231">
        <f t="shared" si="5"/>
        <v>42600</v>
      </c>
      <c r="AK840" s="231">
        <f t="shared" si="6"/>
        <v>42600</v>
      </c>
      <c r="AL840" s="233"/>
      <c r="AM840" s="233"/>
    </row>
    <row r="841">
      <c r="A841" s="224">
        <v>840.0</v>
      </c>
      <c r="B841" s="225">
        <v>44575.0</v>
      </c>
      <c r="C841" s="195" t="str">
        <f t="shared" si="7"/>
        <v>12022</v>
      </c>
      <c r="D841" s="226" t="s">
        <v>2590</v>
      </c>
      <c r="E841" s="224" t="s">
        <v>2591</v>
      </c>
      <c r="F841" s="226" t="s">
        <v>1415</v>
      </c>
      <c r="G841" s="224" t="s">
        <v>64</v>
      </c>
      <c r="H841" s="224" t="s">
        <v>41</v>
      </c>
      <c r="I841" s="224" t="s">
        <v>643</v>
      </c>
      <c r="J841" s="228"/>
      <c r="K841" s="227">
        <v>1.0</v>
      </c>
      <c r="L841" s="228"/>
      <c r="M841" s="228"/>
      <c r="N841" s="228"/>
      <c r="O841" s="228"/>
      <c r="P841" s="228"/>
      <c r="Q841" s="229"/>
      <c r="R841" s="229"/>
      <c r="S841" s="224" t="s">
        <v>137</v>
      </c>
      <c r="T841" s="224" t="s">
        <v>66</v>
      </c>
      <c r="U841" s="224" t="s">
        <v>99</v>
      </c>
      <c r="V841" s="224" t="s">
        <v>1984</v>
      </c>
      <c r="W841" s="230"/>
      <c r="X841" s="230"/>
      <c r="Y841" s="230"/>
      <c r="Z841" s="230"/>
      <c r="AA841" s="231">
        <v>6525.0</v>
      </c>
      <c r="AB841" s="231">
        <v>26099.0</v>
      </c>
      <c r="AC841" s="24" t="s">
        <v>2592</v>
      </c>
      <c r="AD841" s="195">
        <v>6732.0</v>
      </c>
      <c r="AE841" s="38"/>
      <c r="AF841" s="224" t="str">
        <f t="shared" si="1"/>
        <v>Buenos Aires, Argentina</v>
      </c>
      <c r="AG841" s="224">
        <f t="shared" si="2"/>
        <v>1</v>
      </c>
      <c r="AH841" s="232">
        <f t="shared" si="3"/>
        <v>0</v>
      </c>
      <c r="AI841" s="232">
        <f t="shared" si="4"/>
        <v>0</v>
      </c>
      <c r="AJ841" s="231">
        <f t="shared" si="5"/>
        <v>32624</v>
      </c>
      <c r="AK841" s="231">
        <f t="shared" si="6"/>
        <v>32624</v>
      </c>
      <c r="AL841" s="233"/>
      <c r="AM841" s="233"/>
    </row>
    <row r="842">
      <c r="A842" s="224">
        <v>841.0</v>
      </c>
      <c r="B842" s="225">
        <v>44581.0</v>
      </c>
      <c r="C842" s="195" t="str">
        <f t="shared" si="7"/>
        <v>12022</v>
      </c>
      <c r="D842" s="226" t="s">
        <v>2576</v>
      </c>
      <c r="E842" s="224" t="s">
        <v>2577</v>
      </c>
      <c r="F842" s="226" t="s">
        <v>1423</v>
      </c>
      <c r="G842" s="224" t="s">
        <v>64</v>
      </c>
      <c r="H842" s="224" t="s">
        <v>41</v>
      </c>
      <c r="I842" s="224" t="s">
        <v>643</v>
      </c>
      <c r="J842" s="227">
        <v>1.0</v>
      </c>
      <c r="K842" s="228"/>
      <c r="L842" s="228"/>
      <c r="M842" s="228"/>
      <c r="N842" s="228"/>
      <c r="O842" s="228"/>
      <c r="P842" s="228"/>
      <c r="Q842" s="229"/>
      <c r="R842" s="229"/>
      <c r="S842" s="224" t="s">
        <v>98</v>
      </c>
      <c r="T842" s="224" t="s">
        <v>66</v>
      </c>
      <c r="U842" s="224" t="s">
        <v>99</v>
      </c>
      <c r="V842" s="224" t="s">
        <v>1984</v>
      </c>
      <c r="W842" s="230"/>
      <c r="X842" s="230"/>
      <c r="Y842" s="230"/>
      <c r="Z842" s="230"/>
      <c r="AA842" s="231">
        <v>8700.0</v>
      </c>
      <c r="AB842" s="231">
        <v>34800.0</v>
      </c>
      <c r="AC842" s="24" t="s">
        <v>2593</v>
      </c>
      <c r="AD842" s="195">
        <v>6740.0</v>
      </c>
      <c r="AE842" s="38"/>
      <c r="AF842" s="224" t="str">
        <f t="shared" si="1"/>
        <v>Buenos Aires, Argentina</v>
      </c>
      <c r="AG842" s="224">
        <f t="shared" si="2"/>
        <v>1</v>
      </c>
      <c r="AH842" s="232">
        <f t="shared" si="3"/>
        <v>0</v>
      </c>
      <c r="AI842" s="232">
        <f t="shared" si="4"/>
        <v>0</v>
      </c>
      <c r="AJ842" s="231">
        <f t="shared" si="5"/>
        <v>43500</v>
      </c>
      <c r="AK842" s="231">
        <f t="shared" si="6"/>
        <v>43500</v>
      </c>
      <c r="AL842" s="233"/>
      <c r="AM842" s="233"/>
    </row>
    <row r="843">
      <c r="A843" s="224">
        <v>842.0</v>
      </c>
      <c r="B843" s="225">
        <v>44587.0</v>
      </c>
      <c r="C843" s="195" t="str">
        <f t="shared" si="7"/>
        <v>12022</v>
      </c>
      <c r="D843" s="226" t="s">
        <v>2594</v>
      </c>
      <c r="E843" s="224" t="s">
        <v>1796</v>
      </c>
      <c r="F843" s="226" t="s">
        <v>1592</v>
      </c>
      <c r="G843" s="224" t="s">
        <v>64</v>
      </c>
      <c r="H843" s="224" t="s">
        <v>41</v>
      </c>
      <c r="I843" s="224" t="s">
        <v>643</v>
      </c>
      <c r="J843" s="227">
        <v>1.0</v>
      </c>
      <c r="K843" s="227">
        <v>1.0</v>
      </c>
      <c r="L843" s="228"/>
      <c r="M843" s="228"/>
      <c r="N843" s="228"/>
      <c r="O843" s="228"/>
      <c r="P843" s="228"/>
      <c r="Q843" s="229"/>
      <c r="R843" s="229"/>
      <c r="S843" s="224" t="s">
        <v>43</v>
      </c>
      <c r="T843" s="224" t="s">
        <v>83</v>
      </c>
      <c r="U843" s="224" t="s">
        <v>99</v>
      </c>
      <c r="V843" s="224" t="s">
        <v>1984</v>
      </c>
      <c r="W843" s="230"/>
      <c r="X843" s="230"/>
      <c r="Y843" s="230"/>
      <c r="Z843" s="230"/>
      <c r="AA843" s="231">
        <v>15225.0</v>
      </c>
      <c r="AB843" s="231">
        <v>68512.0</v>
      </c>
      <c r="AC843" s="24" t="s">
        <v>2595</v>
      </c>
      <c r="AD843" s="195">
        <v>6746.0</v>
      </c>
      <c r="AE843" s="38"/>
      <c r="AF843" s="224" t="str">
        <f t="shared" si="1"/>
        <v>Capital Federal, Argentina</v>
      </c>
      <c r="AG843" s="224">
        <f t="shared" si="2"/>
        <v>2</v>
      </c>
      <c r="AH843" s="232">
        <f t="shared" si="3"/>
        <v>0</v>
      </c>
      <c r="AI843" s="232">
        <f t="shared" si="4"/>
        <v>0</v>
      </c>
      <c r="AJ843" s="231">
        <f t="shared" si="5"/>
        <v>83737</v>
      </c>
      <c r="AK843" s="231">
        <f t="shared" si="6"/>
        <v>83737</v>
      </c>
      <c r="AL843" s="233"/>
      <c r="AM843" s="233"/>
    </row>
    <row r="844">
      <c r="A844" s="224">
        <v>843.0</v>
      </c>
      <c r="B844" s="225">
        <v>44587.0</v>
      </c>
      <c r="C844" s="195" t="str">
        <f t="shared" si="7"/>
        <v>12022</v>
      </c>
      <c r="D844" s="226" t="s">
        <v>2596</v>
      </c>
      <c r="E844" s="224" t="s">
        <v>2597</v>
      </c>
      <c r="F844" s="226" t="s">
        <v>2598</v>
      </c>
      <c r="G844" s="224" t="s">
        <v>40</v>
      </c>
      <c r="H844" s="224" t="s">
        <v>41</v>
      </c>
      <c r="I844" s="224" t="s">
        <v>643</v>
      </c>
      <c r="J844" s="227">
        <v>2.0</v>
      </c>
      <c r="K844" s="227">
        <v>6.0</v>
      </c>
      <c r="L844" s="228"/>
      <c r="M844" s="227">
        <v>1.0</v>
      </c>
      <c r="N844" s="228"/>
      <c r="O844" s="228"/>
      <c r="P844" s="228"/>
      <c r="Q844" s="229"/>
      <c r="R844" s="229"/>
      <c r="S844" s="224" t="s">
        <v>65</v>
      </c>
      <c r="T844" s="224" t="s">
        <v>66</v>
      </c>
      <c r="U844" s="224" t="s">
        <v>342</v>
      </c>
      <c r="V844" s="224" t="s">
        <v>1984</v>
      </c>
      <c r="W844" s="230"/>
      <c r="X844" s="230"/>
      <c r="Y844" s="230"/>
      <c r="Z844" s="230"/>
      <c r="AA844" s="231">
        <v>65250.0</v>
      </c>
      <c r="AB844" s="231">
        <v>293625.0</v>
      </c>
      <c r="AC844" s="24" t="s">
        <v>2599</v>
      </c>
      <c r="AD844" s="195">
        <v>6752.0</v>
      </c>
      <c r="AE844" s="38"/>
      <c r="AF844" s="224" t="str">
        <f t="shared" si="1"/>
        <v>Buenos Aires, Argentina</v>
      </c>
      <c r="AG844" s="224">
        <f t="shared" si="2"/>
        <v>9</v>
      </c>
      <c r="AH844" s="232">
        <f t="shared" si="3"/>
        <v>0</v>
      </c>
      <c r="AI844" s="232">
        <f t="shared" si="4"/>
        <v>0</v>
      </c>
      <c r="AJ844" s="231">
        <f t="shared" si="5"/>
        <v>358875</v>
      </c>
      <c r="AK844" s="231">
        <f t="shared" si="6"/>
        <v>358875</v>
      </c>
      <c r="AL844" s="233"/>
      <c r="AM844" s="233"/>
    </row>
    <row r="845">
      <c r="A845" s="224">
        <v>844.0</v>
      </c>
      <c r="B845" s="225">
        <v>44592.0</v>
      </c>
      <c r="C845" s="195" t="str">
        <f t="shared" si="7"/>
        <v>12022</v>
      </c>
      <c r="D845" s="226" t="s">
        <v>2600</v>
      </c>
      <c r="E845" s="224" t="s">
        <v>2601</v>
      </c>
      <c r="F845" s="226" t="s">
        <v>2602</v>
      </c>
      <c r="G845" s="224" t="s">
        <v>64</v>
      </c>
      <c r="H845" s="224" t="s">
        <v>41</v>
      </c>
      <c r="I845" s="224" t="s">
        <v>643</v>
      </c>
      <c r="J845" s="228"/>
      <c r="K845" s="228"/>
      <c r="L845" s="228"/>
      <c r="M845" s="227">
        <v>1.0</v>
      </c>
      <c r="N845" s="228"/>
      <c r="O845" s="228"/>
      <c r="P845" s="228"/>
      <c r="Q845" s="229"/>
      <c r="R845" s="229"/>
      <c r="S845" s="224" t="s">
        <v>114</v>
      </c>
      <c r="T845" s="224" t="s">
        <v>66</v>
      </c>
      <c r="U845" s="224" t="s">
        <v>99</v>
      </c>
      <c r="V845" s="224" t="s">
        <v>1984</v>
      </c>
      <c r="W845" s="230"/>
      <c r="X845" s="230"/>
      <c r="Y845" s="230"/>
      <c r="Z845" s="230"/>
      <c r="AA845" s="231">
        <v>8700.0</v>
      </c>
      <c r="AB845" s="231">
        <v>59160.0</v>
      </c>
      <c r="AC845" s="24" t="s">
        <v>2603</v>
      </c>
      <c r="AD845" s="195">
        <v>6758.0</v>
      </c>
      <c r="AE845" s="38"/>
      <c r="AF845" s="224" t="str">
        <f t="shared" si="1"/>
        <v>Buenos Aires, Argentina</v>
      </c>
      <c r="AG845" s="224">
        <f t="shared" si="2"/>
        <v>1</v>
      </c>
      <c r="AH845" s="232">
        <f t="shared" si="3"/>
        <v>0</v>
      </c>
      <c r="AI845" s="232">
        <f t="shared" si="4"/>
        <v>0</v>
      </c>
      <c r="AJ845" s="231">
        <f t="shared" si="5"/>
        <v>67860</v>
      </c>
      <c r="AK845" s="231">
        <f t="shared" si="6"/>
        <v>67860</v>
      </c>
      <c r="AL845" s="233"/>
      <c r="AM845" s="233"/>
    </row>
    <row r="846">
      <c r="A846" s="224">
        <v>845.0</v>
      </c>
      <c r="B846" s="225">
        <v>44592.0</v>
      </c>
      <c r="C846" s="195" t="str">
        <f t="shared" si="7"/>
        <v>12022</v>
      </c>
      <c r="D846" s="226" t="s">
        <v>2604</v>
      </c>
      <c r="E846" s="224" t="s">
        <v>2605</v>
      </c>
      <c r="F846" s="226" t="s">
        <v>1423</v>
      </c>
      <c r="G846" s="224" t="s">
        <v>40</v>
      </c>
      <c r="H846" s="224" t="s">
        <v>41</v>
      </c>
      <c r="I846" s="224" t="s">
        <v>643</v>
      </c>
      <c r="J846" s="227">
        <v>1.0</v>
      </c>
      <c r="K846" s="228"/>
      <c r="L846" s="228"/>
      <c r="M846" s="228"/>
      <c r="N846" s="228"/>
      <c r="O846" s="228"/>
      <c r="P846" s="228"/>
      <c r="Q846" s="229"/>
      <c r="R846" s="229"/>
      <c r="S846" s="224" t="s">
        <v>65</v>
      </c>
      <c r="T846" s="224" t="s">
        <v>83</v>
      </c>
      <c r="U846" s="224" t="s">
        <v>342</v>
      </c>
      <c r="V846" s="224" t="s">
        <v>1984</v>
      </c>
      <c r="W846" s="230"/>
      <c r="X846" s="230"/>
      <c r="Y846" s="230"/>
      <c r="Z846" s="230"/>
      <c r="AA846" s="231">
        <v>8700.0</v>
      </c>
      <c r="AB846" s="231">
        <v>76560.0</v>
      </c>
      <c r="AC846" s="24" t="s">
        <v>2606</v>
      </c>
      <c r="AD846" s="195">
        <v>6760.0</v>
      </c>
      <c r="AE846" s="38"/>
      <c r="AF846" s="224" t="str">
        <f t="shared" si="1"/>
        <v>Capital Federal, Argentina</v>
      </c>
      <c r="AG846" s="224">
        <f t="shared" si="2"/>
        <v>1</v>
      </c>
      <c r="AH846" s="232">
        <f t="shared" si="3"/>
        <v>0</v>
      </c>
      <c r="AI846" s="232">
        <f t="shared" si="4"/>
        <v>0</v>
      </c>
      <c r="AJ846" s="231">
        <f t="shared" si="5"/>
        <v>85260</v>
      </c>
      <c r="AK846" s="231">
        <f t="shared" si="6"/>
        <v>85260</v>
      </c>
      <c r="AL846" s="233"/>
      <c r="AM846" s="233"/>
    </row>
    <row r="847">
      <c r="A847" s="224">
        <v>846.0</v>
      </c>
      <c r="B847" s="225">
        <v>44592.0</v>
      </c>
      <c r="C847" s="195" t="str">
        <f t="shared" si="7"/>
        <v>12022</v>
      </c>
      <c r="D847" s="226" t="s">
        <v>2607</v>
      </c>
      <c r="E847" s="224" t="s">
        <v>2608</v>
      </c>
      <c r="F847" s="226" t="s">
        <v>2313</v>
      </c>
      <c r="G847" s="224" t="s">
        <v>40</v>
      </c>
      <c r="H847" s="224" t="s">
        <v>547</v>
      </c>
      <c r="I847" s="224" t="s">
        <v>643</v>
      </c>
      <c r="J847" s="227">
        <v>2.0</v>
      </c>
      <c r="K847" s="227">
        <v>3.0</v>
      </c>
      <c r="L847" s="228"/>
      <c r="M847" s="227">
        <v>1.0</v>
      </c>
      <c r="N847" s="228"/>
      <c r="O847" s="228"/>
      <c r="P847" s="228"/>
      <c r="Q847" s="229"/>
      <c r="R847" s="229"/>
      <c r="S847" s="224" t="s">
        <v>43</v>
      </c>
      <c r="T847" s="224" t="s">
        <v>2609</v>
      </c>
      <c r="U847" s="224" t="s">
        <v>572</v>
      </c>
      <c r="V847" s="224" t="s">
        <v>1984</v>
      </c>
      <c r="W847" s="230"/>
      <c r="X847" s="230"/>
      <c r="Y847" s="230"/>
      <c r="Z847" s="230"/>
      <c r="AA847" s="231">
        <v>27405.0</v>
      </c>
      <c r="AB847" s="231">
        <v>76734.0</v>
      </c>
      <c r="AC847" s="24" t="s">
        <v>2610</v>
      </c>
      <c r="AD847" s="195">
        <v>6770.0</v>
      </c>
      <c r="AE847" s="38"/>
      <c r="AF847" s="224" t="str">
        <f t="shared" si="1"/>
        <v>San Juan, Argentina</v>
      </c>
      <c r="AG847" s="224">
        <f t="shared" si="2"/>
        <v>6</v>
      </c>
      <c r="AH847" s="232">
        <f t="shared" si="3"/>
        <v>0</v>
      </c>
      <c r="AI847" s="232">
        <f t="shared" si="4"/>
        <v>0</v>
      </c>
      <c r="AJ847" s="231">
        <f t="shared" si="5"/>
        <v>104139</v>
      </c>
      <c r="AK847" s="231">
        <f t="shared" si="6"/>
        <v>104139</v>
      </c>
      <c r="AL847" s="233"/>
      <c r="AM847" s="233"/>
    </row>
    <row r="848">
      <c r="A848" s="224">
        <v>847.0</v>
      </c>
      <c r="B848" s="225">
        <v>44592.0</v>
      </c>
      <c r="C848" s="195" t="str">
        <f t="shared" si="7"/>
        <v>12022</v>
      </c>
      <c r="D848" s="226" t="s">
        <v>2611</v>
      </c>
      <c r="E848" s="224" t="s">
        <v>2612</v>
      </c>
      <c r="F848" s="226" t="s">
        <v>1556</v>
      </c>
      <c r="G848" s="224" t="s">
        <v>64</v>
      </c>
      <c r="H848" s="224" t="s">
        <v>41</v>
      </c>
      <c r="I848" s="224" t="s">
        <v>643</v>
      </c>
      <c r="J848" s="228"/>
      <c r="K848" s="228"/>
      <c r="L848" s="228"/>
      <c r="M848" s="228"/>
      <c r="N848" s="228"/>
      <c r="O848" s="228"/>
      <c r="P848" s="227">
        <v>1.0</v>
      </c>
      <c r="Q848" s="229"/>
      <c r="R848" s="229"/>
      <c r="S848" s="224" t="s">
        <v>98</v>
      </c>
      <c r="T848" s="224" t="s">
        <v>2609</v>
      </c>
      <c r="U848" s="224" t="s">
        <v>99</v>
      </c>
      <c r="V848" s="224" t="s">
        <v>1984</v>
      </c>
      <c r="W848" s="230"/>
      <c r="X848" s="230"/>
      <c r="Y848" s="230"/>
      <c r="Z848" s="230"/>
      <c r="AA848" s="231">
        <v>6525.0</v>
      </c>
      <c r="AB848" s="231">
        <v>29362.0</v>
      </c>
      <c r="AC848" s="24" t="s">
        <v>2613</v>
      </c>
      <c r="AD848" s="195">
        <v>6782.0</v>
      </c>
      <c r="AE848" s="38"/>
      <c r="AF848" s="224" t="str">
        <f t="shared" si="1"/>
        <v>San Juan, Argentina</v>
      </c>
      <c r="AG848" s="224">
        <f t="shared" si="2"/>
        <v>1</v>
      </c>
      <c r="AH848" s="232">
        <f t="shared" si="3"/>
        <v>0</v>
      </c>
      <c r="AI848" s="232">
        <f t="shared" si="4"/>
        <v>0</v>
      </c>
      <c r="AJ848" s="231">
        <f t="shared" si="5"/>
        <v>35887</v>
      </c>
      <c r="AK848" s="231">
        <f t="shared" si="6"/>
        <v>35887</v>
      </c>
      <c r="AL848" s="233"/>
      <c r="AM848" s="233"/>
    </row>
    <row r="849">
      <c r="A849" s="203">
        <v>848.0</v>
      </c>
      <c r="B849" s="204">
        <v>44594.0</v>
      </c>
      <c r="C849" s="195" t="str">
        <f t="shared" si="7"/>
        <v>22022</v>
      </c>
      <c r="D849" s="205" t="s">
        <v>2614</v>
      </c>
      <c r="E849" s="203" t="s">
        <v>2615</v>
      </c>
      <c r="F849" s="205" t="s">
        <v>1423</v>
      </c>
      <c r="G849" s="203" t="s">
        <v>64</v>
      </c>
      <c r="H849" s="203" t="s">
        <v>41</v>
      </c>
      <c r="I849" s="203" t="s">
        <v>643</v>
      </c>
      <c r="J849" s="206">
        <v>1.0</v>
      </c>
      <c r="K849" s="117"/>
      <c r="L849" s="117"/>
      <c r="M849" s="117"/>
      <c r="N849" s="117"/>
      <c r="O849" s="117"/>
      <c r="P849" s="117"/>
      <c r="Q849" s="119"/>
      <c r="R849" s="119"/>
      <c r="S849" s="203" t="s">
        <v>141</v>
      </c>
      <c r="T849" s="203" t="s">
        <v>66</v>
      </c>
      <c r="U849" s="203" t="s">
        <v>99</v>
      </c>
      <c r="V849" s="203" t="s">
        <v>1984</v>
      </c>
      <c r="W849" s="121"/>
      <c r="X849" s="121"/>
      <c r="Y849" s="121"/>
      <c r="Z849" s="121"/>
      <c r="AA849" s="207">
        <v>9050.0</v>
      </c>
      <c r="AB849" s="207">
        <v>31675.0</v>
      </c>
      <c r="AC849" s="24" t="s">
        <v>2616</v>
      </c>
      <c r="AD849" s="195">
        <v>6784.0</v>
      </c>
      <c r="AE849" s="38"/>
      <c r="AF849" s="203" t="str">
        <f t="shared" si="1"/>
        <v>Buenos Aires, Argentina</v>
      </c>
      <c r="AG849" s="203">
        <f t="shared" si="2"/>
        <v>1</v>
      </c>
      <c r="AH849" s="208">
        <f t="shared" si="3"/>
        <v>0</v>
      </c>
      <c r="AI849" s="208">
        <f t="shared" si="4"/>
        <v>0</v>
      </c>
      <c r="AJ849" s="207">
        <f t="shared" si="5"/>
        <v>40725</v>
      </c>
      <c r="AK849" s="207">
        <f t="shared" si="6"/>
        <v>40725</v>
      </c>
      <c r="AL849" s="123"/>
      <c r="AM849" s="123"/>
    </row>
    <row r="850">
      <c r="A850" s="203">
        <v>849.0</v>
      </c>
      <c r="B850" s="204">
        <v>44595.0</v>
      </c>
      <c r="C850" s="195" t="str">
        <f t="shared" si="7"/>
        <v>22022</v>
      </c>
      <c r="D850" s="205" t="s">
        <v>2596</v>
      </c>
      <c r="E850" s="203" t="s">
        <v>2597</v>
      </c>
      <c r="F850" s="205" t="s">
        <v>2617</v>
      </c>
      <c r="G850" s="203" t="s">
        <v>64</v>
      </c>
      <c r="H850" s="203" t="s">
        <v>41</v>
      </c>
      <c r="I850" s="203" t="s">
        <v>643</v>
      </c>
      <c r="J850" s="117"/>
      <c r="K850" s="117"/>
      <c r="L850" s="117"/>
      <c r="M850" s="117"/>
      <c r="N850" s="117"/>
      <c r="O850" s="117"/>
      <c r="P850" s="117"/>
      <c r="Q850" s="119"/>
      <c r="R850" s="119"/>
      <c r="S850" s="203" t="s">
        <v>65</v>
      </c>
      <c r="T850" s="203" t="s">
        <v>66</v>
      </c>
      <c r="U850" s="203" t="s">
        <v>99</v>
      </c>
      <c r="V850" s="203" t="s">
        <v>1984</v>
      </c>
      <c r="W850" s="121"/>
      <c r="X850" s="121"/>
      <c r="Y850" s="121"/>
      <c r="Z850" s="121"/>
      <c r="AA850" s="207">
        <v>0.0</v>
      </c>
      <c r="AB850" s="207">
        <v>137560.0</v>
      </c>
      <c r="AC850" s="24" t="s">
        <v>2618</v>
      </c>
      <c r="AD850" s="195">
        <v>6794.0</v>
      </c>
      <c r="AE850" s="38"/>
      <c r="AF850" s="203" t="str">
        <f t="shared" si="1"/>
        <v>Buenos Aires, Argentina</v>
      </c>
      <c r="AG850" s="203">
        <f t="shared" si="2"/>
        <v>0</v>
      </c>
      <c r="AH850" s="208">
        <f t="shared" si="3"/>
        <v>0</v>
      </c>
      <c r="AI850" s="208">
        <f t="shared" si="4"/>
        <v>0</v>
      </c>
      <c r="AJ850" s="207">
        <f t="shared" si="5"/>
        <v>137560</v>
      </c>
      <c r="AK850" s="207">
        <f t="shared" si="6"/>
        <v>137560</v>
      </c>
      <c r="AL850" s="123"/>
      <c r="AM850" s="123"/>
    </row>
    <row r="851">
      <c r="A851" s="203">
        <v>850.0</v>
      </c>
      <c r="B851" s="204">
        <v>44596.0</v>
      </c>
      <c r="C851" s="195" t="str">
        <f t="shared" si="7"/>
        <v>22022</v>
      </c>
      <c r="D851" s="205" t="s">
        <v>2619</v>
      </c>
      <c r="E851" s="203" t="s">
        <v>2620</v>
      </c>
      <c r="F851" s="205" t="s">
        <v>1567</v>
      </c>
      <c r="G851" s="203" t="s">
        <v>64</v>
      </c>
      <c r="H851" s="203" t="s">
        <v>41</v>
      </c>
      <c r="I851" s="203" t="s">
        <v>643</v>
      </c>
      <c r="J851" s="206">
        <v>4.0</v>
      </c>
      <c r="K851" s="117"/>
      <c r="L851" s="117"/>
      <c r="M851" s="117"/>
      <c r="N851" s="117"/>
      <c r="O851" s="117"/>
      <c r="P851" s="117"/>
      <c r="Q851" s="119"/>
      <c r="R851" s="119"/>
      <c r="S851" s="203" t="s">
        <v>105</v>
      </c>
      <c r="T851" s="203" t="s">
        <v>66</v>
      </c>
      <c r="U851" s="203" t="s">
        <v>99</v>
      </c>
      <c r="V851" s="203" t="s">
        <v>1984</v>
      </c>
      <c r="W851" s="121"/>
      <c r="X851" s="121"/>
      <c r="Y851" s="121"/>
      <c r="Z851" s="121"/>
      <c r="AA851" s="207">
        <v>36200.0</v>
      </c>
      <c r="AB851" s="207">
        <v>181000.0</v>
      </c>
      <c r="AC851" s="24" t="s">
        <v>2621</v>
      </c>
      <c r="AD851" s="195">
        <v>6800.0</v>
      </c>
      <c r="AE851" s="38"/>
      <c r="AF851" s="203" t="str">
        <f t="shared" si="1"/>
        <v>Buenos Aires, Argentina</v>
      </c>
      <c r="AG851" s="203">
        <f t="shared" si="2"/>
        <v>4</v>
      </c>
      <c r="AH851" s="208">
        <f t="shared" si="3"/>
        <v>0</v>
      </c>
      <c r="AI851" s="208">
        <f t="shared" si="4"/>
        <v>0</v>
      </c>
      <c r="AJ851" s="207">
        <f t="shared" si="5"/>
        <v>217200</v>
      </c>
      <c r="AK851" s="207">
        <f t="shared" si="6"/>
        <v>217200</v>
      </c>
      <c r="AL851" s="123"/>
      <c r="AM851" s="123"/>
    </row>
    <row r="852">
      <c r="A852" s="203">
        <v>851.0</v>
      </c>
      <c r="B852" s="204">
        <v>44603.0</v>
      </c>
      <c r="C852" s="195" t="str">
        <f t="shared" si="7"/>
        <v>22022</v>
      </c>
      <c r="D852" s="205" t="s">
        <v>2622</v>
      </c>
      <c r="E852" s="203" t="s">
        <v>2623</v>
      </c>
      <c r="F852" s="205" t="s">
        <v>1423</v>
      </c>
      <c r="G852" s="203" t="s">
        <v>64</v>
      </c>
      <c r="H852" s="203" t="s">
        <v>41</v>
      </c>
      <c r="I852" s="203" t="s">
        <v>643</v>
      </c>
      <c r="J852" s="206">
        <v>1.0</v>
      </c>
      <c r="K852" s="117"/>
      <c r="L852" s="117"/>
      <c r="M852" s="117"/>
      <c r="N852" s="117"/>
      <c r="O852" s="117"/>
      <c r="P852" s="117"/>
      <c r="Q852" s="119"/>
      <c r="R852" s="119"/>
      <c r="S852" s="203" t="s">
        <v>43</v>
      </c>
      <c r="T852" s="203" t="s">
        <v>66</v>
      </c>
      <c r="U852" s="203" t="s">
        <v>99</v>
      </c>
      <c r="V852" s="203" t="s">
        <v>1984</v>
      </c>
      <c r="W852" s="121"/>
      <c r="X852" s="121"/>
      <c r="Y852" s="121"/>
      <c r="Z852" s="121"/>
      <c r="AA852" s="207">
        <v>9050.0</v>
      </c>
      <c r="AB852" s="207">
        <v>31675.0</v>
      </c>
      <c r="AC852" s="24" t="s">
        <v>2624</v>
      </c>
      <c r="AD852" s="195">
        <v>6810.0</v>
      </c>
      <c r="AE852" s="38"/>
      <c r="AF852" s="203" t="str">
        <f t="shared" si="1"/>
        <v>Buenos Aires, Argentina</v>
      </c>
      <c r="AG852" s="203">
        <f t="shared" si="2"/>
        <v>1</v>
      </c>
      <c r="AH852" s="208">
        <f t="shared" si="3"/>
        <v>0</v>
      </c>
      <c r="AI852" s="208">
        <f t="shared" si="4"/>
        <v>0</v>
      </c>
      <c r="AJ852" s="207">
        <f t="shared" si="5"/>
        <v>40725</v>
      </c>
      <c r="AK852" s="207">
        <f t="shared" si="6"/>
        <v>40725</v>
      </c>
      <c r="AL852" s="123"/>
      <c r="AM852" s="123"/>
    </row>
    <row r="853">
      <c r="A853" s="203">
        <v>852.0</v>
      </c>
      <c r="B853" s="204">
        <v>44607.0</v>
      </c>
      <c r="C853" s="195" t="str">
        <f t="shared" si="7"/>
        <v>22022</v>
      </c>
      <c r="D853" s="205" t="s">
        <v>2604</v>
      </c>
      <c r="E853" s="203" t="s">
        <v>2605</v>
      </c>
      <c r="F853" s="205" t="s">
        <v>12</v>
      </c>
      <c r="G853" s="203" t="s">
        <v>64</v>
      </c>
      <c r="H853" s="203" t="s">
        <v>41</v>
      </c>
      <c r="I853" s="203" t="s">
        <v>643</v>
      </c>
      <c r="J853" s="117"/>
      <c r="K853" s="117"/>
      <c r="L853" s="117"/>
      <c r="M853" s="206">
        <v>1.0</v>
      </c>
      <c r="N853" s="117"/>
      <c r="O853" s="117"/>
      <c r="P853" s="117"/>
      <c r="Q853" s="119"/>
      <c r="R853" s="119"/>
      <c r="S853" s="203" t="s">
        <v>65</v>
      </c>
      <c r="T853" s="203" t="s">
        <v>83</v>
      </c>
      <c r="U853" s="203" t="s">
        <v>99</v>
      </c>
      <c r="V853" s="203" t="s">
        <v>1984</v>
      </c>
      <c r="W853" s="121"/>
      <c r="X853" s="121"/>
      <c r="Y853" s="121"/>
      <c r="Z853" s="121"/>
      <c r="AA853" s="207">
        <v>9050.0</v>
      </c>
      <c r="AB853" s="207">
        <v>36200.0</v>
      </c>
      <c r="AC853" s="24" t="s">
        <v>2625</v>
      </c>
      <c r="AD853" s="195">
        <v>6816.0</v>
      </c>
      <c r="AE853" s="38"/>
      <c r="AF853" s="203" t="str">
        <f t="shared" si="1"/>
        <v>Capital Federal, Argentina</v>
      </c>
      <c r="AG853" s="203">
        <f t="shared" si="2"/>
        <v>1</v>
      </c>
      <c r="AH853" s="208">
        <f t="shared" si="3"/>
        <v>0</v>
      </c>
      <c r="AI853" s="208">
        <f t="shared" si="4"/>
        <v>0</v>
      </c>
      <c r="AJ853" s="207">
        <f t="shared" si="5"/>
        <v>45250</v>
      </c>
      <c r="AK853" s="207">
        <f t="shared" si="6"/>
        <v>45250</v>
      </c>
      <c r="AL853" s="123"/>
      <c r="AM853" s="123"/>
    </row>
    <row r="854">
      <c r="A854" s="203">
        <v>853.0</v>
      </c>
      <c r="B854" s="204">
        <v>44607.0</v>
      </c>
      <c r="C854" s="195" t="str">
        <f t="shared" si="7"/>
        <v>22022</v>
      </c>
      <c r="D854" s="205" t="s">
        <v>795</v>
      </c>
      <c r="E854" s="203" t="s">
        <v>796</v>
      </c>
      <c r="F854" s="205" t="s">
        <v>1415</v>
      </c>
      <c r="G854" s="203" t="s">
        <v>64</v>
      </c>
      <c r="H854" s="203" t="s">
        <v>41</v>
      </c>
      <c r="I854" s="203" t="s">
        <v>643</v>
      </c>
      <c r="J854" s="117"/>
      <c r="K854" s="206">
        <v>1.0</v>
      </c>
      <c r="L854" s="117"/>
      <c r="M854" s="117"/>
      <c r="N854" s="117"/>
      <c r="O854" s="117"/>
      <c r="P854" s="117"/>
      <c r="Q854" s="119"/>
      <c r="R854" s="119"/>
      <c r="S854" s="203" t="s">
        <v>98</v>
      </c>
      <c r="T854" s="203" t="s">
        <v>66</v>
      </c>
      <c r="U854" s="203" t="s">
        <v>99</v>
      </c>
      <c r="V854" s="203" t="s">
        <v>1984</v>
      </c>
      <c r="W854" s="121"/>
      <c r="X854" s="121"/>
      <c r="Y854" s="121"/>
      <c r="Z854" s="121"/>
      <c r="AA854" s="207">
        <v>6787.0</v>
      </c>
      <c r="AB854" s="207">
        <v>30542.0</v>
      </c>
      <c r="AC854" s="24" t="s">
        <v>2626</v>
      </c>
      <c r="AD854" s="195">
        <v>6822.0</v>
      </c>
      <c r="AE854" s="38"/>
      <c r="AF854" s="203" t="str">
        <f t="shared" si="1"/>
        <v>Buenos Aires, Argentina</v>
      </c>
      <c r="AG854" s="203">
        <f t="shared" si="2"/>
        <v>1</v>
      </c>
      <c r="AH854" s="208">
        <f t="shared" si="3"/>
        <v>0</v>
      </c>
      <c r="AI854" s="208">
        <f t="shared" si="4"/>
        <v>0</v>
      </c>
      <c r="AJ854" s="207">
        <f t="shared" si="5"/>
        <v>37329</v>
      </c>
      <c r="AK854" s="207">
        <f t="shared" si="6"/>
        <v>37329</v>
      </c>
      <c r="AL854" s="123"/>
      <c r="AM854" s="123"/>
    </row>
    <row r="855">
      <c r="A855" s="203">
        <v>854.0</v>
      </c>
      <c r="B855" s="204">
        <v>44613.0</v>
      </c>
      <c r="C855" s="195" t="str">
        <f t="shared" si="7"/>
        <v>22022</v>
      </c>
      <c r="D855" s="205" t="s">
        <v>2627</v>
      </c>
      <c r="E855" s="203" t="s">
        <v>1833</v>
      </c>
      <c r="F855" s="205" t="s">
        <v>1415</v>
      </c>
      <c r="G855" s="203" t="s">
        <v>64</v>
      </c>
      <c r="H855" s="203" t="s">
        <v>41</v>
      </c>
      <c r="I855" s="203" t="s">
        <v>643</v>
      </c>
      <c r="J855" s="117"/>
      <c r="K855" s="206">
        <v>1.0</v>
      </c>
      <c r="L855" s="117"/>
      <c r="M855" s="117"/>
      <c r="N855" s="117"/>
      <c r="O855" s="117"/>
      <c r="P855" s="117"/>
      <c r="Q855" s="119"/>
      <c r="R855" s="119"/>
      <c r="S855" s="203" t="s">
        <v>189</v>
      </c>
      <c r="T855" s="203" t="s">
        <v>44</v>
      </c>
      <c r="U855" s="203" t="s">
        <v>99</v>
      </c>
      <c r="V855" s="203" t="s">
        <v>1984</v>
      </c>
      <c r="W855" s="121"/>
      <c r="X855" s="121"/>
      <c r="Y855" s="121"/>
      <c r="Z855" s="121"/>
      <c r="AA855" s="207">
        <v>6787.0</v>
      </c>
      <c r="AB855" s="207">
        <v>27148.0</v>
      </c>
      <c r="AC855" s="24" t="s">
        <v>2628</v>
      </c>
      <c r="AD855" s="195">
        <v>6828.0</v>
      </c>
      <c r="AE855" s="38"/>
      <c r="AF855" s="203" t="str">
        <f t="shared" si="1"/>
        <v>Mendoza, Argentina</v>
      </c>
      <c r="AG855" s="203">
        <f t="shared" si="2"/>
        <v>1</v>
      </c>
      <c r="AH855" s="208">
        <f t="shared" si="3"/>
        <v>0</v>
      </c>
      <c r="AI855" s="208">
        <f t="shared" si="4"/>
        <v>0</v>
      </c>
      <c r="AJ855" s="207">
        <f t="shared" si="5"/>
        <v>33935</v>
      </c>
      <c r="AK855" s="207">
        <f t="shared" si="6"/>
        <v>33935</v>
      </c>
      <c r="AL855" s="123"/>
      <c r="AM855" s="123"/>
    </row>
    <row r="856">
      <c r="A856" s="203">
        <v>855.0</v>
      </c>
      <c r="B856" s="204">
        <v>44615.0</v>
      </c>
      <c r="C856" s="195" t="str">
        <f t="shared" si="7"/>
        <v>22022</v>
      </c>
      <c r="D856" s="205" t="s">
        <v>1717</v>
      </c>
      <c r="E856" s="203" t="s">
        <v>2629</v>
      </c>
      <c r="F856" s="205" t="s">
        <v>1423</v>
      </c>
      <c r="G856" s="203" t="s">
        <v>64</v>
      </c>
      <c r="H856" s="203" t="s">
        <v>547</v>
      </c>
      <c r="I856" s="203" t="s">
        <v>643</v>
      </c>
      <c r="J856" s="206">
        <v>1.0</v>
      </c>
      <c r="K856" s="117"/>
      <c r="L856" s="117"/>
      <c r="M856" s="117"/>
      <c r="N856" s="117"/>
      <c r="O856" s="117"/>
      <c r="P856" s="117"/>
      <c r="Q856" s="119"/>
      <c r="R856" s="119"/>
      <c r="S856" s="203" t="s">
        <v>189</v>
      </c>
      <c r="T856" s="203" t="s">
        <v>263</v>
      </c>
      <c r="U856" s="203" t="s">
        <v>99</v>
      </c>
      <c r="V856" s="203" t="s">
        <v>1984</v>
      </c>
      <c r="W856" s="121"/>
      <c r="X856" s="121"/>
      <c r="Y856" s="121"/>
      <c r="Z856" s="121"/>
      <c r="AA856" s="207">
        <v>5430.0</v>
      </c>
      <c r="AB856" s="207">
        <v>15203.0</v>
      </c>
      <c r="AC856" s="24" t="s">
        <v>2630</v>
      </c>
      <c r="AD856" s="195">
        <v>6834.0</v>
      </c>
      <c r="AE856" s="38"/>
      <c r="AF856" s="203" t="str">
        <f t="shared" si="1"/>
        <v>Santa Fé, Argentina</v>
      </c>
      <c r="AG856" s="203">
        <f t="shared" si="2"/>
        <v>1</v>
      </c>
      <c r="AH856" s="208">
        <f t="shared" si="3"/>
        <v>0</v>
      </c>
      <c r="AI856" s="208">
        <f t="shared" si="4"/>
        <v>0</v>
      </c>
      <c r="AJ856" s="207">
        <f t="shared" si="5"/>
        <v>20633</v>
      </c>
      <c r="AK856" s="207">
        <f t="shared" si="6"/>
        <v>20633</v>
      </c>
      <c r="AL856" s="123"/>
      <c r="AM856" s="123"/>
    </row>
    <row r="857">
      <c r="A857" s="203">
        <v>856.0</v>
      </c>
      <c r="B857" s="204">
        <v>44615.0</v>
      </c>
      <c r="C857" s="195" t="str">
        <f t="shared" si="7"/>
        <v>22022</v>
      </c>
      <c r="D857" s="205" t="s">
        <v>1982</v>
      </c>
      <c r="E857" s="203" t="s">
        <v>1983</v>
      </c>
      <c r="F857" s="205" t="s">
        <v>1415</v>
      </c>
      <c r="G857" s="203" t="s">
        <v>64</v>
      </c>
      <c r="H857" s="203" t="s">
        <v>41</v>
      </c>
      <c r="I857" s="203" t="s">
        <v>643</v>
      </c>
      <c r="J857" s="117"/>
      <c r="K857" s="206">
        <v>1.0</v>
      </c>
      <c r="L857" s="117"/>
      <c r="M857" s="117"/>
      <c r="N857" s="117"/>
      <c r="O857" s="117"/>
      <c r="P857" s="117"/>
      <c r="Q857" s="119"/>
      <c r="R857" s="119"/>
      <c r="S857" s="203" t="s">
        <v>65</v>
      </c>
      <c r="T857" s="203" t="s">
        <v>66</v>
      </c>
      <c r="U857" s="203" t="s">
        <v>99</v>
      </c>
      <c r="V857" s="203" t="s">
        <v>1984</v>
      </c>
      <c r="W857" s="121"/>
      <c r="X857" s="121"/>
      <c r="Y857" s="121"/>
      <c r="Z857" s="121"/>
      <c r="AA857" s="207">
        <v>6787.0</v>
      </c>
      <c r="AB857" s="207">
        <v>27147.0</v>
      </c>
      <c r="AC857" s="24" t="s">
        <v>2631</v>
      </c>
      <c r="AD857" s="195">
        <v>6840.0</v>
      </c>
      <c r="AE857" s="38"/>
      <c r="AF857" s="203" t="str">
        <f t="shared" si="1"/>
        <v>Buenos Aires, Argentina</v>
      </c>
      <c r="AG857" s="203">
        <f t="shared" si="2"/>
        <v>1</v>
      </c>
      <c r="AH857" s="208">
        <f t="shared" si="3"/>
        <v>0</v>
      </c>
      <c r="AI857" s="208">
        <f t="shared" si="4"/>
        <v>0</v>
      </c>
      <c r="AJ857" s="207">
        <f t="shared" si="5"/>
        <v>33934</v>
      </c>
      <c r="AK857" s="207">
        <f t="shared" si="6"/>
        <v>33934</v>
      </c>
      <c r="AL857" s="123"/>
      <c r="AM857" s="123"/>
    </row>
    <row r="858">
      <c r="A858" s="203">
        <v>857.0</v>
      </c>
      <c r="B858" s="204">
        <v>44616.0</v>
      </c>
      <c r="C858" s="195" t="str">
        <f t="shared" si="7"/>
        <v>22022</v>
      </c>
      <c r="D858" s="205" t="s">
        <v>2632</v>
      </c>
      <c r="E858" s="203" t="s">
        <v>2633</v>
      </c>
      <c r="F858" s="205" t="s">
        <v>2056</v>
      </c>
      <c r="G858" s="203" t="s">
        <v>40</v>
      </c>
      <c r="H858" s="203" t="s">
        <v>41</v>
      </c>
      <c r="I858" s="203" t="s">
        <v>643</v>
      </c>
      <c r="J858" s="206">
        <v>1.0</v>
      </c>
      <c r="K858" s="117"/>
      <c r="L858" s="117"/>
      <c r="M858" s="206">
        <v>1.0</v>
      </c>
      <c r="N858" s="117"/>
      <c r="O858" s="117"/>
      <c r="P858" s="117"/>
      <c r="Q858" s="119"/>
      <c r="R858" s="119"/>
      <c r="S858" s="203" t="s">
        <v>65</v>
      </c>
      <c r="T858" s="203" t="s">
        <v>839</v>
      </c>
      <c r="U858" s="203" t="s">
        <v>342</v>
      </c>
      <c r="V858" s="203" t="s">
        <v>1984</v>
      </c>
      <c r="W858" s="121"/>
      <c r="X858" s="121"/>
      <c r="Y858" s="121"/>
      <c r="Z858" s="121"/>
      <c r="AA858" s="207">
        <v>18100.0</v>
      </c>
      <c r="AB858" s="207">
        <v>126700.0</v>
      </c>
      <c r="AC858" s="24" t="s">
        <v>2634</v>
      </c>
      <c r="AD858" s="195">
        <v>6846.0</v>
      </c>
      <c r="AE858" s="38"/>
      <c r="AF858" s="203" t="str">
        <f t="shared" si="1"/>
        <v>Neuquén, Argentina</v>
      </c>
      <c r="AG858" s="203">
        <f t="shared" si="2"/>
        <v>2</v>
      </c>
      <c r="AH858" s="208">
        <f t="shared" si="3"/>
        <v>0</v>
      </c>
      <c r="AI858" s="208">
        <f t="shared" si="4"/>
        <v>0</v>
      </c>
      <c r="AJ858" s="207">
        <f t="shared" si="5"/>
        <v>144800</v>
      </c>
      <c r="AK858" s="207">
        <f t="shared" si="6"/>
        <v>144800</v>
      </c>
      <c r="AL858" s="123"/>
      <c r="AM858" s="123"/>
    </row>
    <row r="859">
      <c r="A859" s="203">
        <v>858.0</v>
      </c>
      <c r="B859" s="204">
        <v>44616.0</v>
      </c>
      <c r="C859" s="195" t="str">
        <f t="shared" si="7"/>
        <v>22022</v>
      </c>
      <c r="D859" s="205" t="s">
        <v>1791</v>
      </c>
      <c r="E859" s="203" t="s">
        <v>1792</v>
      </c>
      <c r="F859" s="205" t="s">
        <v>1357</v>
      </c>
      <c r="G859" s="203" t="s">
        <v>64</v>
      </c>
      <c r="H859" s="203" t="s">
        <v>41</v>
      </c>
      <c r="I859" s="203" t="s">
        <v>643</v>
      </c>
      <c r="J859" s="117"/>
      <c r="K859" s="117"/>
      <c r="L859" s="117"/>
      <c r="M859" s="117"/>
      <c r="N859" s="117"/>
      <c r="O859" s="117"/>
      <c r="P859" s="206">
        <v>1.0</v>
      </c>
      <c r="Q859" s="119"/>
      <c r="R859" s="119"/>
      <c r="S859" s="203" t="s">
        <v>72</v>
      </c>
      <c r="T859" s="203" t="s">
        <v>83</v>
      </c>
      <c r="U859" s="203" t="s">
        <v>67</v>
      </c>
      <c r="V859" s="203" t="s">
        <v>1984</v>
      </c>
      <c r="W859" s="121"/>
      <c r="X859" s="121"/>
      <c r="Y859" s="121"/>
      <c r="Z859" s="121"/>
      <c r="AA859" s="207">
        <v>6787.0</v>
      </c>
      <c r="AB859" s="207">
        <v>0.0</v>
      </c>
      <c r="AC859" s="24" t="s">
        <v>2635</v>
      </c>
      <c r="AD859" s="195">
        <v>6928.0</v>
      </c>
      <c r="AE859" s="38"/>
      <c r="AF859" s="203" t="str">
        <f t="shared" si="1"/>
        <v>Capital Federal, Argentina</v>
      </c>
      <c r="AG859" s="203">
        <f t="shared" si="2"/>
        <v>1</v>
      </c>
      <c r="AH859" s="208">
        <f t="shared" si="3"/>
        <v>0</v>
      </c>
      <c r="AI859" s="208">
        <f t="shared" si="4"/>
        <v>0</v>
      </c>
      <c r="AJ859" s="207">
        <f t="shared" si="5"/>
        <v>6787</v>
      </c>
      <c r="AK859" s="207">
        <f t="shared" si="6"/>
        <v>6787</v>
      </c>
      <c r="AL859" s="123"/>
      <c r="AM859" s="123"/>
    </row>
    <row r="860">
      <c r="A860" s="203">
        <v>859.0</v>
      </c>
      <c r="B860" s="204">
        <v>44616.0</v>
      </c>
      <c r="C860" s="195" t="str">
        <f t="shared" si="7"/>
        <v>22022</v>
      </c>
      <c r="D860" s="205" t="s">
        <v>1791</v>
      </c>
      <c r="E860" s="203" t="s">
        <v>2636</v>
      </c>
      <c r="F860" s="205" t="s">
        <v>2566</v>
      </c>
      <c r="G860" s="203" t="s">
        <v>64</v>
      </c>
      <c r="H860" s="203" t="s">
        <v>41</v>
      </c>
      <c r="I860" s="203" t="s">
        <v>643</v>
      </c>
      <c r="J860" s="117"/>
      <c r="K860" s="117"/>
      <c r="L860" s="117"/>
      <c r="M860" s="117"/>
      <c r="N860" s="117"/>
      <c r="O860" s="117"/>
      <c r="P860" s="117"/>
      <c r="Q860" s="119"/>
      <c r="R860" s="119"/>
      <c r="S860" s="203" t="s">
        <v>72</v>
      </c>
      <c r="T860" s="203" t="s">
        <v>83</v>
      </c>
      <c r="U860" s="203" t="s">
        <v>67</v>
      </c>
      <c r="V860" s="203" t="s">
        <v>1984</v>
      </c>
      <c r="W860" s="207">
        <v>25000.0</v>
      </c>
      <c r="X860" s="207">
        <v>0.0</v>
      </c>
      <c r="Y860" s="121"/>
      <c r="Z860" s="121"/>
      <c r="AA860" s="207">
        <v>0.0</v>
      </c>
      <c r="AB860" s="207">
        <v>0.0</v>
      </c>
      <c r="AC860" s="24" t="s">
        <v>2635</v>
      </c>
      <c r="AD860" s="195">
        <v>6928.0</v>
      </c>
      <c r="AE860" s="38"/>
      <c r="AF860" s="203" t="str">
        <f t="shared" si="1"/>
        <v>Capital Federal, Argentina</v>
      </c>
      <c r="AG860" s="203">
        <f t="shared" si="2"/>
        <v>0</v>
      </c>
      <c r="AH860" s="208">
        <f t="shared" si="3"/>
        <v>25000</v>
      </c>
      <c r="AI860" s="208">
        <f t="shared" si="4"/>
        <v>0</v>
      </c>
      <c r="AJ860" s="207">
        <f t="shared" si="5"/>
        <v>0</v>
      </c>
      <c r="AK860" s="207">
        <f t="shared" si="6"/>
        <v>25000</v>
      </c>
      <c r="AL860" s="123"/>
      <c r="AM860" s="123"/>
    </row>
    <row r="861">
      <c r="A861" s="203">
        <v>860.0</v>
      </c>
      <c r="B861" s="204">
        <v>44616.0</v>
      </c>
      <c r="C861" s="195" t="str">
        <f t="shared" si="7"/>
        <v>22022</v>
      </c>
      <c r="D861" s="205" t="s">
        <v>2163</v>
      </c>
      <c r="E861" s="203" t="s">
        <v>2164</v>
      </c>
      <c r="F861" s="205" t="s">
        <v>2566</v>
      </c>
      <c r="G861" s="203" t="s">
        <v>64</v>
      </c>
      <c r="H861" s="203" t="s">
        <v>41</v>
      </c>
      <c r="I861" s="203" t="s">
        <v>643</v>
      </c>
      <c r="J861" s="117"/>
      <c r="K861" s="117"/>
      <c r="L861" s="117"/>
      <c r="M861" s="117"/>
      <c r="N861" s="117"/>
      <c r="O861" s="117"/>
      <c r="P861" s="117"/>
      <c r="Q861" s="119"/>
      <c r="R861" s="119"/>
      <c r="S861" s="203" t="s">
        <v>65</v>
      </c>
      <c r="T861" s="203" t="s">
        <v>66</v>
      </c>
      <c r="U861" s="203" t="s">
        <v>67</v>
      </c>
      <c r="V861" s="203" t="s">
        <v>1984</v>
      </c>
      <c r="W861" s="207">
        <v>25000.0</v>
      </c>
      <c r="X861" s="207">
        <v>0.0</v>
      </c>
      <c r="Y861" s="121"/>
      <c r="Z861" s="121"/>
      <c r="AA861" s="207">
        <v>0.0</v>
      </c>
      <c r="AB861" s="207">
        <v>0.0</v>
      </c>
      <c r="AC861" s="24" t="s">
        <v>2637</v>
      </c>
      <c r="AD861" s="195">
        <v>6924.0</v>
      </c>
      <c r="AE861" s="38"/>
      <c r="AF861" s="203" t="str">
        <f t="shared" si="1"/>
        <v>Buenos Aires, Argentina</v>
      </c>
      <c r="AG861" s="203">
        <f t="shared" si="2"/>
        <v>0</v>
      </c>
      <c r="AH861" s="208">
        <f t="shared" si="3"/>
        <v>25000</v>
      </c>
      <c r="AI861" s="208">
        <f t="shared" si="4"/>
        <v>0</v>
      </c>
      <c r="AJ861" s="207">
        <f t="shared" si="5"/>
        <v>0</v>
      </c>
      <c r="AK861" s="207">
        <f t="shared" si="6"/>
        <v>25000</v>
      </c>
      <c r="AL861" s="123"/>
      <c r="AM861" s="123"/>
    </row>
    <row r="862">
      <c r="A862" s="203">
        <v>861.0</v>
      </c>
      <c r="B862" s="204">
        <v>44616.0</v>
      </c>
      <c r="C862" s="195" t="str">
        <f t="shared" si="7"/>
        <v>22022</v>
      </c>
      <c r="D862" s="205" t="s">
        <v>2638</v>
      </c>
      <c r="E862" s="203" t="s">
        <v>1909</v>
      </c>
      <c r="F862" s="205" t="s">
        <v>2639</v>
      </c>
      <c r="G862" s="203" t="s">
        <v>64</v>
      </c>
      <c r="H862" s="203" t="s">
        <v>41</v>
      </c>
      <c r="I862" s="203" t="s">
        <v>643</v>
      </c>
      <c r="J862" s="117"/>
      <c r="K862" s="117"/>
      <c r="L862" s="117"/>
      <c r="M862" s="117"/>
      <c r="N862" s="206">
        <v>1.0</v>
      </c>
      <c r="O862" s="117"/>
      <c r="P862" s="117"/>
      <c r="Q862" s="119"/>
      <c r="R862" s="119"/>
      <c r="S862" s="203" t="s">
        <v>98</v>
      </c>
      <c r="T862" s="203" t="s">
        <v>83</v>
      </c>
      <c r="U862" s="203" t="s">
        <v>99</v>
      </c>
      <c r="V862" s="203" t="s">
        <v>1984</v>
      </c>
      <c r="W862" s="121"/>
      <c r="X862" s="121"/>
      <c r="Y862" s="121"/>
      <c r="Z862" s="121"/>
      <c r="AA862" s="207">
        <v>9050.0</v>
      </c>
      <c r="AB862" s="207">
        <v>28507.0</v>
      </c>
      <c r="AC862" s="24" t="s">
        <v>2640</v>
      </c>
      <c r="AD862" s="195">
        <v>6852.0</v>
      </c>
      <c r="AE862" s="38"/>
      <c r="AF862" s="203" t="str">
        <f t="shared" si="1"/>
        <v>Capital Federal, Argentina</v>
      </c>
      <c r="AG862" s="203">
        <f t="shared" si="2"/>
        <v>1</v>
      </c>
      <c r="AH862" s="208">
        <f t="shared" si="3"/>
        <v>0</v>
      </c>
      <c r="AI862" s="208">
        <f t="shared" si="4"/>
        <v>0</v>
      </c>
      <c r="AJ862" s="207">
        <f t="shared" si="5"/>
        <v>37557</v>
      </c>
      <c r="AK862" s="207">
        <f t="shared" si="6"/>
        <v>37557</v>
      </c>
      <c r="AL862" s="123"/>
      <c r="AM862" s="123"/>
    </row>
    <row r="863">
      <c r="A863" s="203">
        <v>862.0</v>
      </c>
      <c r="B863" s="204">
        <v>44617.0</v>
      </c>
      <c r="C863" s="195" t="str">
        <f t="shared" si="7"/>
        <v>22022</v>
      </c>
      <c r="D863" s="205" t="s">
        <v>2604</v>
      </c>
      <c r="E863" s="203" t="s">
        <v>2605</v>
      </c>
      <c r="F863" s="205" t="s">
        <v>1423</v>
      </c>
      <c r="G863" s="203" t="s">
        <v>64</v>
      </c>
      <c r="H863" s="203" t="s">
        <v>41</v>
      </c>
      <c r="I863" s="203" t="s">
        <v>643</v>
      </c>
      <c r="J863" s="206">
        <v>1.0</v>
      </c>
      <c r="K863" s="117"/>
      <c r="L863" s="117"/>
      <c r="M863" s="117"/>
      <c r="N863" s="117"/>
      <c r="O863" s="117"/>
      <c r="P863" s="117"/>
      <c r="Q863" s="119"/>
      <c r="R863" s="119"/>
      <c r="S863" s="203" t="s">
        <v>65</v>
      </c>
      <c r="T863" s="203" t="s">
        <v>83</v>
      </c>
      <c r="U863" s="203" t="s">
        <v>99</v>
      </c>
      <c r="V863" s="203" t="s">
        <v>1984</v>
      </c>
      <c r="W863" s="121"/>
      <c r="X863" s="121"/>
      <c r="Y863" s="121"/>
      <c r="Z863" s="121"/>
      <c r="AA863" s="207">
        <v>8700.0</v>
      </c>
      <c r="AB863" s="207">
        <v>36200.0</v>
      </c>
      <c r="AC863" s="24" t="s">
        <v>2641</v>
      </c>
      <c r="AD863" s="195">
        <v>6858.0</v>
      </c>
      <c r="AE863" s="38"/>
      <c r="AF863" s="203" t="str">
        <f t="shared" si="1"/>
        <v>Capital Federal, Argentina</v>
      </c>
      <c r="AG863" s="203">
        <f t="shared" si="2"/>
        <v>1</v>
      </c>
      <c r="AH863" s="208">
        <f t="shared" si="3"/>
        <v>0</v>
      </c>
      <c r="AI863" s="208">
        <f t="shared" si="4"/>
        <v>0</v>
      </c>
      <c r="AJ863" s="207">
        <f t="shared" si="5"/>
        <v>44900</v>
      </c>
      <c r="AK863" s="207">
        <f t="shared" si="6"/>
        <v>44900</v>
      </c>
      <c r="AL863" s="123"/>
      <c r="AM863" s="123"/>
    </row>
    <row r="864">
      <c r="A864" s="203">
        <v>863.0</v>
      </c>
      <c r="B864" s="204">
        <v>44617.0</v>
      </c>
      <c r="C864" s="195" t="str">
        <f t="shared" si="7"/>
        <v>22022</v>
      </c>
      <c r="D864" s="205" t="s">
        <v>2084</v>
      </c>
      <c r="E864" s="203" t="s">
        <v>2085</v>
      </c>
      <c r="F864" s="205" t="s">
        <v>1556</v>
      </c>
      <c r="G864" s="203" t="s">
        <v>64</v>
      </c>
      <c r="H864" s="203" t="s">
        <v>41</v>
      </c>
      <c r="I864" s="203" t="s">
        <v>643</v>
      </c>
      <c r="J864" s="117"/>
      <c r="K864" s="117"/>
      <c r="L864" s="117"/>
      <c r="M864" s="117"/>
      <c r="N864" s="117"/>
      <c r="O864" s="117"/>
      <c r="P864" s="206">
        <v>1.0</v>
      </c>
      <c r="Q864" s="119"/>
      <c r="R864" s="119"/>
      <c r="S864" s="203" t="s">
        <v>167</v>
      </c>
      <c r="T864" s="203" t="s">
        <v>83</v>
      </c>
      <c r="U864" s="203" t="s">
        <v>99</v>
      </c>
      <c r="V864" s="203" t="s">
        <v>1984</v>
      </c>
      <c r="W864" s="121"/>
      <c r="X864" s="121"/>
      <c r="Y864" s="121"/>
      <c r="Z864" s="121"/>
      <c r="AA864" s="207">
        <v>6787.0</v>
      </c>
      <c r="AB864" s="207">
        <v>30541.0</v>
      </c>
      <c r="AC864" s="24" t="s">
        <v>2642</v>
      </c>
      <c r="AD864" s="195">
        <v>6862.0</v>
      </c>
      <c r="AE864" s="38"/>
      <c r="AF864" s="203" t="str">
        <f t="shared" si="1"/>
        <v>Capital Federal, Argentina</v>
      </c>
      <c r="AG864" s="203">
        <f t="shared" si="2"/>
        <v>1</v>
      </c>
      <c r="AH864" s="208">
        <f t="shared" si="3"/>
        <v>0</v>
      </c>
      <c r="AI864" s="208">
        <f t="shared" si="4"/>
        <v>0</v>
      </c>
      <c r="AJ864" s="207">
        <f t="shared" si="5"/>
        <v>37328</v>
      </c>
      <c r="AK864" s="207">
        <f t="shared" si="6"/>
        <v>37328</v>
      </c>
      <c r="AL864" s="123"/>
      <c r="AM864" s="123"/>
    </row>
    <row r="865">
      <c r="A865" s="203">
        <v>864.0</v>
      </c>
      <c r="B865" s="204">
        <v>44617.0</v>
      </c>
      <c r="C865" s="195" t="str">
        <f t="shared" si="7"/>
        <v>22022</v>
      </c>
      <c r="D865" s="205" t="s">
        <v>2084</v>
      </c>
      <c r="E865" s="203" t="s">
        <v>2085</v>
      </c>
      <c r="F865" s="205" t="s">
        <v>2643</v>
      </c>
      <c r="G865" s="203" t="s">
        <v>64</v>
      </c>
      <c r="H865" s="203" t="s">
        <v>41</v>
      </c>
      <c r="I865" s="203" t="s">
        <v>643</v>
      </c>
      <c r="J865" s="117"/>
      <c r="K865" s="117"/>
      <c r="L865" s="117"/>
      <c r="M865" s="117"/>
      <c r="N865" s="117"/>
      <c r="O865" s="117"/>
      <c r="P865" s="117"/>
      <c r="Q865" s="119"/>
      <c r="R865" s="119"/>
      <c r="S865" s="203" t="s">
        <v>167</v>
      </c>
      <c r="T865" s="203" t="s">
        <v>83</v>
      </c>
      <c r="U865" s="203" t="s">
        <v>99</v>
      </c>
      <c r="V865" s="203" t="s">
        <v>1984</v>
      </c>
      <c r="W865" s="207">
        <v>11650.0</v>
      </c>
      <c r="X865" s="207">
        <v>52425.0</v>
      </c>
      <c r="Y865" s="121"/>
      <c r="Z865" s="121"/>
      <c r="AA865" s="207">
        <v>0.0</v>
      </c>
      <c r="AB865" s="207">
        <v>0.0</v>
      </c>
      <c r="AC865" s="24" t="s">
        <v>2644</v>
      </c>
      <c r="AD865" s="195">
        <v>6868.0</v>
      </c>
      <c r="AE865" s="38"/>
      <c r="AF865" s="203" t="str">
        <f t="shared" si="1"/>
        <v>Capital Federal, Argentina</v>
      </c>
      <c r="AG865" s="203">
        <f t="shared" si="2"/>
        <v>0</v>
      </c>
      <c r="AH865" s="208">
        <f t="shared" si="3"/>
        <v>64075</v>
      </c>
      <c r="AI865" s="208">
        <f t="shared" si="4"/>
        <v>0</v>
      </c>
      <c r="AJ865" s="207">
        <f t="shared" si="5"/>
        <v>0</v>
      </c>
      <c r="AK865" s="207">
        <f t="shared" si="6"/>
        <v>64075</v>
      </c>
      <c r="AL865" s="123"/>
      <c r="AM865" s="123"/>
    </row>
    <row r="866">
      <c r="A866" s="203">
        <v>865.0</v>
      </c>
      <c r="B866" s="204">
        <v>44617.0</v>
      </c>
      <c r="C866" s="195" t="str">
        <f t="shared" si="7"/>
        <v>22022</v>
      </c>
      <c r="D866" s="205" t="s">
        <v>2116</v>
      </c>
      <c r="E866" s="203" t="s">
        <v>2117</v>
      </c>
      <c r="F866" s="205" t="s">
        <v>1423</v>
      </c>
      <c r="G866" s="203" t="s">
        <v>64</v>
      </c>
      <c r="H866" s="203" t="s">
        <v>41</v>
      </c>
      <c r="I866" s="203" t="s">
        <v>643</v>
      </c>
      <c r="J866" s="206">
        <v>1.0</v>
      </c>
      <c r="K866" s="117"/>
      <c r="L866" s="117"/>
      <c r="M866" s="117"/>
      <c r="N866" s="117"/>
      <c r="O866" s="117"/>
      <c r="P866" s="117"/>
      <c r="Q866" s="119"/>
      <c r="R866" s="119"/>
      <c r="S866" s="203" t="s">
        <v>114</v>
      </c>
      <c r="T866" s="203" t="s">
        <v>66</v>
      </c>
      <c r="U866" s="203" t="s">
        <v>99</v>
      </c>
      <c r="V866" s="203" t="s">
        <v>1984</v>
      </c>
      <c r="W866" s="121"/>
      <c r="X866" s="121"/>
      <c r="Y866" s="121"/>
      <c r="Z866" s="121"/>
      <c r="AA866" s="207">
        <v>9050.0</v>
      </c>
      <c r="AB866" s="207">
        <v>36200.0</v>
      </c>
      <c r="AC866" s="24" t="s">
        <v>2645</v>
      </c>
      <c r="AD866" s="195">
        <v>6872.0</v>
      </c>
      <c r="AE866" s="38"/>
      <c r="AF866" s="203" t="str">
        <f t="shared" si="1"/>
        <v>Buenos Aires, Argentina</v>
      </c>
      <c r="AG866" s="203">
        <f t="shared" si="2"/>
        <v>1</v>
      </c>
      <c r="AH866" s="208">
        <f t="shared" si="3"/>
        <v>0</v>
      </c>
      <c r="AI866" s="208">
        <f t="shared" si="4"/>
        <v>0</v>
      </c>
      <c r="AJ866" s="207">
        <f t="shared" si="5"/>
        <v>45250</v>
      </c>
      <c r="AK866" s="207">
        <f t="shared" si="6"/>
        <v>45250</v>
      </c>
      <c r="AL866" s="123"/>
      <c r="AM866" s="123"/>
    </row>
    <row r="867">
      <c r="A867" s="203">
        <v>866.0</v>
      </c>
      <c r="B867" s="204">
        <v>44617.0</v>
      </c>
      <c r="C867" s="195" t="str">
        <f t="shared" si="7"/>
        <v>22022</v>
      </c>
      <c r="D867" s="205" t="s">
        <v>2646</v>
      </c>
      <c r="E867" s="203" t="s">
        <v>2647</v>
      </c>
      <c r="F867" s="205" t="s">
        <v>2248</v>
      </c>
      <c r="G867" s="203" t="s">
        <v>64</v>
      </c>
      <c r="H867" s="203" t="s">
        <v>41</v>
      </c>
      <c r="I867" s="203" t="s">
        <v>643</v>
      </c>
      <c r="J867" s="117"/>
      <c r="K867" s="117"/>
      <c r="L867" s="117"/>
      <c r="M867" s="117"/>
      <c r="N867" s="117"/>
      <c r="O867" s="117"/>
      <c r="P867" s="117"/>
      <c r="Q867" s="119"/>
      <c r="R867" s="119"/>
      <c r="S867" s="203" t="s">
        <v>98</v>
      </c>
      <c r="T867" s="203" t="s">
        <v>66</v>
      </c>
      <c r="U867" s="203" t="s">
        <v>99</v>
      </c>
      <c r="V867" s="203" t="s">
        <v>1984</v>
      </c>
      <c r="W867" s="121"/>
      <c r="X867" s="121"/>
      <c r="Y867" s="121"/>
      <c r="Z867" s="121"/>
      <c r="AA867" s="207">
        <v>0.0</v>
      </c>
      <c r="AB867" s="207">
        <v>40725.0</v>
      </c>
      <c r="AC867" s="24" t="s">
        <v>2648</v>
      </c>
      <c r="AD867" s="195">
        <v>6876.0</v>
      </c>
      <c r="AE867" s="38"/>
      <c r="AF867" s="203" t="str">
        <f t="shared" si="1"/>
        <v>Buenos Aires, Argentina</v>
      </c>
      <c r="AG867" s="203">
        <f t="shared" si="2"/>
        <v>0</v>
      </c>
      <c r="AH867" s="208">
        <f t="shared" si="3"/>
        <v>0</v>
      </c>
      <c r="AI867" s="208">
        <f t="shared" si="4"/>
        <v>0</v>
      </c>
      <c r="AJ867" s="207">
        <f t="shared" si="5"/>
        <v>40725</v>
      </c>
      <c r="AK867" s="207">
        <f t="shared" si="6"/>
        <v>40725</v>
      </c>
      <c r="AL867" s="123"/>
      <c r="AM867" s="123"/>
    </row>
    <row r="868">
      <c r="A868" s="203">
        <v>867.0</v>
      </c>
      <c r="B868" s="204">
        <v>44617.0</v>
      </c>
      <c r="C868" s="195" t="str">
        <f t="shared" si="7"/>
        <v>22022</v>
      </c>
      <c r="D868" s="205" t="s">
        <v>2649</v>
      </c>
      <c r="E868" s="203" t="s">
        <v>2650</v>
      </c>
      <c r="F868" s="205" t="s">
        <v>1415</v>
      </c>
      <c r="G868" s="203" t="s">
        <v>64</v>
      </c>
      <c r="H868" s="203" t="s">
        <v>41</v>
      </c>
      <c r="I868" s="203" t="s">
        <v>643</v>
      </c>
      <c r="J868" s="117"/>
      <c r="K868" s="206">
        <v>1.0</v>
      </c>
      <c r="L868" s="117"/>
      <c r="M868" s="117"/>
      <c r="N868" s="117"/>
      <c r="O868" s="117"/>
      <c r="P868" s="117"/>
      <c r="Q868" s="119"/>
      <c r="R868" s="119"/>
      <c r="S868" s="203" t="s">
        <v>51</v>
      </c>
      <c r="T868" s="203" t="s">
        <v>83</v>
      </c>
      <c r="U868" s="203" t="s">
        <v>99</v>
      </c>
      <c r="V868" s="203" t="s">
        <v>1984</v>
      </c>
      <c r="W868" s="121"/>
      <c r="X868" s="121"/>
      <c r="Y868" s="121"/>
      <c r="Z868" s="121"/>
      <c r="AA868" s="207">
        <v>6787.0</v>
      </c>
      <c r="AB868" s="207">
        <v>27148.0</v>
      </c>
      <c r="AC868" s="24" t="s">
        <v>2651</v>
      </c>
      <c r="AD868" s="195">
        <v>6880.0</v>
      </c>
      <c r="AE868" s="38"/>
      <c r="AF868" s="203" t="str">
        <f t="shared" si="1"/>
        <v>Capital Federal, Argentina</v>
      </c>
      <c r="AG868" s="203">
        <f t="shared" si="2"/>
        <v>1</v>
      </c>
      <c r="AH868" s="208">
        <f t="shared" si="3"/>
        <v>0</v>
      </c>
      <c r="AI868" s="208">
        <f t="shared" si="4"/>
        <v>0</v>
      </c>
      <c r="AJ868" s="207">
        <f t="shared" si="5"/>
        <v>33935</v>
      </c>
      <c r="AK868" s="207">
        <f t="shared" si="6"/>
        <v>33935</v>
      </c>
      <c r="AL868" s="123"/>
      <c r="AM868" s="123"/>
    </row>
    <row r="869">
      <c r="A869" s="203">
        <v>868.0</v>
      </c>
      <c r="B869" s="204">
        <v>44617.0</v>
      </c>
      <c r="C869" s="195" t="str">
        <f t="shared" si="7"/>
        <v>22022</v>
      </c>
      <c r="D869" s="205" t="s">
        <v>2274</v>
      </c>
      <c r="E869" s="203" t="s">
        <v>2275</v>
      </c>
      <c r="F869" s="205" t="s">
        <v>1415</v>
      </c>
      <c r="G869" s="203" t="s">
        <v>64</v>
      </c>
      <c r="H869" s="203" t="s">
        <v>41</v>
      </c>
      <c r="I869" s="203" t="s">
        <v>643</v>
      </c>
      <c r="J869" s="117"/>
      <c r="K869" s="206">
        <v>1.0</v>
      </c>
      <c r="L869" s="117"/>
      <c r="M869" s="117"/>
      <c r="N869" s="117"/>
      <c r="O869" s="117"/>
      <c r="P869" s="117"/>
      <c r="Q869" s="119"/>
      <c r="R869" s="119"/>
      <c r="S869" s="203" t="s">
        <v>109</v>
      </c>
      <c r="T869" s="203" t="s">
        <v>66</v>
      </c>
      <c r="U869" s="203" t="s">
        <v>99</v>
      </c>
      <c r="V869" s="203" t="s">
        <v>1984</v>
      </c>
      <c r="W869" s="121"/>
      <c r="X869" s="121"/>
      <c r="Y869" s="121"/>
      <c r="Z869" s="121"/>
      <c r="AA869" s="207">
        <v>6787.0</v>
      </c>
      <c r="AB869" s="207">
        <v>30541.0</v>
      </c>
      <c r="AC869" s="24" t="s">
        <v>2652</v>
      </c>
      <c r="AD869" s="195">
        <v>6894.0</v>
      </c>
      <c r="AE869" s="38"/>
      <c r="AF869" s="203" t="str">
        <f t="shared" si="1"/>
        <v>Buenos Aires, Argentina</v>
      </c>
      <c r="AG869" s="203">
        <f t="shared" si="2"/>
        <v>1</v>
      </c>
      <c r="AH869" s="208">
        <f t="shared" si="3"/>
        <v>0</v>
      </c>
      <c r="AI869" s="208">
        <f t="shared" si="4"/>
        <v>0</v>
      </c>
      <c r="AJ869" s="207">
        <f t="shared" si="5"/>
        <v>37328</v>
      </c>
      <c r="AK869" s="207">
        <f t="shared" si="6"/>
        <v>37328</v>
      </c>
      <c r="AL869" s="123"/>
      <c r="AM869" s="123"/>
    </row>
    <row r="870">
      <c r="A870" s="203">
        <v>869.0</v>
      </c>
      <c r="B870" s="204">
        <v>44617.0</v>
      </c>
      <c r="C870" s="195" t="str">
        <f t="shared" si="7"/>
        <v>22022</v>
      </c>
      <c r="D870" s="205" t="s">
        <v>2653</v>
      </c>
      <c r="E870" s="203" t="s">
        <v>2654</v>
      </c>
      <c r="F870" s="205" t="s">
        <v>2237</v>
      </c>
      <c r="G870" s="203" t="s">
        <v>40</v>
      </c>
      <c r="H870" s="203" t="s">
        <v>41</v>
      </c>
      <c r="I870" s="203" t="s">
        <v>643</v>
      </c>
      <c r="J870" s="206">
        <v>1.0</v>
      </c>
      <c r="K870" s="206">
        <v>2.0</v>
      </c>
      <c r="L870" s="117"/>
      <c r="M870" s="206">
        <v>1.0</v>
      </c>
      <c r="N870" s="117"/>
      <c r="O870" s="117"/>
      <c r="P870" s="117"/>
      <c r="Q870" s="119"/>
      <c r="R870" s="119"/>
      <c r="S870" s="203" t="s">
        <v>65</v>
      </c>
      <c r="T870" s="203" t="s">
        <v>58</v>
      </c>
      <c r="U870" s="203" t="s">
        <v>342</v>
      </c>
      <c r="V870" s="203" t="s">
        <v>84</v>
      </c>
      <c r="W870" s="121"/>
      <c r="X870" s="121"/>
      <c r="Y870" s="121"/>
      <c r="Z870" s="121"/>
      <c r="AA870" s="207">
        <v>31674.0</v>
      </c>
      <c r="AB870" s="207">
        <v>110859.0</v>
      </c>
      <c r="AC870" s="24" t="s">
        <v>2655</v>
      </c>
      <c r="AD870" s="195">
        <v>6898.0</v>
      </c>
      <c r="AE870" s="38"/>
      <c r="AF870" s="203" t="str">
        <f t="shared" si="1"/>
        <v>Córdoba, Argentina</v>
      </c>
      <c r="AG870" s="203">
        <f t="shared" si="2"/>
        <v>4</v>
      </c>
      <c r="AH870" s="208">
        <f t="shared" si="3"/>
        <v>0</v>
      </c>
      <c r="AI870" s="208">
        <f t="shared" si="4"/>
        <v>0</v>
      </c>
      <c r="AJ870" s="207">
        <f t="shared" si="5"/>
        <v>142533</v>
      </c>
      <c r="AK870" s="207">
        <f t="shared" si="6"/>
        <v>142533</v>
      </c>
      <c r="AL870" s="123"/>
      <c r="AM870" s="123"/>
    </row>
    <row r="871">
      <c r="A871" s="203">
        <v>870.0</v>
      </c>
      <c r="B871" s="204">
        <v>44617.0</v>
      </c>
      <c r="C871" s="195" t="str">
        <f t="shared" si="7"/>
        <v>22022</v>
      </c>
      <c r="D871" s="205" t="s">
        <v>2397</v>
      </c>
      <c r="E871" s="203" t="s">
        <v>2398</v>
      </c>
      <c r="F871" s="205" t="s">
        <v>2656</v>
      </c>
      <c r="G871" s="203" t="s">
        <v>64</v>
      </c>
      <c r="H871" s="203" t="s">
        <v>41</v>
      </c>
      <c r="I871" s="203" t="s">
        <v>643</v>
      </c>
      <c r="J871" s="117"/>
      <c r="K871" s="117"/>
      <c r="L871" s="117"/>
      <c r="M871" s="117"/>
      <c r="N871" s="117"/>
      <c r="O871" s="117"/>
      <c r="P871" s="117"/>
      <c r="Q871" s="119"/>
      <c r="R871" s="119"/>
      <c r="S871" s="203" t="s">
        <v>98</v>
      </c>
      <c r="T871" s="203" t="s">
        <v>66</v>
      </c>
      <c r="U871" s="203" t="s">
        <v>99</v>
      </c>
      <c r="V871" s="203" t="s">
        <v>1984</v>
      </c>
      <c r="W871" s="207">
        <v>7150.0</v>
      </c>
      <c r="X871" s="207">
        <v>0.0</v>
      </c>
      <c r="Y871" s="121"/>
      <c r="Z871" s="121"/>
      <c r="AA871" s="207">
        <v>0.0</v>
      </c>
      <c r="AB871" s="207">
        <v>0.0</v>
      </c>
      <c r="AC871" s="24" t="s">
        <v>2657</v>
      </c>
      <c r="AD871" s="195">
        <v>6906.0</v>
      </c>
      <c r="AE871" s="38"/>
      <c r="AF871" s="203" t="str">
        <f t="shared" si="1"/>
        <v>Buenos Aires, Argentina</v>
      </c>
      <c r="AG871" s="203">
        <f t="shared" si="2"/>
        <v>0</v>
      </c>
      <c r="AH871" s="208">
        <f t="shared" si="3"/>
        <v>7150</v>
      </c>
      <c r="AI871" s="208">
        <f t="shared" si="4"/>
        <v>0</v>
      </c>
      <c r="AJ871" s="207">
        <f t="shared" si="5"/>
        <v>0</v>
      </c>
      <c r="AK871" s="207">
        <f t="shared" si="6"/>
        <v>7150</v>
      </c>
      <c r="AL871" s="123"/>
      <c r="AM871" s="123"/>
    </row>
    <row r="872">
      <c r="A872" s="203">
        <v>871.0</v>
      </c>
      <c r="B872" s="204">
        <v>44617.0</v>
      </c>
      <c r="C872" s="195" t="str">
        <f t="shared" si="7"/>
        <v>22022</v>
      </c>
      <c r="D872" s="205" t="s">
        <v>1270</v>
      </c>
      <c r="E872" s="203" t="s">
        <v>2658</v>
      </c>
      <c r="F872" s="205" t="s">
        <v>1415</v>
      </c>
      <c r="G872" s="203" t="s">
        <v>64</v>
      </c>
      <c r="H872" s="203" t="s">
        <v>547</v>
      </c>
      <c r="I872" s="203" t="s">
        <v>643</v>
      </c>
      <c r="J872" s="117"/>
      <c r="K872" s="206">
        <v>1.0</v>
      </c>
      <c r="L872" s="117"/>
      <c r="M872" s="117"/>
      <c r="N872" s="117"/>
      <c r="O872" s="117"/>
      <c r="P872" s="117"/>
      <c r="Q872" s="119"/>
      <c r="R872" s="119"/>
      <c r="S872" s="203" t="s">
        <v>114</v>
      </c>
      <c r="T872" s="203" t="s">
        <v>66</v>
      </c>
      <c r="U872" s="203" t="s">
        <v>99</v>
      </c>
      <c r="V872" s="203" t="s">
        <v>1984</v>
      </c>
      <c r="W872" s="121"/>
      <c r="X872" s="121"/>
      <c r="Y872" s="121"/>
      <c r="Z872" s="121"/>
      <c r="AA872" s="207">
        <v>4072.0</v>
      </c>
      <c r="AB872" s="207">
        <v>11402.0</v>
      </c>
      <c r="AC872" s="24" t="s">
        <v>2659</v>
      </c>
      <c r="AD872" s="195">
        <v>6912.0</v>
      </c>
      <c r="AE872" s="38"/>
      <c r="AF872" s="203" t="str">
        <f t="shared" si="1"/>
        <v>Buenos Aires, Argentina</v>
      </c>
      <c r="AG872" s="203">
        <f t="shared" si="2"/>
        <v>1</v>
      </c>
      <c r="AH872" s="208">
        <f t="shared" si="3"/>
        <v>0</v>
      </c>
      <c r="AI872" s="208">
        <f t="shared" si="4"/>
        <v>0</v>
      </c>
      <c r="AJ872" s="207">
        <f t="shared" si="5"/>
        <v>15474</v>
      </c>
      <c r="AK872" s="207">
        <f t="shared" si="6"/>
        <v>15474</v>
      </c>
      <c r="AL872" s="123"/>
      <c r="AM872" s="123"/>
    </row>
    <row r="873">
      <c r="A873" s="203">
        <v>872.0</v>
      </c>
      <c r="B873" s="204">
        <v>44617.0</v>
      </c>
      <c r="C873" s="38"/>
      <c r="D873" s="205" t="s">
        <v>2084</v>
      </c>
      <c r="E873" s="203" t="s">
        <v>2085</v>
      </c>
      <c r="F873" s="205" t="s">
        <v>1423</v>
      </c>
      <c r="G873" s="203" t="s">
        <v>64</v>
      </c>
      <c r="H873" s="203" t="s">
        <v>41</v>
      </c>
      <c r="I873" s="203" t="s">
        <v>643</v>
      </c>
      <c r="J873" s="206">
        <v>1.0</v>
      </c>
      <c r="K873" s="117"/>
      <c r="L873" s="117"/>
      <c r="M873" s="117"/>
      <c r="N873" s="117"/>
      <c r="O873" s="117"/>
      <c r="P873" s="117"/>
      <c r="Q873" s="119"/>
      <c r="R873" s="119"/>
      <c r="S873" s="203" t="s">
        <v>167</v>
      </c>
      <c r="T873" s="203" t="s">
        <v>83</v>
      </c>
      <c r="U873" s="203" t="s">
        <v>99</v>
      </c>
      <c r="V873" s="203" t="s">
        <v>1984</v>
      </c>
      <c r="W873" s="121"/>
      <c r="X873" s="121"/>
      <c r="Y873" s="121"/>
      <c r="Z873" s="121"/>
      <c r="AA873" s="207">
        <v>9050.0</v>
      </c>
      <c r="AB873" s="207">
        <v>36200.0</v>
      </c>
      <c r="AC873" s="24" t="s">
        <v>2660</v>
      </c>
      <c r="AD873" s="195">
        <v>6936.0</v>
      </c>
      <c r="AE873" s="38"/>
      <c r="AF873" s="203" t="str">
        <f t="shared" si="1"/>
        <v>Capital Federal, Argentina</v>
      </c>
      <c r="AG873" s="203">
        <f t="shared" si="2"/>
        <v>1</v>
      </c>
      <c r="AH873" s="208">
        <f t="shared" si="3"/>
        <v>0</v>
      </c>
      <c r="AI873" s="208">
        <f t="shared" si="4"/>
        <v>0</v>
      </c>
      <c r="AJ873" s="207">
        <f t="shared" si="5"/>
        <v>45250</v>
      </c>
      <c r="AK873" s="207">
        <f t="shared" si="6"/>
        <v>45250</v>
      </c>
      <c r="AL873" s="123"/>
      <c r="AM873" s="123"/>
    </row>
    <row r="874">
      <c r="A874" s="209">
        <v>873.0</v>
      </c>
      <c r="B874" s="210">
        <v>44624.0</v>
      </c>
      <c r="C874" s="195" t="str">
        <f t="shared" ref="C874:C994" si="8">IF(B874&lt;&gt;"",CONCATENATE(MONTH(B874),YEAR(B874)),0)</f>
        <v>32022</v>
      </c>
      <c r="D874" s="211" t="s">
        <v>2661</v>
      </c>
      <c r="E874" s="209" t="s">
        <v>531</v>
      </c>
      <c r="F874" s="211" t="s">
        <v>1412</v>
      </c>
      <c r="G874" s="209" t="s">
        <v>64</v>
      </c>
      <c r="H874" s="209" t="s">
        <v>41</v>
      </c>
      <c r="I874" s="209" t="s">
        <v>643</v>
      </c>
      <c r="J874" s="212">
        <v>2.0</v>
      </c>
      <c r="K874" s="151"/>
      <c r="L874" s="151"/>
      <c r="M874" s="151"/>
      <c r="N874" s="151"/>
      <c r="O874" s="151"/>
      <c r="P874" s="151"/>
      <c r="Q874" s="152"/>
      <c r="R874" s="152"/>
      <c r="S874" s="209" t="s">
        <v>89</v>
      </c>
      <c r="T874" s="209" t="s">
        <v>66</v>
      </c>
      <c r="U874" s="209" t="s">
        <v>99</v>
      </c>
      <c r="V874" s="209" t="s">
        <v>1984</v>
      </c>
      <c r="W874" s="153"/>
      <c r="X874" s="153"/>
      <c r="Y874" s="153"/>
      <c r="Z874" s="153"/>
      <c r="AA874" s="213">
        <v>18900.0</v>
      </c>
      <c r="AB874" s="213">
        <v>85050.0</v>
      </c>
      <c r="AC874" s="24" t="s">
        <v>2662</v>
      </c>
      <c r="AD874" s="195">
        <v>6918.0</v>
      </c>
      <c r="AE874" s="38"/>
      <c r="AF874" s="209" t="str">
        <f t="shared" si="1"/>
        <v>Buenos Aires, Argentina</v>
      </c>
      <c r="AG874" s="209">
        <f t="shared" si="2"/>
        <v>2</v>
      </c>
      <c r="AH874" s="214">
        <f t="shared" si="3"/>
        <v>0</v>
      </c>
      <c r="AI874" s="214">
        <f t="shared" si="4"/>
        <v>0</v>
      </c>
      <c r="AJ874" s="213">
        <f t="shared" si="5"/>
        <v>103950</v>
      </c>
      <c r="AK874" s="213">
        <f t="shared" si="6"/>
        <v>103950</v>
      </c>
      <c r="AL874" s="156"/>
      <c r="AM874" s="156"/>
    </row>
    <row r="875">
      <c r="A875" s="209">
        <v>874.0</v>
      </c>
      <c r="B875" s="210">
        <v>44628.0</v>
      </c>
      <c r="C875" s="195" t="str">
        <f t="shared" si="8"/>
        <v>32022</v>
      </c>
      <c r="D875" s="211" t="s">
        <v>2663</v>
      </c>
      <c r="E875" s="209" t="s">
        <v>2664</v>
      </c>
      <c r="F875" s="211" t="s">
        <v>2141</v>
      </c>
      <c r="G875" s="209" t="s">
        <v>40</v>
      </c>
      <c r="H875" s="209" t="s">
        <v>41</v>
      </c>
      <c r="I875" s="209" t="s">
        <v>643</v>
      </c>
      <c r="J875" s="212">
        <v>1.0</v>
      </c>
      <c r="K875" s="212">
        <v>1.0</v>
      </c>
      <c r="L875" s="151"/>
      <c r="M875" s="212">
        <v>1.0</v>
      </c>
      <c r="N875" s="151"/>
      <c r="O875" s="151"/>
      <c r="P875" s="151"/>
      <c r="Q875" s="152"/>
      <c r="R875" s="152"/>
      <c r="S875" s="209" t="s">
        <v>65</v>
      </c>
      <c r="T875" s="209" t="s">
        <v>73</v>
      </c>
      <c r="U875" s="209" t="s">
        <v>45</v>
      </c>
      <c r="V875" s="209" t="s">
        <v>84</v>
      </c>
      <c r="W875" s="153"/>
      <c r="X875" s="153"/>
      <c r="Y875" s="153"/>
      <c r="Z875" s="153"/>
      <c r="AA875" s="213">
        <v>25988.0</v>
      </c>
      <c r="AB875" s="213">
        <v>90958.0</v>
      </c>
      <c r="AC875" s="24" t="s">
        <v>2665</v>
      </c>
      <c r="AD875" s="195">
        <v>6940.0</v>
      </c>
      <c r="AE875" s="38"/>
      <c r="AF875" s="209" t="str">
        <f t="shared" si="1"/>
        <v>Tierra de Fuego, Argentina</v>
      </c>
      <c r="AG875" s="209">
        <f t="shared" si="2"/>
        <v>3</v>
      </c>
      <c r="AH875" s="214">
        <f t="shared" si="3"/>
        <v>0</v>
      </c>
      <c r="AI875" s="214">
        <f t="shared" si="4"/>
        <v>0</v>
      </c>
      <c r="AJ875" s="213">
        <f t="shared" si="5"/>
        <v>116946</v>
      </c>
      <c r="AK875" s="213">
        <f t="shared" si="6"/>
        <v>116946</v>
      </c>
      <c r="AL875" s="156"/>
      <c r="AM875" s="156"/>
    </row>
    <row r="876">
      <c r="A876" s="209">
        <v>875.0</v>
      </c>
      <c r="B876" s="210">
        <v>44629.0</v>
      </c>
      <c r="C876" s="195" t="str">
        <f t="shared" si="8"/>
        <v>32022</v>
      </c>
      <c r="D876" s="211" t="s">
        <v>2666</v>
      </c>
      <c r="E876" s="209" t="s">
        <v>2667</v>
      </c>
      <c r="F876" s="211" t="s">
        <v>1427</v>
      </c>
      <c r="G876" s="209" t="s">
        <v>64</v>
      </c>
      <c r="H876" s="209" t="s">
        <v>41</v>
      </c>
      <c r="I876" s="209" t="s">
        <v>643</v>
      </c>
      <c r="J876" s="151"/>
      <c r="K876" s="212">
        <v>2.0</v>
      </c>
      <c r="L876" s="151"/>
      <c r="M876" s="151"/>
      <c r="N876" s="151"/>
      <c r="O876" s="151"/>
      <c r="P876" s="151"/>
      <c r="Q876" s="152"/>
      <c r="R876" s="152"/>
      <c r="S876" s="209" t="s">
        <v>204</v>
      </c>
      <c r="T876" s="209" t="s">
        <v>83</v>
      </c>
      <c r="U876" s="209" t="s">
        <v>99</v>
      </c>
      <c r="V876" s="209" t="s">
        <v>1984</v>
      </c>
      <c r="W876" s="153"/>
      <c r="X876" s="153"/>
      <c r="Y876" s="153"/>
      <c r="Z876" s="153"/>
      <c r="AA876" s="213">
        <v>14176.0</v>
      </c>
      <c r="AB876" s="213">
        <v>63792.0</v>
      </c>
      <c r="AC876" s="24" t="s">
        <v>2668</v>
      </c>
      <c r="AD876" s="195">
        <v>6950.0</v>
      </c>
      <c r="AE876" s="38"/>
      <c r="AF876" s="209" t="str">
        <f t="shared" si="1"/>
        <v>Capital Federal, Argentina</v>
      </c>
      <c r="AG876" s="209">
        <f t="shared" si="2"/>
        <v>2</v>
      </c>
      <c r="AH876" s="214">
        <f t="shared" si="3"/>
        <v>0</v>
      </c>
      <c r="AI876" s="214">
        <f t="shared" si="4"/>
        <v>0</v>
      </c>
      <c r="AJ876" s="213">
        <f t="shared" si="5"/>
        <v>77968</v>
      </c>
      <c r="AK876" s="213">
        <f t="shared" si="6"/>
        <v>77968</v>
      </c>
      <c r="AL876" s="156"/>
      <c r="AM876" s="156"/>
    </row>
    <row r="877">
      <c r="A877" s="209">
        <v>876.0</v>
      </c>
      <c r="B877" s="210">
        <v>44629.0</v>
      </c>
      <c r="C877" s="195" t="str">
        <f t="shared" si="8"/>
        <v>32022</v>
      </c>
      <c r="D877" s="211" t="s">
        <v>2669</v>
      </c>
      <c r="E877" s="209" t="s">
        <v>2670</v>
      </c>
      <c r="F877" s="211" t="s">
        <v>1592</v>
      </c>
      <c r="G877" s="209" t="s">
        <v>40</v>
      </c>
      <c r="H877" s="209" t="s">
        <v>41</v>
      </c>
      <c r="I877" s="209" t="s">
        <v>643</v>
      </c>
      <c r="J877" s="212">
        <v>1.0</v>
      </c>
      <c r="K877" s="212">
        <v>1.0</v>
      </c>
      <c r="L877" s="151"/>
      <c r="M877" s="151"/>
      <c r="N877" s="151"/>
      <c r="O877" s="151"/>
      <c r="P877" s="151"/>
      <c r="Q877" s="152"/>
      <c r="R877" s="152"/>
      <c r="S877" s="209" t="s">
        <v>105</v>
      </c>
      <c r="T877" s="209" t="s">
        <v>73</v>
      </c>
      <c r="U877" s="209" t="s">
        <v>342</v>
      </c>
      <c r="V877" s="209" t="s">
        <v>1984</v>
      </c>
      <c r="W877" s="153"/>
      <c r="X877" s="153"/>
      <c r="Y877" s="153"/>
      <c r="Z877" s="153"/>
      <c r="AA877" s="213">
        <v>16538.0</v>
      </c>
      <c r="AB877" s="213">
        <v>88832.0</v>
      </c>
      <c r="AC877" s="24" t="s">
        <v>2671</v>
      </c>
      <c r="AD877" s="195">
        <v>6952.0</v>
      </c>
      <c r="AE877" s="38"/>
      <c r="AF877" s="209" t="str">
        <f t="shared" si="1"/>
        <v>Tierra de Fuego, Argentina</v>
      </c>
      <c r="AG877" s="209">
        <f t="shared" si="2"/>
        <v>2</v>
      </c>
      <c r="AH877" s="214">
        <f t="shared" si="3"/>
        <v>0</v>
      </c>
      <c r="AI877" s="214">
        <f t="shared" si="4"/>
        <v>0</v>
      </c>
      <c r="AJ877" s="213">
        <f t="shared" si="5"/>
        <v>105370</v>
      </c>
      <c r="AK877" s="213">
        <f t="shared" si="6"/>
        <v>105370</v>
      </c>
      <c r="AL877" s="156"/>
      <c r="AM877" s="156"/>
    </row>
    <row r="878">
      <c r="A878" s="209">
        <v>877.0</v>
      </c>
      <c r="B878" s="210">
        <v>44629.0</v>
      </c>
      <c r="C878" s="195" t="str">
        <f t="shared" si="8"/>
        <v>32022</v>
      </c>
      <c r="D878" s="211" t="s">
        <v>2672</v>
      </c>
      <c r="E878" s="209" t="s">
        <v>2673</v>
      </c>
      <c r="F878" s="211" t="s">
        <v>2141</v>
      </c>
      <c r="G878" s="209" t="s">
        <v>40</v>
      </c>
      <c r="H878" s="209" t="s">
        <v>547</v>
      </c>
      <c r="I878" s="209" t="s">
        <v>643</v>
      </c>
      <c r="J878" s="212">
        <v>1.0</v>
      </c>
      <c r="K878" s="212">
        <v>1.0</v>
      </c>
      <c r="L878" s="151"/>
      <c r="M878" s="212">
        <v>1.0</v>
      </c>
      <c r="N878" s="151"/>
      <c r="O878" s="151"/>
      <c r="P878" s="151"/>
      <c r="Q878" s="152"/>
      <c r="R878" s="152"/>
      <c r="S878" s="209" t="s">
        <v>114</v>
      </c>
      <c r="T878" s="209" t="s">
        <v>66</v>
      </c>
      <c r="U878" s="209" t="s">
        <v>342</v>
      </c>
      <c r="V878" s="209" t="s">
        <v>84</v>
      </c>
      <c r="W878" s="153"/>
      <c r="X878" s="153"/>
      <c r="Y878" s="153"/>
      <c r="Z878" s="153"/>
      <c r="AA878" s="213">
        <v>15593.0</v>
      </c>
      <c r="AB878" s="213">
        <v>38203.0</v>
      </c>
      <c r="AC878" s="24" t="s">
        <v>2674</v>
      </c>
      <c r="AD878" s="195">
        <v>6948.0</v>
      </c>
      <c r="AE878" s="38"/>
      <c r="AF878" s="209" t="str">
        <f t="shared" si="1"/>
        <v>Buenos Aires, Argentina</v>
      </c>
      <c r="AG878" s="209">
        <f t="shared" si="2"/>
        <v>3</v>
      </c>
      <c r="AH878" s="214">
        <f t="shared" si="3"/>
        <v>0</v>
      </c>
      <c r="AI878" s="214">
        <f t="shared" si="4"/>
        <v>0</v>
      </c>
      <c r="AJ878" s="213">
        <f t="shared" si="5"/>
        <v>53796</v>
      </c>
      <c r="AK878" s="213">
        <f t="shared" si="6"/>
        <v>53796</v>
      </c>
      <c r="AL878" s="156"/>
      <c r="AM878" s="156"/>
    </row>
    <row r="879">
      <c r="A879" s="209">
        <v>878.0</v>
      </c>
      <c r="B879" s="210">
        <v>44630.0</v>
      </c>
      <c r="C879" s="195" t="str">
        <f t="shared" si="8"/>
        <v>32022</v>
      </c>
      <c r="D879" s="211" t="s">
        <v>2675</v>
      </c>
      <c r="E879" s="209" t="s">
        <v>1833</v>
      </c>
      <c r="F879" s="211" t="s">
        <v>1423</v>
      </c>
      <c r="G879" s="209" t="s">
        <v>64</v>
      </c>
      <c r="H879" s="209" t="s">
        <v>41</v>
      </c>
      <c r="I879" s="209" t="s">
        <v>643</v>
      </c>
      <c r="J879" s="212">
        <v>1.0</v>
      </c>
      <c r="K879" s="151"/>
      <c r="L879" s="151"/>
      <c r="M879" s="151"/>
      <c r="N879" s="151"/>
      <c r="O879" s="151"/>
      <c r="P879" s="151"/>
      <c r="Q879" s="152"/>
      <c r="R879" s="152"/>
      <c r="S879" s="209" t="s">
        <v>189</v>
      </c>
      <c r="T879" s="209" t="s">
        <v>44</v>
      </c>
      <c r="U879" s="209" t="s">
        <v>99</v>
      </c>
      <c r="V879" s="209" t="s">
        <v>1984</v>
      </c>
      <c r="W879" s="153"/>
      <c r="X879" s="153"/>
      <c r="Y879" s="153"/>
      <c r="Z879" s="153"/>
      <c r="AA879" s="213">
        <v>9450.0</v>
      </c>
      <c r="AB879" s="213">
        <v>37800.0</v>
      </c>
      <c r="AC879" s="24" t="s">
        <v>2676</v>
      </c>
      <c r="AD879" s="195">
        <v>6966.0</v>
      </c>
      <c r="AE879" s="38"/>
      <c r="AF879" s="209" t="str">
        <f t="shared" si="1"/>
        <v>Mendoza, Argentina</v>
      </c>
      <c r="AG879" s="209">
        <f t="shared" si="2"/>
        <v>1</v>
      </c>
      <c r="AH879" s="214">
        <f t="shared" si="3"/>
        <v>0</v>
      </c>
      <c r="AI879" s="214">
        <f t="shared" si="4"/>
        <v>0</v>
      </c>
      <c r="AJ879" s="213">
        <f t="shared" si="5"/>
        <v>47250</v>
      </c>
      <c r="AK879" s="213">
        <f t="shared" si="6"/>
        <v>47250</v>
      </c>
      <c r="AL879" s="156"/>
      <c r="AM879" s="156"/>
    </row>
    <row r="880">
      <c r="A880" s="209">
        <v>879.0</v>
      </c>
      <c r="B880" s="210">
        <v>44634.0</v>
      </c>
      <c r="C880" s="195" t="str">
        <f t="shared" si="8"/>
        <v>32022</v>
      </c>
      <c r="D880" s="211" t="s">
        <v>2677</v>
      </c>
      <c r="E880" s="209" t="s">
        <v>2678</v>
      </c>
      <c r="F880" s="211" t="s">
        <v>1423</v>
      </c>
      <c r="G880" s="209" t="s">
        <v>64</v>
      </c>
      <c r="H880" s="209" t="s">
        <v>41</v>
      </c>
      <c r="I880" s="209" t="s">
        <v>643</v>
      </c>
      <c r="J880" s="212">
        <v>1.0</v>
      </c>
      <c r="K880" s="151"/>
      <c r="L880" s="151"/>
      <c r="M880" s="151"/>
      <c r="N880" s="151"/>
      <c r="O880" s="151"/>
      <c r="P880" s="151"/>
      <c r="Q880" s="152"/>
      <c r="R880" s="152"/>
      <c r="S880" s="209" t="s">
        <v>105</v>
      </c>
      <c r="T880" s="209" t="s">
        <v>83</v>
      </c>
      <c r="U880" s="209" t="s">
        <v>99</v>
      </c>
      <c r="V880" s="209" t="s">
        <v>1984</v>
      </c>
      <c r="W880" s="153"/>
      <c r="X880" s="153"/>
      <c r="Y880" s="153"/>
      <c r="Z880" s="153"/>
      <c r="AA880" s="213">
        <v>9450.0</v>
      </c>
      <c r="AB880" s="213">
        <v>42525.0</v>
      </c>
      <c r="AC880" s="24" t="s">
        <v>2679</v>
      </c>
      <c r="AD880" s="195">
        <v>6972.0</v>
      </c>
      <c r="AE880" s="38"/>
      <c r="AF880" s="209" t="str">
        <f t="shared" si="1"/>
        <v>Capital Federal, Argentina</v>
      </c>
      <c r="AG880" s="209">
        <f t="shared" si="2"/>
        <v>1</v>
      </c>
      <c r="AH880" s="214">
        <f t="shared" si="3"/>
        <v>0</v>
      </c>
      <c r="AI880" s="214">
        <f t="shared" si="4"/>
        <v>0</v>
      </c>
      <c r="AJ880" s="213">
        <f t="shared" si="5"/>
        <v>51975</v>
      </c>
      <c r="AK880" s="213">
        <f t="shared" si="6"/>
        <v>51975</v>
      </c>
      <c r="AL880" s="156"/>
      <c r="AM880" s="156"/>
    </row>
    <row r="881">
      <c r="A881" s="209">
        <v>880.0</v>
      </c>
      <c r="B881" s="210">
        <v>44641.0</v>
      </c>
      <c r="C881" s="195" t="str">
        <f t="shared" si="8"/>
        <v>32022</v>
      </c>
      <c r="D881" s="211" t="s">
        <v>2604</v>
      </c>
      <c r="E881" s="209" t="s">
        <v>2605</v>
      </c>
      <c r="F881" s="211" t="s">
        <v>1415</v>
      </c>
      <c r="G881" s="209" t="s">
        <v>64</v>
      </c>
      <c r="H881" s="209" t="s">
        <v>41</v>
      </c>
      <c r="I881" s="209" t="s">
        <v>643</v>
      </c>
      <c r="J881" s="151"/>
      <c r="K881" s="212">
        <v>1.0</v>
      </c>
      <c r="L881" s="151"/>
      <c r="M881" s="151"/>
      <c r="N881" s="151"/>
      <c r="O881" s="151"/>
      <c r="P881" s="151"/>
      <c r="Q881" s="152"/>
      <c r="R881" s="152"/>
      <c r="S881" s="209" t="s">
        <v>65</v>
      </c>
      <c r="T881" s="209" t="s">
        <v>83</v>
      </c>
      <c r="U881" s="209" t="s">
        <v>99</v>
      </c>
      <c r="V881" s="209" t="s">
        <v>1984</v>
      </c>
      <c r="W881" s="153"/>
      <c r="X881" s="153"/>
      <c r="Y881" s="153"/>
      <c r="Z881" s="153"/>
      <c r="AA881" s="213">
        <v>7088.0</v>
      </c>
      <c r="AB881" s="213">
        <v>28352.0</v>
      </c>
      <c r="AC881" s="24" t="s">
        <v>2680</v>
      </c>
      <c r="AD881" s="195">
        <v>6978.0</v>
      </c>
      <c r="AE881" s="38"/>
      <c r="AF881" s="209" t="str">
        <f t="shared" si="1"/>
        <v>Capital Federal, Argentina</v>
      </c>
      <c r="AG881" s="209">
        <f t="shared" si="2"/>
        <v>1</v>
      </c>
      <c r="AH881" s="214">
        <f t="shared" si="3"/>
        <v>0</v>
      </c>
      <c r="AI881" s="214">
        <f t="shared" si="4"/>
        <v>0</v>
      </c>
      <c r="AJ881" s="213">
        <f t="shared" si="5"/>
        <v>35440</v>
      </c>
      <c r="AK881" s="213">
        <f t="shared" si="6"/>
        <v>35440</v>
      </c>
      <c r="AL881" s="156"/>
      <c r="AM881" s="156"/>
    </row>
    <row r="882">
      <c r="A882" s="209">
        <v>881.0</v>
      </c>
      <c r="B882" s="210">
        <v>44641.0</v>
      </c>
      <c r="C882" s="195" t="str">
        <f t="shared" si="8"/>
        <v>32022</v>
      </c>
      <c r="D882" s="211" t="s">
        <v>2681</v>
      </c>
      <c r="E882" s="209" t="s">
        <v>1873</v>
      </c>
      <c r="F882" s="211" t="s">
        <v>1412</v>
      </c>
      <c r="G882" s="209" t="s">
        <v>64</v>
      </c>
      <c r="H882" s="209" t="s">
        <v>41</v>
      </c>
      <c r="I882" s="209" t="s">
        <v>643</v>
      </c>
      <c r="J882" s="212">
        <v>2.0</v>
      </c>
      <c r="K882" s="151"/>
      <c r="L882" s="151"/>
      <c r="M882" s="151"/>
      <c r="N882" s="151"/>
      <c r="O882" s="151"/>
      <c r="P882" s="151"/>
      <c r="Q882" s="152"/>
      <c r="R882" s="152"/>
      <c r="S882" s="209" t="s">
        <v>189</v>
      </c>
      <c r="T882" s="209" t="s">
        <v>66</v>
      </c>
      <c r="U882" s="209" t="s">
        <v>99</v>
      </c>
      <c r="V882" s="209" t="s">
        <v>1984</v>
      </c>
      <c r="W882" s="153"/>
      <c r="X882" s="153"/>
      <c r="Y882" s="153"/>
      <c r="Z882" s="153"/>
      <c r="AA882" s="213">
        <v>18900.0</v>
      </c>
      <c r="AB882" s="213">
        <v>75600.0</v>
      </c>
      <c r="AC882" s="24" t="s">
        <v>2682</v>
      </c>
      <c r="AD882" s="195">
        <v>6982.0</v>
      </c>
      <c r="AE882" s="38"/>
      <c r="AF882" s="209" t="str">
        <f t="shared" si="1"/>
        <v>Buenos Aires, Argentina</v>
      </c>
      <c r="AG882" s="209">
        <f t="shared" si="2"/>
        <v>2</v>
      </c>
      <c r="AH882" s="214">
        <f t="shared" si="3"/>
        <v>0</v>
      </c>
      <c r="AI882" s="214">
        <f t="shared" si="4"/>
        <v>0</v>
      </c>
      <c r="AJ882" s="213">
        <f t="shared" si="5"/>
        <v>94500</v>
      </c>
      <c r="AK882" s="213">
        <f t="shared" si="6"/>
        <v>94500</v>
      </c>
      <c r="AL882" s="156"/>
      <c r="AM882" s="156"/>
    </row>
    <row r="883">
      <c r="A883" s="209">
        <v>882.0</v>
      </c>
      <c r="B883" s="210">
        <v>44643.0</v>
      </c>
      <c r="C883" s="195" t="str">
        <f t="shared" si="8"/>
        <v>32022</v>
      </c>
      <c r="D883" s="211" t="s">
        <v>1693</v>
      </c>
      <c r="E883" s="209" t="s">
        <v>2683</v>
      </c>
      <c r="F883" s="211" t="s">
        <v>1415</v>
      </c>
      <c r="G883" s="209" t="s">
        <v>64</v>
      </c>
      <c r="H883" s="209" t="s">
        <v>41</v>
      </c>
      <c r="I883" s="209" t="s">
        <v>643</v>
      </c>
      <c r="J883" s="151"/>
      <c r="K883" s="212">
        <v>1.0</v>
      </c>
      <c r="L883" s="151"/>
      <c r="M883" s="151"/>
      <c r="N883" s="151"/>
      <c r="O883" s="151"/>
      <c r="P883" s="151"/>
      <c r="Q883" s="152"/>
      <c r="R883" s="152"/>
      <c r="S883" s="209" t="s">
        <v>105</v>
      </c>
      <c r="T883" s="209" t="s">
        <v>83</v>
      </c>
      <c r="U883" s="209" t="s">
        <v>99</v>
      </c>
      <c r="V883" s="209" t="s">
        <v>1984</v>
      </c>
      <c r="W883" s="153"/>
      <c r="X883" s="153"/>
      <c r="Y883" s="153"/>
      <c r="Z883" s="153"/>
      <c r="AA883" s="213">
        <v>7088.0</v>
      </c>
      <c r="AB883" s="213">
        <v>31896.0</v>
      </c>
      <c r="AC883" s="24" t="s">
        <v>2684</v>
      </c>
      <c r="AD883" s="195">
        <v>6990.0</v>
      </c>
      <c r="AE883" s="38"/>
      <c r="AF883" s="209" t="str">
        <f t="shared" si="1"/>
        <v>Capital Federal, Argentina</v>
      </c>
      <c r="AG883" s="209">
        <f t="shared" si="2"/>
        <v>1</v>
      </c>
      <c r="AH883" s="214">
        <f t="shared" si="3"/>
        <v>0</v>
      </c>
      <c r="AI883" s="214">
        <f t="shared" si="4"/>
        <v>0</v>
      </c>
      <c r="AJ883" s="213">
        <f t="shared" si="5"/>
        <v>38984</v>
      </c>
      <c r="AK883" s="213">
        <f t="shared" si="6"/>
        <v>38984</v>
      </c>
      <c r="AL883" s="156"/>
      <c r="AM883" s="156"/>
    </row>
    <row r="884">
      <c r="A884" s="209">
        <v>883.0</v>
      </c>
      <c r="B884" s="210">
        <v>44645.0</v>
      </c>
      <c r="C884" s="195" t="str">
        <f t="shared" si="8"/>
        <v>32022</v>
      </c>
      <c r="D884" s="211" t="s">
        <v>1457</v>
      </c>
      <c r="E884" s="209" t="s">
        <v>1458</v>
      </c>
      <c r="F884" s="211" t="s">
        <v>1357</v>
      </c>
      <c r="G884" s="209" t="s">
        <v>64</v>
      </c>
      <c r="H884" s="209" t="s">
        <v>41</v>
      </c>
      <c r="I884" s="209" t="s">
        <v>643</v>
      </c>
      <c r="J884" s="151"/>
      <c r="K884" s="151"/>
      <c r="L884" s="151"/>
      <c r="M884" s="151"/>
      <c r="N884" s="151"/>
      <c r="O884" s="151"/>
      <c r="P884" s="212">
        <v>1.0</v>
      </c>
      <c r="Q884" s="152"/>
      <c r="R884" s="152"/>
      <c r="S884" s="209" t="s">
        <v>98</v>
      </c>
      <c r="T884" s="209" t="s">
        <v>66</v>
      </c>
      <c r="U884" s="209" t="s">
        <v>99</v>
      </c>
      <c r="V884" s="209" t="s">
        <v>1984</v>
      </c>
      <c r="W884" s="153"/>
      <c r="X884" s="153"/>
      <c r="Y884" s="153"/>
      <c r="Z884" s="153"/>
      <c r="AA884" s="213">
        <v>7088.0</v>
      </c>
      <c r="AB884" s="213">
        <v>31896.0</v>
      </c>
      <c r="AC884" s="24" t="s">
        <v>2685</v>
      </c>
      <c r="AD884" s="195">
        <v>6996.0</v>
      </c>
      <c r="AE884" s="38"/>
      <c r="AF884" s="209" t="str">
        <f t="shared" si="1"/>
        <v>Buenos Aires, Argentina</v>
      </c>
      <c r="AG884" s="209">
        <f t="shared" si="2"/>
        <v>1</v>
      </c>
      <c r="AH884" s="214">
        <f t="shared" si="3"/>
        <v>0</v>
      </c>
      <c r="AI884" s="214">
        <f t="shared" si="4"/>
        <v>0</v>
      </c>
      <c r="AJ884" s="213">
        <f t="shared" si="5"/>
        <v>38984</v>
      </c>
      <c r="AK884" s="213">
        <f t="shared" si="6"/>
        <v>38984</v>
      </c>
      <c r="AL884" s="156"/>
      <c r="AM884" s="156"/>
    </row>
    <row r="885">
      <c r="A885" s="209">
        <v>884.0</v>
      </c>
      <c r="B885" s="210">
        <v>44645.0</v>
      </c>
      <c r="C885" s="195" t="str">
        <f t="shared" si="8"/>
        <v>32022</v>
      </c>
      <c r="D885" s="211" t="s">
        <v>1457</v>
      </c>
      <c r="E885" s="209" t="s">
        <v>1458</v>
      </c>
      <c r="F885" s="211" t="s">
        <v>2643</v>
      </c>
      <c r="G885" s="209" t="s">
        <v>64</v>
      </c>
      <c r="H885" s="209" t="s">
        <v>41</v>
      </c>
      <c r="I885" s="209" t="s">
        <v>643</v>
      </c>
      <c r="J885" s="151"/>
      <c r="K885" s="151"/>
      <c r="L885" s="151"/>
      <c r="M885" s="151"/>
      <c r="N885" s="151"/>
      <c r="O885" s="151"/>
      <c r="P885" s="151"/>
      <c r="Q885" s="152"/>
      <c r="R885" s="152"/>
      <c r="S885" s="209" t="s">
        <v>98</v>
      </c>
      <c r="T885" s="209" t="s">
        <v>66</v>
      </c>
      <c r="U885" s="209" t="s">
        <v>99</v>
      </c>
      <c r="V885" s="209" t="s">
        <v>1984</v>
      </c>
      <c r="W885" s="213">
        <v>13000.0</v>
      </c>
      <c r="X885" s="213">
        <v>52000.0</v>
      </c>
      <c r="Y885" s="153"/>
      <c r="Z885" s="153"/>
      <c r="AA885" s="213">
        <v>0.0</v>
      </c>
      <c r="AB885" s="213">
        <v>0.0</v>
      </c>
      <c r="AC885" s="24" t="s">
        <v>2686</v>
      </c>
      <c r="AD885" s="195">
        <v>6998.0</v>
      </c>
      <c r="AE885" s="38"/>
      <c r="AF885" s="209" t="str">
        <f t="shared" si="1"/>
        <v>Buenos Aires, Argentina</v>
      </c>
      <c r="AG885" s="209">
        <f t="shared" si="2"/>
        <v>0</v>
      </c>
      <c r="AH885" s="214">
        <f t="shared" si="3"/>
        <v>65000</v>
      </c>
      <c r="AI885" s="214">
        <f t="shared" si="4"/>
        <v>0</v>
      </c>
      <c r="AJ885" s="213">
        <f t="shared" si="5"/>
        <v>0</v>
      </c>
      <c r="AK885" s="213">
        <f t="shared" si="6"/>
        <v>65000</v>
      </c>
      <c r="AL885" s="156"/>
      <c r="AM885" s="156"/>
    </row>
    <row r="886">
      <c r="A886" s="209">
        <v>885.0</v>
      </c>
      <c r="B886" s="210">
        <v>44645.0</v>
      </c>
      <c r="C886" s="195" t="str">
        <f t="shared" si="8"/>
        <v>32022</v>
      </c>
      <c r="D886" s="211" t="s">
        <v>1982</v>
      </c>
      <c r="E886" s="209" t="s">
        <v>1983</v>
      </c>
      <c r="F886" s="211" t="s">
        <v>1415</v>
      </c>
      <c r="G886" s="209" t="s">
        <v>64</v>
      </c>
      <c r="H886" s="209" t="s">
        <v>41</v>
      </c>
      <c r="I886" s="209" t="s">
        <v>643</v>
      </c>
      <c r="J886" s="151"/>
      <c r="K886" s="212">
        <v>1.0</v>
      </c>
      <c r="L886" s="151"/>
      <c r="M886" s="151"/>
      <c r="N886" s="151"/>
      <c r="O886" s="151"/>
      <c r="P886" s="151"/>
      <c r="Q886" s="152"/>
      <c r="R886" s="152"/>
      <c r="S886" s="209" t="s">
        <v>65</v>
      </c>
      <c r="T886" s="209" t="s">
        <v>66</v>
      </c>
      <c r="U886" s="209" t="s">
        <v>99</v>
      </c>
      <c r="V886" s="209" t="s">
        <v>1984</v>
      </c>
      <c r="W886" s="153"/>
      <c r="X886" s="153"/>
      <c r="Y886" s="153"/>
      <c r="Z886" s="153"/>
      <c r="AA886" s="213">
        <v>7088.0</v>
      </c>
      <c r="AB886" s="213">
        <v>28352.0</v>
      </c>
      <c r="AC886" s="24" t="s">
        <v>2687</v>
      </c>
      <c r="AD886" s="195">
        <v>7004.0</v>
      </c>
      <c r="AE886" s="38"/>
      <c r="AF886" s="209" t="str">
        <f t="shared" si="1"/>
        <v>Buenos Aires, Argentina</v>
      </c>
      <c r="AG886" s="209">
        <f t="shared" si="2"/>
        <v>1</v>
      </c>
      <c r="AH886" s="214">
        <f t="shared" si="3"/>
        <v>0</v>
      </c>
      <c r="AI886" s="214">
        <f t="shared" si="4"/>
        <v>0</v>
      </c>
      <c r="AJ886" s="213">
        <f t="shared" si="5"/>
        <v>35440</v>
      </c>
      <c r="AK886" s="213">
        <f t="shared" si="6"/>
        <v>35440</v>
      </c>
      <c r="AL886" s="156"/>
      <c r="AM886" s="156"/>
    </row>
    <row r="887">
      <c r="A887" s="209">
        <v>886.0</v>
      </c>
      <c r="B887" s="210">
        <v>44648.0</v>
      </c>
      <c r="C887" s="195" t="str">
        <f t="shared" si="8"/>
        <v>32022</v>
      </c>
      <c r="D887" s="211" t="s">
        <v>2688</v>
      </c>
      <c r="E887" s="209" t="s">
        <v>2689</v>
      </c>
      <c r="F887" s="211" t="s">
        <v>2690</v>
      </c>
      <c r="G887" s="209" t="s">
        <v>40</v>
      </c>
      <c r="H887" s="209" t="s">
        <v>41</v>
      </c>
      <c r="I887" s="209" t="s">
        <v>643</v>
      </c>
      <c r="J887" s="212">
        <v>6.0</v>
      </c>
      <c r="K887" s="212">
        <v>14.0</v>
      </c>
      <c r="L887" s="151"/>
      <c r="M887" s="212">
        <v>1.0</v>
      </c>
      <c r="N887" s="151"/>
      <c r="O887" s="151"/>
      <c r="P887" s="151"/>
      <c r="Q887" s="152"/>
      <c r="R887" s="152"/>
      <c r="S887" s="209" t="s">
        <v>65</v>
      </c>
      <c r="T887" s="209" t="s">
        <v>254</v>
      </c>
      <c r="U887" s="209" t="s">
        <v>342</v>
      </c>
      <c r="V887" s="209" t="s">
        <v>1984</v>
      </c>
      <c r="W887" s="153"/>
      <c r="X887" s="153"/>
      <c r="Y887" s="153"/>
      <c r="Z887" s="153"/>
      <c r="AA887" s="213">
        <v>165382.0</v>
      </c>
      <c r="AB887" s="213">
        <v>704522.0</v>
      </c>
      <c r="AC887" s="24" t="s">
        <v>2691</v>
      </c>
      <c r="AD887" s="195">
        <v>7014.0</v>
      </c>
      <c r="AE887" s="38"/>
      <c r="AF887" s="209" t="str">
        <f t="shared" si="1"/>
        <v>La Rioja, Argentina</v>
      </c>
      <c r="AG887" s="209">
        <f t="shared" si="2"/>
        <v>21</v>
      </c>
      <c r="AH887" s="214">
        <f t="shared" si="3"/>
        <v>0</v>
      </c>
      <c r="AI887" s="214">
        <f t="shared" si="4"/>
        <v>0</v>
      </c>
      <c r="AJ887" s="213">
        <f t="shared" si="5"/>
        <v>869904</v>
      </c>
      <c r="AK887" s="213">
        <f t="shared" si="6"/>
        <v>869904</v>
      </c>
      <c r="AL887" s="156"/>
      <c r="AM887" s="156"/>
    </row>
    <row r="888">
      <c r="A888" s="209">
        <v>887.0</v>
      </c>
      <c r="B888" s="210">
        <v>44648.0</v>
      </c>
      <c r="C888" s="195" t="str">
        <f t="shared" si="8"/>
        <v>32022</v>
      </c>
      <c r="D888" s="211" t="s">
        <v>2306</v>
      </c>
      <c r="E888" s="209" t="s">
        <v>2090</v>
      </c>
      <c r="F888" s="211" t="s">
        <v>2559</v>
      </c>
      <c r="G888" s="209" t="s">
        <v>64</v>
      </c>
      <c r="H888" s="209" t="s">
        <v>41</v>
      </c>
      <c r="I888" s="209" t="s">
        <v>643</v>
      </c>
      <c r="J888" s="151"/>
      <c r="K888" s="151"/>
      <c r="L888" s="151"/>
      <c r="M888" s="151"/>
      <c r="N888" s="151"/>
      <c r="O888" s="151"/>
      <c r="P888" s="151"/>
      <c r="Q888" s="152"/>
      <c r="R888" s="152"/>
      <c r="S888" s="209" t="s">
        <v>89</v>
      </c>
      <c r="T888" s="209" t="s">
        <v>66</v>
      </c>
      <c r="U888" s="209" t="s">
        <v>99</v>
      </c>
      <c r="V888" s="209" t="s">
        <v>1984</v>
      </c>
      <c r="W888" s="153"/>
      <c r="X888" s="153"/>
      <c r="Y888" s="153"/>
      <c r="Z888" s="153"/>
      <c r="AA888" s="213">
        <v>0.0</v>
      </c>
      <c r="AB888" s="213">
        <v>11339.0</v>
      </c>
      <c r="AC888" s="24" t="s">
        <v>2692</v>
      </c>
      <c r="AD888" s="195">
        <v>7020.0</v>
      </c>
      <c r="AE888" s="38"/>
      <c r="AF888" s="209" t="str">
        <f t="shared" si="1"/>
        <v>Buenos Aires, Argentina</v>
      </c>
      <c r="AG888" s="209">
        <f t="shared" si="2"/>
        <v>0</v>
      </c>
      <c r="AH888" s="214">
        <f t="shared" si="3"/>
        <v>0</v>
      </c>
      <c r="AI888" s="214">
        <f t="shared" si="4"/>
        <v>0</v>
      </c>
      <c r="AJ888" s="213">
        <f t="shared" si="5"/>
        <v>11339</v>
      </c>
      <c r="AK888" s="213">
        <f t="shared" si="6"/>
        <v>11339</v>
      </c>
      <c r="AL888" s="156"/>
      <c r="AM888" s="156"/>
    </row>
    <row r="889">
      <c r="A889" s="209">
        <v>888.0</v>
      </c>
      <c r="B889" s="210">
        <v>44649.0</v>
      </c>
      <c r="C889" s="195" t="str">
        <f t="shared" si="8"/>
        <v>32022</v>
      </c>
      <c r="D889" s="211" t="s">
        <v>2693</v>
      </c>
      <c r="E889" s="209" t="s">
        <v>2694</v>
      </c>
      <c r="F889" s="211" t="s">
        <v>1423</v>
      </c>
      <c r="G889" s="209" t="s">
        <v>64</v>
      </c>
      <c r="H889" s="209" t="s">
        <v>41</v>
      </c>
      <c r="I889" s="209" t="s">
        <v>643</v>
      </c>
      <c r="J889" s="212">
        <v>1.0</v>
      </c>
      <c r="K889" s="151"/>
      <c r="L889" s="151"/>
      <c r="M889" s="151"/>
      <c r="N889" s="151"/>
      <c r="O889" s="151"/>
      <c r="P889" s="151"/>
      <c r="Q889" s="152"/>
      <c r="R889" s="152"/>
      <c r="S889" s="209" t="s">
        <v>65</v>
      </c>
      <c r="T889" s="209" t="s">
        <v>66</v>
      </c>
      <c r="U889" s="209" t="s">
        <v>99</v>
      </c>
      <c r="V889" s="209" t="s">
        <v>1984</v>
      </c>
      <c r="W889" s="153"/>
      <c r="X889" s="153"/>
      <c r="Y889" s="153"/>
      <c r="Z889" s="153"/>
      <c r="AA889" s="213">
        <v>9450.0</v>
      </c>
      <c r="AB889" s="213">
        <v>37800.0</v>
      </c>
      <c r="AC889" s="24" t="s">
        <v>2695</v>
      </c>
      <c r="AD889" s="195">
        <v>7026.0</v>
      </c>
      <c r="AE889" s="38"/>
      <c r="AF889" s="209" t="str">
        <f t="shared" si="1"/>
        <v>Buenos Aires, Argentina</v>
      </c>
      <c r="AG889" s="209">
        <f t="shared" si="2"/>
        <v>1</v>
      </c>
      <c r="AH889" s="214">
        <f t="shared" si="3"/>
        <v>0</v>
      </c>
      <c r="AI889" s="214">
        <f t="shared" si="4"/>
        <v>0</v>
      </c>
      <c r="AJ889" s="213">
        <f t="shared" si="5"/>
        <v>47250</v>
      </c>
      <c r="AK889" s="213">
        <f t="shared" si="6"/>
        <v>47250</v>
      </c>
      <c r="AL889" s="156"/>
      <c r="AM889" s="156"/>
    </row>
    <row r="890">
      <c r="A890" s="209">
        <v>889.0</v>
      </c>
      <c r="B890" s="210">
        <v>44649.0</v>
      </c>
      <c r="C890" s="195" t="str">
        <f t="shared" si="8"/>
        <v>32022</v>
      </c>
      <c r="D890" s="211" t="s">
        <v>2696</v>
      </c>
      <c r="E890" s="209" t="s">
        <v>2090</v>
      </c>
      <c r="F890" s="211" t="s">
        <v>2697</v>
      </c>
      <c r="G890" s="209" t="s">
        <v>64</v>
      </c>
      <c r="H890" s="209" t="s">
        <v>41</v>
      </c>
      <c r="I890" s="209" t="s">
        <v>643</v>
      </c>
      <c r="J890" s="151"/>
      <c r="K890" s="151"/>
      <c r="L890" s="151"/>
      <c r="M890" s="151"/>
      <c r="N890" s="212">
        <v>1.0</v>
      </c>
      <c r="O890" s="151"/>
      <c r="P890" s="151"/>
      <c r="Q890" s="152"/>
      <c r="R890" s="152"/>
      <c r="S890" s="209" t="s">
        <v>89</v>
      </c>
      <c r="T890" s="209" t="s">
        <v>66</v>
      </c>
      <c r="U890" s="209" t="s">
        <v>99</v>
      </c>
      <c r="V890" s="209" t="s">
        <v>1984</v>
      </c>
      <c r="W890" s="153"/>
      <c r="X890" s="153"/>
      <c r="Y890" s="153"/>
      <c r="Z890" s="153"/>
      <c r="AA890" s="213">
        <v>9450.0</v>
      </c>
      <c r="AB890" s="213">
        <v>42525.0</v>
      </c>
      <c r="AC890" s="24" t="s">
        <v>2698</v>
      </c>
      <c r="AD890" s="195">
        <v>7034.0</v>
      </c>
      <c r="AE890" s="38"/>
      <c r="AF890" s="209" t="str">
        <f t="shared" si="1"/>
        <v>Buenos Aires, Argentina</v>
      </c>
      <c r="AG890" s="209">
        <f t="shared" si="2"/>
        <v>1</v>
      </c>
      <c r="AH890" s="214">
        <f t="shared" si="3"/>
        <v>0</v>
      </c>
      <c r="AI890" s="214">
        <f t="shared" si="4"/>
        <v>0</v>
      </c>
      <c r="AJ890" s="213">
        <f t="shared" si="5"/>
        <v>51975</v>
      </c>
      <c r="AK890" s="213">
        <f t="shared" si="6"/>
        <v>51975</v>
      </c>
      <c r="AL890" s="156"/>
      <c r="AM890" s="156"/>
    </row>
    <row r="891">
      <c r="A891" s="209">
        <v>890.0</v>
      </c>
      <c r="B891" s="210">
        <v>44650.0</v>
      </c>
      <c r="C891" s="195" t="str">
        <f t="shared" si="8"/>
        <v>32022</v>
      </c>
      <c r="D891" s="211" t="s">
        <v>2663</v>
      </c>
      <c r="E891" s="209" t="s">
        <v>2699</v>
      </c>
      <c r="F891" s="211" t="s">
        <v>2700</v>
      </c>
      <c r="G891" s="209" t="s">
        <v>64</v>
      </c>
      <c r="H891" s="209" t="s">
        <v>41</v>
      </c>
      <c r="I891" s="209" t="s">
        <v>643</v>
      </c>
      <c r="J891" s="151"/>
      <c r="K891" s="151"/>
      <c r="L891" s="151"/>
      <c r="M891" s="151"/>
      <c r="N891" s="151"/>
      <c r="O891" s="151"/>
      <c r="P891" s="151"/>
      <c r="Q891" s="152"/>
      <c r="R891" s="152"/>
      <c r="S891" s="209" t="s">
        <v>65</v>
      </c>
      <c r="T891" s="209" t="s">
        <v>73</v>
      </c>
      <c r="U891" s="209" t="s">
        <v>99</v>
      </c>
      <c r="V891" s="209" t="s">
        <v>1984</v>
      </c>
      <c r="W891" s="153"/>
      <c r="X891" s="153"/>
      <c r="Y891" s="153"/>
      <c r="Z891" s="153"/>
      <c r="AA891" s="213">
        <v>0.0</v>
      </c>
      <c r="AB891" s="213">
        <v>71820.0</v>
      </c>
      <c r="AC891" s="24" t="s">
        <v>2701</v>
      </c>
      <c r="AD891" s="195">
        <v>7044.0</v>
      </c>
      <c r="AE891" s="38"/>
      <c r="AF891" s="209" t="str">
        <f t="shared" si="1"/>
        <v>Tierra de Fuego, Argentina</v>
      </c>
      <c r="AG891" s="209">
        <f t="shared" si="2"/>
        <v>0</v>
      </c>
      <c r="AH891" s="214">
        <f t="shared" si="3"/>
        <v>0</v>
      </c>
      <c r="AI891" s="214">
        <f t="shared" si="4"/>
        <v>0</v>
      </c>
      <c r="AJ891" s="213">
        <f t="shared" si="5"/>
        <v>71820</v>
      </c>
      <c r="AK891" s="213">
        <f t="shared" si="6"/>
        <v>71820</v>
      </c>
      <c r="AL891" s="156"/>
      <c r="AM891" s="156"/>
    </row>
    <row r="892">
      <c r="A892" s="209">
        <v>891.0</v>
      </c>
      <c r="B892" s="210">
        <v>44650.0</v>
      </c>
      <c r="C892" s="195" t="str">
        <f t="shared" si="8"/>
        <v>32022</v>
      </c>
      <c r="D892" s="211" t="s">
        <v>2702</v>
      </c>
      <c r="E892" s="209" t="s">
        <v>2703</v>
      </c>
      <c r="F892" s="211" t="s">
        <v>1415</v>
      </c>
      <c r="G892" s="209" t="s">
        <v>64</v>
      </c>
      <c r="H892" s="209" t="s">
        <v>41</v>
      </c>
      <c r="I892" s="209" t="s">
        <v>643</v>
      </c>
      <c r="J892" s="151"/>
      <c r="K892" s="212">
        <v>1.0</v>
      </c>
      <c r="L892" s="151"/>
      <c r="M892" s="151"/>
      <c r="N892" s="151"/>
      <c r="O892" s="151"/>
      <c r="P892" s="151"/>
      <c r="Q892" s="152"/>
      <c r="R892" s="152"/>
      <c r="S892" s="209" t="s">
        <v>65</v>
      </c>
      <c r="T892" s="209" t="s">
        <v>66</v>
      </c>
      <c r="U892" s="209" t="s">
        <v>99</v>
      </c>
      <c r="V892" s="209" t="s">
        <v>1984</v>
      </c>
      <c r="W892" s="153"/>
      <c r="X892" s="153"/>
      <c r="Y892" s="153"/>
      <c r="Z892" s="153"/>
      <c r="AA892" s="213">
        <v>7088.0</v>
      </c>
      <c r="AB892" s="213">
        <v>31896.0</v>
      </c>
      <c r="AC892" s="24" t="s">
        <v>2704</v>
      </c>
      <c r="AD892" s="195">
        <v>7048.0</v>
      </c>
      <c r="AE892" s="38"/>
      <c r="AF892" s="209" t="str">
        <f t="shared" si="1"/>
        <v>Buenos Aires, Argentina</v>
      </c>
      <c r="AG892" s="209">
        <f t="shared" si="2"/>
        <v>1</v>
      </c>
      <c r="AH892" s="214">
        <f t="shared" si="3"/>
        <v>0</v>
      </c>
      <c r="AI892" s="214">
        <f t="shared" si="4"/>
        <v>0</v>
      </c>
      <c r="AJ892" s="213">
        <f t="shared" si="5"/>
        <v>38984</v>
      </c>
      <c r="AK892" s="213">
        <f t="shared" si="6"/>
        <v>38984</v>
      </c>
      <c r="AL892" s="156"/>
      <c r="AM892" s="156"/>
    </row>
    <row r="893">
      <c r="A893" s="209">
        <v>892.0</v>
      </c>
      <c r="B893" s="210">
        <v>44650.0</v>
      </c>
      <c r="C893" s="195" t="str">
        <f t="shared" si="8"/>
        <v>32022</v>
      </c>
      <c r="D893" s="211" t="s">
        <v>2084</v>
      </c>
      <c r="E893" s="209" t="s">
        <v>2085</v>
      </c>
      <c r="F893" s="211" t="s">
        <v>1423</v>
      </c>
      <c r="G893" s="209" t="s">
        <v>64</v>
      </c>
      <c r="H893" s="209" t="s">
        <v>41</v>
      </c>
      <c r="I893" s="209" t="s">
        <v>643</v>
      </c>
      <c r="J893" s="212">
        <v>1.0</v>
      </c>
      <c r="K893" s="151"/>
      <c r="L893" s="151"/>
      <c r="M893" s="151"/>
      <c r="N893" s="151"/>
      <c r="O893" s="151"/>
      <c r="P893" s="151"/>
      <c r="Q893" s="152"/>
      <c r="R893" s="152"/>
      <c r="S893" s="209" t="s">
        <v>167</v>
      </c>
      <c r="T893" s="209" t="s">
        <v>83</v>
      </c>
      <c r="U893" s="209" t="s">
        <v>99</v>
      </c>
      <c r="V893" s="209" t="s">
        <v>1984</v>
      </c>
      <c r="W893" s="153"/>
      <c r="X893" s="153"/>
      <c r="Y893" s="153"/>
      <c r="Z893" s="153"/>
      <c r="AA893" s="213">
        <v>9450.0</v>
      </c>
      <c r="AB893" s="213">
        <v>37800.0</v>
      </c>
      <c r="AC893" s="24" t="s">
        <v>2705</v>
      </c>
      <c r="AD893" s="195">
        <v>7052.0</v>
      </c>
      <c r="AE893" s="38"/>
      <c r="AF893" s="209" t="str">
        <f t="shared" si="1"/>
        <v>Capital Federal, Argentina</v>
      </c>
      <c r="AG893" s="209">
        <f t="shared" si="2"/>
        <v>1</v>
      </c>
      <c r="AH893" s="214">
        <f t="shared" si="3"/>
        <v>0</v>
      </c>
      <c r="AI893" s="214">
        <f t="shared" si="4"/>
        <v>0</v>
      </c>
      <c r="AJ893" s="213">
        <f t="shared" si="5"/>
        <v>47250</v>
      </c>
      <c r="AK893" s="213">
        <f t="shared" si="6"/>
        <v>47250</v>
      </c>
      <c r="AL893" s="156"/>
      <c r="AM893" s="156"/>
    </row>
    <row r="894">
      <c r="A894" s="209">
        <v>893.0</v>
      </c>
      <c r="B894" s="210">
        <v>44650.0</v>
      </c>
      <c r="C894" s="195" t="str">
        <f t="shared" si="8"/>
        <v>32022</v>
      </c>
      <c r="D894" s="211" t="s">
        <v>2706</v>
      </c>
      <c r="E894" s="209" t="s">
        <v>2707</v>
      </c>
      <c r="F894" s="211" t="s">
        <v>1463</v>
      </c>
      <c r="G894" s="209" t="s">
        <v>64</v>
      </c>
      <c r="H894" s="209" t="s">
        <v>41</v>
      </c>
      <c r="I894" s="209" t="s">
        <v>643</v>
      </c>
      <c r="J894" s="212">
        <v>1.0</v>
      </c>
      <c r="K894" s="212">
        <v>2.0</v>
      </c>
      <c r="L894" s="151"/>
      <c r="M894" s="151"/>
      <c r="N894" s="151"/>
      <c r="O894" s="151"/>
      <c r="P894" s="151"/>
      <c r="Q894" s="152"/>
      <c r="R894" s="152"/>
      <c r="S894" s="209" t="s">
        <v>189</v>
      </c>
      <c r="T894" s="209" t="s">
        <v>73</v>
      </c>
      <c r="U894" s="209" t="s">
        <v>99</v>
      </c>
      <c r="V894" s="209" t="s">
        <v>1984</v>
      </c>
      <c r="W894" s="153"/>
      <c r="X894" s="153"/>
      <c r="Y894" s="153"/>
      <c r="Z894" s="153"/>
      <c r="AA894" s="213">
        <v>23626.0</v>
      </c>
      <c r="AB894" s="213">
        <v>106317.0</v>
      </c>
      <c r="AC894" s="24" t="s">
        <v>2708</v>
      </c>
      <c r="AD894" s="195">
        <v>7056.0</v>
      </c>
      <c r="AE894" s="38"/>
      <c r="AF894" s="209" t="str">
        <f t="shared" si="1"/>
        <v>Tierra de Fuego, Argentina</v>
      </c>
      <c r="AG894" s="209">
        <f t="shared" si="2"/>
        <v>3</v>
      </c>
      <c r="AH894" s="214">
        <f t="shared" si="3"/>
        <v>0</v>
      </c>
      <c r="AI894" s="214">
        <f t="shared" si="4"/>
        <v>0</v>
      </c>
      <c r="AJ894" s="213">
        <f t="shared" si="5"/>
        <v>129943</v>
      </c>
      <c r="AK894" s="213">
        <f t="shared" si="6"/>
        <v>129943</v>
      </c>
      <c r="AL894" s="156"/>
      <c r="AM894" s="156"/>
    </row>
    <row r="895">
      <c r="A895" s="209">
        <v>894.0</v>
      </c>
      <c r="B895" s="210">
        <v>44650.0</v>
      </c>
      <c r="C895" s="195" t="str">
        <f t="shared" si="8"/>
        <v>32022</v>
      </c>
      <c r="D895" s="211" t="s">
        <v>2709</v>
      </c>
      <c r="E895" s="209" t="s">
        <v>2710</v>
      </c>
      <c r="F895" s="211" t="s">
        <v>1423</v>
      </c>
      <c r="G895" s="209" t="s">
        <v>64</v>
      </c>
      <c r="H895" s="209" t="s">
        <v>41</v>
      </c>
      <c r="I895" s="209" t="s">
        <v>643</v>
      </c>
      <c r="J895" s="212">
        <v>1.0</v>
      </c>
      <c r="K895" s="151"/>
      <c r="L895" s="151"/>
      <c r="M895" s="151"/>
      <c r="N895" s="151"/>
      <c r="O895" s="151"/>
      <c r="P895" s="151"/>
      <c r="Q895" s="152"/>
      <c r="R895" s="152"/>
      <c r="S895" s="209" t="s">
        <v>137</v>
      </c>
      <c r="T895" s="209" t="s">
        <v>58</v>
      </c>
      <c r="U895" s="209" t="s">
        <v>99</v>
      </c>
      <c r="V895" s="209" t="s">
        <v>1984</v>
      </c>
      <c r="W895" s="153"/>
      <c r="X895" s="153"/>
      <c r="Y895" s="153"/>
      <c r="Z895" s="153"/>
      <c r="AA895" s="213">
        <v>9450.0</v>
      </c>
      <c r="AB895" s="213">
        <v>37800.0</v>
      </c>
      <c r="AC895" s="24" t="s">
        <v>2711</v>
      </c>
      <c r="AD895" s="195">
        <v>7060.0</v>
      </c>
      <c r="AE895" s="38"/>
      <c r="AF895" s="209" t="str">
        <f t="shared" si="1"/>
        <v>Córdoba, Argentina</v>
      </c>
      <c r="AG895" s="209">
        <f t="shared" si="2"/>
        <v>1</v>
      </c>
      <c r="AH895" s="214">
        <f t="shared" si="3"/>
        <v>0</v>
      </c>
      <c r="AI895" s="214">
        <f t="shared" si="4"/>
        <v>0</v>
      </c>
      <c r="AJ895" s="213">
        <f t="shared" si="5"/>
        <v>47250</v>
      </c>
      <c r="AK895" s="213">
        <f t="shared" si="6"/>
        <v>47250</v>
      </c>
      <c r="AL895" s="156"/>
      <c r="AM895" s="156"/>
    </row>
    <row r="896">
      <c r="A896" s="209">
        <v>895.0</v>
      </c>
      <c r="B896" s="210">
        <v>44650.0</v>
      </c>
      <c r="C896" s="195" t="str">
        <f t="shared" si="8"/>
        <v>32022</v>
      </c>
      <c r="D896" s="211" t="s">
        <v>2048</v>
      </c>
      <c r="E896" s="209" t="s">
        <v>2049</v>
      </c>
      <c r="F896" s="211" t="s">
        <v>1474</v>
      </c>
      <c r="G896" s="209" t="s">
        <v>64</v>
      </c>
      <c r="H896" s="209" t="s">
        <v>41</v>
      </c>
      <c r="I896" s="209" t="s">
        <v>643</v>
      </c>
      <c r="J896" s="212">
        <v>3.0</v>
      </c>
      <c r="K896" s="151"/>
      <c r="L896" s="151"/>
      <c r="M896" s="151"/>
      <c r="N896" s="151"/>
      <c r="O896" s="151"/>
      <c r="P896" s="151"/>
      <c r="Q896" s="152"/>
      <c r="R896" s="152"/>
      <c r="S896" s="209" t="s">
        <v>98</v>
      </c>
      <c r="T896" s="209" t="s">
        <v>58</v>
      </c>
      <c r="U896" s="209" t="s">
        <v>99</v>
      </c>
      <c r="V896" s="209" t="s">
        <v>1984</v>
      </c>
      <c r="W896" s="153"/>
      <c r="X896" s="153"/>
      <c r="Y896" s="153"/>
      <c r="Z896" s="153"/>
      <c r="AA896" s="213">
        <v>28350.0</v>
      </c>
      <c r="AB896" s="213">
        <v>127575.0</v>
      </c>
      <c r="AC896" s="24" t="s">
        <v>2712</v>
      </c>
      <c r="AD896" s="195">
        <v>7070.0</v>
      </c>
      <c r="AE896" s="38"/>
      <c r="AF896" s="209" t="str">
        <f t="shared" si="1"/>
        <v>Córdoba, Argentina</v>
      </c>
      <c r="AG896" s="209">
        <f t="shared" si="2"/>
        <v>3</v>
      </c>
      <c r="AH896" s="214">
        <f t="shared" si="3"/>
        <v>0</v>
      </c>
      <c r="AI896" s="214">
        <f t="shared" si="4"/>
        <v>0</v>
      </c>
      <c r="AJ896" s="213">
        <f t="shared" si="5"/>
        <v>155925</v>
      </c>
      <c r="AK896" s="213">
        <f t="shared" si="6"/>
        <v>155925</v>
      </c>
      <c r="AL896" s="156"/>
      <c r="AM896" s="156"/>
    </row>
    <row r="897">
      <c r="A897" s="209">
        <v>896.0</v>
      </c>
      <c r="B897" s="210">
        <v>44651.0</v>
      </c>
      <c r="C897" s="195" t="str">
        <f t="shared" si="8"/>
        <v>32022</v>
      </c>
      <c r="D897" s="211" t="s">
        <v>2713</v>
      </c>
      <c r="E897" s="209" t="s">
        <v>2714</v>
      </c>
      <c r="F897" s="211" t="s">
        <v>1592</v>
      </c>
      <c r="G897" s="209" t="s">
        <v>64</v>
      </c>
      <c r="H897" s="209" t="s">
        <v>41</v>
      </c>
      <c r="I897" s="209" t="s">
        <v>643</v>
      </c>
      <c r="J897" s="212">
        <v>1.0</v>
      </c>
      <c r="K897" s="212">
        <v>1.0</v>
      </c>
      <c r="L897" s="151"/>
      <c r="M897" s="151"/>
      <c r="N897" s="151"/>
      <c r="O897" s="151"/>
      <c r="P897" s="151"/>
      <c r="Q897" s="152"/>
      <c r="R897" s="152"/>
      <c r="S897" s="209" t="s">
        <v>105</v>
      </c>
      <c r="T897" s="209" t="s">
        <v>83</v>
      </c>
      <c r="U897" s="209" t="s">
        <v>99</v>
      </c>
      <c r="V897" s="209" t="s">
        <v>1984</v>
      </c>
      <c r="W897" s="153"/>
      <c r="X897" s="153"/>
      <c r="Y897" s="153"/>
      <c r="Z897" s="153"/>
      <c r="AA897" s="213">
        <v>16538.0</v>
      </c>
      <c r="AB897" s="213">
        <v>66125.0</v>
      </c>
      <c r="AC897" s="24" t="s">
        <v>2715</v>
      </c>
      <c r="AD897" s="195">
        <v>7084.0</v>
      </c>
      <c r="AE897" s="38"/>
      <c r="AF897" s="209" t="str">
        <f t="shared" si="1"/>
        <v>Capital Federal, Argentina</v>
      </c>
      <c r="AG897" s="209">
        <f t="shared" si="2"/>
        <v>2</v>
      </c>
      <c r="AH897" s="214">
        <f t="shared" si="3"/>
        <v>0</v>
      </c>
      <c r="AI897" s="214">
        <f t="shared" si="4"/>
        <v>0</v>
      </c>
      <c r="AJ897" s="213">
        <f t="shared" si="5"/>
        <v>82663</v>
      </c>
      <c r="AK897" s="213">
        <f t="shared" si="6"/>
        <v>82663</v>
      </c>
      <c r="AL897" s="156"/>
      <c r="AM897" s="156"/>
    </row>
    <row r="898">
      <c r="A898" s="209">
        <v>897.0</v>
      </c>
      <c r="B898" s="210">
        <v>44651.0</v>
      </c>
      <c r="C898" s="195" t="str">
        <f t="shared" si="8"/>
        <v>32022</v>
      </c>
      <c r="D898" s="211" t="s">
        <v>2716</v>
      </c>
      <c r="E898" s="209" t="s">
        <v>2717</v>
      </c>
      <c r="F898" s="211" t="s">
        <v>1592</v>
      </c>
      <c r="G898" s="209" t="s">
        <v>64</v>
      </c>
      <c r="H898" s="209" t="s">
        <v>41</v>
      </c>
      <c r="I898" s="209" t="s">
        <v>643</v>
      </c>
      <c r="J898" s="212">
        <v>1.0</v>
      </c>
      <c r="K898" s="212">
        <v>1.0</v>
      </c>
      <c r="L898" s="151"/>
      <c r="M898" s="151"/>
      <c r="N898" s="151"/>
      <c r="O898" s="151"/>
      <c r="P898" s="151"/>
      <c r="Q898" s="152"/>
      <c r="R898" s="152"/>
      <c r="S898" s="209" t="s">
        <v>105</v>
      </c>
      <c r="T898" s="209" t="s">
        <v>66</v>
      </c>
      <c r="U898" s="209" t="s">
        <v>99</v>
      </c>
      <c r="V898" s="209" t="s">
        <v>1984</v>
      </c>
      <c r="W898" s="153"/>
      <c r="X898" s="153"/>
      <c r="Y898" s="153"/>
      <c r="Z898" s="153"/>
      <c r="AA898" s="213">
        <v>16538.0</v>
      </c>
      <c r="AB898" s="213">
        <v>66152.0</v>
      </c>
      <c r="AC898" s="24" t="s">
        <v>2718</v>
      </c>
      <c r="AD898" s="195">
        <v>7096.0</v>
      </c>
      <c r="AE898" s="38"/>
      <c r="AF898" s="209" t="str">
        <f t="shared" si="1"/>
        <v>Buenos Aires, Argentina</v>
      </c>
      <c r="AG898" s="209">
        <f t="shared" si="2"/>
        <v>2</v>
      </c>
      <c r="AH898" s="214">
        <f t="shared" si="3"/>
        <v>0</v>
      </c>
      <c r="AI898" s="214">
        <f t="shared" si="4"/>
        <v>0</v>
      </c>
      <c r="AJ898" s="213">
        <f t="shared" si="5"/>
        <v>82690</v>
      </c>
      <c r="AK898" s="213">
        <f t="shared" si="6"/>
        <v>82690</v>
      </c>
      <c r="AL898" s="156"/>
      <c r="AM898" s="156"/>
    </row>
    <row r="899">
      <c r="A899" s="209">
        <v>898.0</v>
      </c>
      <c r="B899" s="210">
        <v>44651.0</v>
      </c>
      <c r="C899" s="195" t="str">
        <f t="shared" si="8"/>
        <v>32022</v>
      </c>
      <c r="D899" s="211" t="s">
        <v>2719</v>
      </c>
      <c r="E899" s="209" t="s">
        <v>1754</v>
      </c>
      <c r="F899" s="211" t="s">
        <v>1427</v>
      </c>
      <c r="G899" s="209" t="s">
        <v>64</v>
      </c>
      <c r="H899" s="209" t="s">
        <v>41</v>
      </c>
      <c r="I899" s="209" t="s">
        <v>643</v>
      </c>
      <c r="J899" s="151"/>
      <c r="K899" s="212">
        <v>2.0</v>
      </c>
      <c r="L899" s="151"/>
      <c r="M899" s="151"/>
      <c r="N899" s="151"/>
      <c r="O899" s="151"/>
      <c r="P899" s="151"/>
      <c r="Q899" s="152"/>
      <c r="R899" s="152"/>
      <c r="S899" s="209" t="s">
        <v>189</v>
      </c>
      <c r="T899" s="209" t="s">
        <v>66</v>
      </c>
      <c r="U899" s="209" t="s">
        <v>99</v>
      </c>
      <c r="V899" s="209" t="s">
        <v>1984</v>
      </c>
      <c r="W899" s="153"/>
      <c r="X899" s="153"/>
      <c r="Y899" s="153"/>
      <c r="Z899" s="153"/>
      <c r="AA899" s="213">
        <v>14176.0</v>
      </c>
      <c r="AB899" s="213">
        <v>63792.0</v>
      </c>
      <c r="AC899" s="24" t="s">
        <v>2720</v>
      </c>
      <c r="AD899" s="195">
        <v>7100.0</v>
      </c>
      <c r="AE899" s="38"/>
      <c r="AF899" s="209" t="str">
        <f t="shared" si="1"/>
        <v>Buenos Aires, Argentina</v>
      </c>
      <c r="AG899" s="209">
        <f t="shared" si="2"/>
        <v>2</v>
      </c>
      <c r="AH899" s="214">
        <f t="shared" si="3"/>
        <v>0</v>
      </c>
      <c r="AI899" s="214">
        <f t="shared" si="4"/>
        <v>0</v>
      </c>
      <c r="AJ899" s="213">
        <f t="shared" si="5"/>
        <v>77968</v>
      </c>
      <c r="AK899" s="213">
        <f t="shared" si="6"/>
        <v>77968</v>
      </c>
      <c r="AL899" s="156"/>
      <c r="AM899" s="156"/>
    </row>
    <row r="900">
      <c r="A900" s="278">
        <v>899.0</v>
      </c>
      <c r="B900" s="279">
        <v>44656.0</v>
      </c>
      <c r="C900" s="195" t="str">
        <f t="shared" si="8"/>
        <v>42022</v>
      </c>
      <c r="D900" s="280" t="s">
        <v>2721</v>
      </c>
      <c r="E900" s="278" t="s">
        <v>2722</v>
      </c>
      <c r="F900" s="280" t="s">
        <v>1423</v>
      </c>
      <c r="G900" s="278" t="s">
        <v>64</v>
      </c>
      <c r="H900" s="278" t="s">
        <v>41</v>
      </c>
      <c r="I900" s="278" t="s">
        <v>643</v>
      </c>
      <c r="J900" s="281">
        <v>1.0</v>
      </c>
      <c r="K900" s="282"/>
      <c r="L900" s="282"/>
      <c r="M900" s="282"/>
      <c r="N900" s="282"/>
      <c r="O900" s="282"/>
      <c r="P900" s="282"/>
      <c r="Q900" s="283"/>
      <c r="R900" s="283"/>
      <c r="S900" s="278" t="s">
        <v>65</v>
      </c>
      <c r="T900" s="278" t="s">
        <v>66</v>
      </c>
      <c r="U900" s="278" t="s">
        <v>99</v>
      </c>
      <c r="V900" s="278" t="s">
        <v>1984</v>
      </c>
      <c r="W900" s="284"/>
      <c r="X900" s="284"/>
      <c r="Y900" s="284"/>
      <c r="Z900" s="284"/>
      <c r="AA900" s="285">
        <v>9880.0</v>
      </c>
      <c r="AB900" s="285">
        <v>39520.0</v>
      </c>
      <c r="AC900" s="24" t="s">
        <v>2723</v>
      </c>
      <c r="AD900" s="195">
        <v>7108.0</v>
      </c>
      <c r="AE900" s="38"/>
      <c r="AF900" s="278" t="str">
        <f t="shared" si="1"/>
        <v>Buenos Aires, Argentina</v>
      </c>
      <c r="AG900" s="278">
        <f t="shared" si="2"/>
        <v>1</v>
      </c>
      <c r="AH900" s="286">
        <f t="shared" si="3"/>
        <v>0</v>
      </c>
      <c r="AI900" s="286">
        <f t="shared" si="4"/>
        <v>0</v>
      </c>
      <c r="AJ900" s="285">
        <f t="shared" si="5"/>
        <v>49400</v>
      </c>
      <c r="AK900" s="285">
        <f t="shared" si="6"/>
        <v>49400</v>
      </c>
      <c r="AL900" s="287"/>
      <c r="AM900" s="287"/>
    </row>
    <row r="901">
      <c r="A901" s="278">
        <v>900.0</v>
      </c>
      <c r="B901" s="279">
        <v>44659.0</v>
      </c>
      <c r="C901" s="195" t="str">
        <f t="shared" si="8"/>
        <v>42022</v>
      </c>
      <c r="D901" s="280" t="s">
        <v>2235</v>
      </c>
      <c r="E901" s="278" t="s">
        <v>2724</v>
      </c>
      <c r="F901" s="280" t="s">
        <v>1415</v>
      </c>
      <c r="G901" s="278" t="s">
        <v>64</v>
      </c>
      <c r="H901" s="278" t="s">
        <v>41</v>
      </c>
      <c r="I901" s="278" t="s">
        <v>643</v>
      </c>
      <c r="J901" s="282"/>
      <c r="K901" s="281">
        <v>1.0</v>
      </c>
      <c r="L901" s="282"/>
      <c r="M901" s="282"/>
      <c r="N901" s="282"/>
      <c r="O901" s="282"/>
      <c r="P901" s="282"/>
      <c r="Q901" s="283"/>
      <c r="R901" s="283"/>
      <c r="S901" s="278" t="s">
        <v>65</v>
      </c>
      <c r="T901" s="278" t="s">
        <v>66</v>
      </c>
      <c r="U901" s="278" t="s">
        <v>99</v>
      </c>
      <c r="V901" s="278" t="s">
        <v>1984</v>
      </c>
      <c r="W901" s="284"/>
      <c r="X901" s="284"/>
      <c r="Y901" s="284"/>
      <c r="Z901" s="284"/>
      <c r="AA901" s="285">
        <v>7410.0</v>
      </c>
      <c r="AB901" s="285">
        <v>29640.0</v>
      </c>
      <c r="AC901" s="24" t="s">
        <v>2725</v>
      </c>
      <c r="AD901" s="195">
        <v>7114.0</v>
      </c>
      <c r="AE901" s="38"/>
      <c r="AF901" s="278" t="str">
        <f t="shared" si="1"/>
        <v>Buenos Aires, Argentina</v>
      </c>
      <c r="AG901" s="278">
        <f t="shared" si="2"/>
        <v>1</v>
      </c>
      <c r="AH901" s="286">
        <f t="shared" si="3"/>
        <v>0</v>
      </c>
      <c r="AI901" s="286">
        <f t="shared" si="4"/>
        <v>0</v>
      </c>
      <c r="AJ901" s="285">
        <f t="shared" si="5"/>
        <v>37050</v>
      </c>
      <c r="AK901" s="285">
        <f t="shared" si="6"/>
        <v>37050</v>
      </c>
      <c r="AL901" s="287"/>
      <c r="AM901" s="287"/>
    </row>
    <row r="902">
      <c r="A902" s="278">
        <v>901.0</v>
      </c>
      <c r="B902" s="279">
        <v>44662.0</v>
      </c>
      <c r="C902" s="195" t="str">
        <f t="shared" si="8"/>
        <v>42022</v>
      </c>
      <c r="D902" s="280" t="s">
        <v>790</v>
      </c>
      <c r="E902" s="278" t="s">
        <v>791</v>
      </c>
      <c r="F902" s="280" t="s">
        <v>1423</v>
      </c>
      <c r="G902" s="278" t="s">
        <v>64</v>
      </c>
      <c r="H902" s="278" t="s">
        <v>41</v>
      </c>
      <c r="I902" s="278" t="s">
        <v>643</v>
      </c>
      <c r="J902" s="281">
        <v>1.0</v>
      </c>
      <c r="K902" s="282"/>
      <c r="L902" s="282"/>
      <c r="M902" s="282"/>
      <c r="N902" s="282"/>
      <c r="O902" s="282"/>
      <c r="P902" s="282"/>
      <c r="Q902" s="283"/>
      <c r="R902" s="283"/>
      <c r="S902" s="278" t="s">
        <v>189</v>
      </c>
      <c r="T902" s="278" t="s">
        <v>66</v>
      </c>
      <c r="U902" s="278" t="s">
        <v>99</v>
      </c>
      <c r="V902" s="278" t="s">
        <v>1984</v>
      </c>
      <c r="W902" s="284"/>
      <c r="X902" s="284"/>
      <c r="Y902" s="284"/>
      <c r="Z902" s="284"/>
      <c r="AA902" s="285">
        <v>9880.0</v>
      </c>
      <c r="AB902" s="285">
        <v>44460.0</v>
      </c>
      <c r="AC902" s="24" t="s">
        <v>2726</v>
      </c>
      <c r="AD902" s="195">
        <v>7120.0</v>
      </c>
      <c r="AE902" s="38"/>
      <c r="AF902" s="278" t="str">
        <f t="shared" si="1"/>
        <v>Buenos Aires, Argentina</v>
      </c>
      <c r="AG902" s="278">
        <f t="shared" si="2"/>
        <v>1</v>
      </c>
      <c r="AH902" s="286">
        <f t="shared" si="3"/>
        <v>0</v>
      </c>
      <c r="AI902" s="286">
        <f t="shared" si="4"/>
        <v>0</v>
      </c>
      <c r="AJ902" s="285">
        <f t="shared" si="5"/>
        <v>54340</v>
      </c>
      <c r="AK902" s="285">
        <f t="shared" si="6"/>
        <v>54340</v>
      </c>
      <c r="AL902" s="287"/>
      <c r="AM902" s="287"/>
    </row>
    <row r="903">
      <c r="A903" s="278">
        <v>902.0</v>
      </c>
      <c r="B903" s="279">
        <v>44663.0</v>
      </c>
      <c r="C903" s="195" t="str">
        <f t="shared" si="8"/>
        <v>42022</v>
      </c>
      <c r="D903" s="280" t="s">
        <v>2727</v>
      </c>
      <c r="E903" s="278" t="s">
        <v>2728</v>
      </c>
      <c r="F903" s="280" t="s">
        <v>1423</v>
      </c>
      <c r="G903" s="278" t="s">
        <v>64</v>
      </c>
      <c r="H903" s="278" t="s">
        <v>41</v>
      </c>
      <c r="I903" s="278" t="s">
        <v>643</v>
      </c>
      <c r="J903" s="281">
        <v>1.0</v>
      </c>
      <c r="K903" s="282"/>
      <c r="L903" s="282"/>
      <c r="M903" s="282"/>
      <c r="N903" s="282"/>
      <c r="O903" s="282"/>
      <c r="P903" s="282"/>
      <c r="Q903" s="283"/>
      <c r="R903" s="283"/>
      <c r="S903" s="278" t="s">
        <v>105</v>
      </c>
      <c r="T903" s="278" t="s">
        <v>66</v>
      </c>
      <c r="U903" s="278" t="s">
        <v>99</v>
      </c>
      <c r="V903" s="278" t="s">
        <v>1984</v>
      </c>
      <c r="W903" s="284"/>
      <c r="X903" s="284"/>
      <c r="Y903" s="284"/>
      <c r="Z903" s="284"/>
      <c r="AA903" s="285">
        <v>9880.0</v>
      </c>
      <c r="AB903" s="285">
        <v>39520.0</v>
      </c>
      <c r="AC903" s="24" t="s">
        <v>2729</v>
      </c>
      <c r="AD903" s="195">
        <v>7122.0</v>
      </c>
      <c r="AE903" s="38"/>
      <c r="AF903" s="278" t="str">
        <f t="shared" si="1"/>
        <v>Buenos Aires, Argentina</v>
      </c>
      <c r="AG903" s="278">
        <f t="shared" si="2"/>
        <v>1</v>
      </c>
      <c r="AH903" s="286">
        <f t="shared" si="3"/>
        <v>0</v>
      </c>
      <c r="AI903" s="286">
        <f t="shared" si="4"/>
        <v>0</v>
      </c>
      <c r="AJ903" s="285">
        <f t="shared" si="5"/>
        <v>49400</v>
      </c>
      <c r="AK903" s="285">
        <f t="shared" si="6"/>
        <v>49400</v>
      </c>
      <c r="AL903" s="287"/>
      <c r="AM903" s="287"/>
    </row>
    <row r="904">
      <c r="A904" s="278">
        <v>903.0</v>
      </c>
      <c r="B904" s="279">
        <v>44663.0</v>
      </c>
      <c r="C904" s="195" t="str">
        <f t="shared" si="8"/>
        <v>42022</v>
      </c>
      <c r="D904" s="280" t="s">
        <v>2730</v>
      </c>
      <c r="E904" s="278" t="s">
        <v>2731</v>
      </c>
      <c r="F904" s="280" t="s">
        <v>2248</v>
      </c>
      <c r="G904" s="278" t="s">
        <v>64</v>
      </c>
      <c r="H904" s="278" t="s">
        <v>41</v>
      </c>
      <c r="I904" s="278" t="s">
        <v>643</v>
      </c>
      <c r="J904" s="282"/>
      <c r="K904" s="282"/>
      <c r="L904" s="282"/>
      <c r="M904" s="282"/>
      <c r="N904" s="282"/>
      <c r="O904" s="282"/>
      <c r="P904" s="282"/>
      <c r="Q904" s="283"/>
      <c r="R904" s="283"/>
      <c r="S904" s="278" t="s">
        <v>137</v>
      </c>
      <c r="T904" s="278" t="s">
        <v>66</v>
      </c>
      <c r="U904" s="278" t="s">
        <v>99</v>
      </c>
      <c r="V904" s="278" t="s">
        <v>1984</v>
      </c>
      <c r="W904" s="284"/>
      <c r="X904" s="284"/>
      <c r="Y904" s="284"/>
      <c r="Z904" s="284"/>
      <c r="AA904" s="285">
        <v>0.0</v>
      </c>
      <c r="AB904" s="285">
        <v>44460.0</v>
      </c>
      <c r="AC904" s="24" t="s">
        <v>2732</v>
      </c>
      <c r="AD904" s="195">
        <v>7128.0</v>
      </c>
      <c r="AE904" s="38"/>
      <c r="AF904" s="278" t="str">
        <f t="shared" si="1"/>
        <v>Buenos Aires, Argentina</v>
      </c>
      <c r="AG904" s="278">
        <f t="shared" si="2"/>
        <v>0</v>
      </c>
      <c r="AH904" s="286">
        <f t="shared" si="3"/>
        <v>0</v>
      </c>
      <c r="AI904" s="286">
        <f t="shared" si="4"/>
        <v>0</v>
      </c>
      <c r="AJ904" s="285">
        <f t="shared" si="5"/>
        <v>44460</v>
      </c>
      <c r="AK904" s="285">
        <f t="shared" si="6"/>
        <v>44460</v>
      </c>
      <c r="AL904" s="287"/>
      <c r="AM904" s="287"/>
    </row>
    <row r="905">
      <c r="A905" s="278">
        <v>904.0</v>
      </c>
      <c r="B905" s="279">
        <v>44663.0</v>
      </c>
      <c r="C905" s="195" t="str">
        <f t="shared" si="8"/>
        <v>42022</v>
      </c>
      <c r="D905" s="280" t="s">
        <v>2733</v>
      </c>
      <c r="E905" s="278" t="s">
        <v>2195</v>
      </c>
      <c r="F905" s="280" t="s">
        <v>13</v>
      </c>
      <c r="G905" s="278" t="s">
        <v>64</v>
      </c>
      <c r="H905" s="278" t="s">
        <v>41</v>
      </c>
      <c r="I905" s="278" t="s">
        <v>643</v>
      </c>
      <c r="J905" s="282"/>
      <c r="K905" s="282"/>
      <c r="L905" s="282"/>
      <c r="M905" s="282"/>
      <c r="N905" s="281">
        <v>1.0</v>
      </c>
      <c r="O905" s="282"/>
      <c r="P905" s="282"/>
      <c r="Q905" s="283"/>
      <c r="R905" s="283"/>
      <c r="S905" s="278" t="s">
        <v>65</v>
      </c>
      <c r="T905" s="278" t="s">
        <v>66</v>
      </c>
      <c r="U905" s="278" t="s">
        <v>99</v>
      </c>
      <c r="V905" s="278" t="s">
        <v>1984</v>
      </c>
      <c r="W905" s="284"/>
      <c r="X905" s="284"/>
      <c r="Y905" s="284"/>
      <c r="Z905" s="284"/>
      <c r="AA905" s="285">
        <v>9880.0</v>
      </c>
      <c r="AB905" s="285">
        <v>0.0</v>
      </c>
      <c r="AC905" s="24" t="s">
        <v>2734</v>
      </c>
      <c r="AD905" s="195">
        <v>7136.0</v>
      </c>
      <c r="AE905" s="38"/>
      <c r="AF905" s="278" t="str">
        <f t="shared" si="1"/>
        <v>Buenos Aires, Argentina</v>
      </c>
      <c r="AG905" s="278">
        <f t="shared" si="2"/>
        <v>1</v>
      </c>
      <c r="AH905" s="286">
        <f t="shared" si="3"/>
        <v>0</v>
      </c>
      <c r="AI905" s="286">
        <f t="shared" si="4"/>
        <v>0</v>
      </c>
      <c r="AJ905" s="285">
        <f t="shared" si="5"/>
        <v>9880</v>
      </c>
      <c r="AK905" s="285">
        <f t="shared" si="6"/>
        <v>9880</v>
      </c>
      <c r="AL905" s="287"/>
      <c r="AM905" s="287"/>
    </row>
    <row r="906">
      <c r="A906" s="278">
        <v>905.0</v>
      </c>
      <c r="B906" s="279">
        <v>44664.0</v>
      </c>
      <c r="C906" s="195" t="str">
        <f t="shared" si="8"/>
        <v>42022</v>
      </c>
      <c r="D906" s="280" t="s">
        <v>2735</v>
      </c>
      <c r="E906" s="278" t="s">
        <v>2736</v>
      </c>
      <c r="F906" s="280" t="s">
        <v>2585</v>
      </c>
      <c r="G906" s="278" t="s">
        <v>64</v>
      </c>
      <c r="H906" s="278" t="s">
        <v>41</v>
      </c>
      <c r="I906" s="278" t="s">
        <v>643</v>
      </c>
      <c r="J906" s="282"/>
      <c r="K906" s="282"/>
      <c r="L906" s="282"/>
      <c r="M906" s="282"/>
      <c r="N906" s="282"/>
      <c r="O906" s="282"/>
      <c r="P906" s="282"/>
      <c r="Q906" s="283"/>
      <c r="R906" s="283"/>
      <c r="S906" s="278" t="s">
        <v>105</v>
      </c>
      <c r="T906" s="278" t="s">
        <v>66</v>
      </c>
      <c r="U906" s="278" t="s">
        <v>99</v>
      </c>
      <c r="V906" s="278" t="s">
        <v>1984</v>
      </c>
      <c r="W906" s="285">
        <v>17550.0</v>
      </c>
      <c r="X906" s="285">
        <v>0.0</v>
      </c>
      <c r="Y906" s="284"/>
      <c r="Z906" s="284"/>
      <c r="AA906" s="285">
        <v>0.0</v>
      </c>
      <c r="AB906" s="285">
        <v>0.0</v>
      </c>
      <c r="AC906" s="24" t="s">
        <v>2737</v>
      </c>
      <c r="AD906" s="195">
        <v>7144.0</v>
      </c>
      <c r="AE906" s="38"/>
      <c r="AF906" s="278" t="str">
        <f t="shared" si="1"/>
        <v>Buenos Aires, Argentina</v>
      </c>
      <c r="AG906" s="278">
        <f t="shared" si="2"/>
        <v>0</v>
      </c>
      <c r="AH906" s="286">
        <f t="shared" si="3"/>
        <v>17550</v>
      </c>
      <c r="AI906" s="286">
        <f t="shared" si="4"/>
        <v>0</v>
      </c>
      <c r="AJ906" s="285">
        <f t="shared" si="5"/>
        <v>0</v>
      </c>
      <c r="AK906" s="285">
        <f t="shared" si="6"/>
        <v>17550</v>
      </c>
      <c r="AL906" s="287"/>
      <c r="AM906" s="287"/>
    </row>
    <row r="907">
      <c r="A907" s="278">
        <v>906.0</v>
      </c>
      <c r="B907" s="279">
        <v>44664.0</v>
      </c>
      <c r="C907" s="195" t="str">
        <f t="shared" si="8"/>
        <v>42022</v>
      </c>
      <c r="D907" s="280" t="s">
        <v>2721</v>
      </c>
      <c r="E907" s="278" t="s">
        <v>2722</v>
      </c>
      <c r="F907" s="280" t="s">
        <v>2738</v>
      </c>
      <c r="G907" s="278" t="s">
        <v>64</v>
      </c>
      <c r="H907" s="278" t="s">
        <v>41</v>
      </c>
      <c r="I907" s="278" t="s">
        <v>643</v>
      </c>
      <c r="J907" s="282"/>
      <c r="K907" s="282"/>
      <c r="L907" s="282"/>
      <c r="M907" s="282"/>
      <c r="N907" s="282"/>
      <c r="O907" s="282"/>
      <c r="P907" s="282"/>
      <c r="Q907" s="283"/>
      <c r="R907" s="283"/>
      <c r="S907" s="278" t="s">
        <v>65</v>
      </c>
      <c r="T907" s="278" t="s">
        <v>66</v>
      </c>
      <c r="U907" s="278" t="s">
        <v>99</v>
      </c>
      <c r="V907" s="278" t="s">
        <v>1984</v>
      </c>
      <c r="W907" s="285">
        <v>11050.0</v>
      </c>
      <c r="X907" s="285">
        <v>0.0</v>
      </c>
      <c r="Y907" s="284"/>
      <c r="Z907" s="284"/>
      <c r="AA907" s="285">
        <v>0.0</v>
      </c>
      <c r="AB907" s="285">
        <v>0.0</v>
      </c>
      <c r="AC907" s="38"/>
      <c r="AD907" s="195">
        <v>7148.0</v>
      </c>
      <c r="AE907" s="38"/>
      <c r="AF907" s="278" t="str">
        <f t="shared" si="1"/>
        <v>Buenos Aires, Argentina</v>
      </c>
      <c r="AG907" s="278">
        <f t="shared" si="2"/>
        <v>0</v>
      </c>
      <c r="AH907" s="286">
        <f t="shared" si="3"/>
        <v>11050</v>
      </c>
      <c r="AI907" s="286">
        <f t="shared" si="4"/>
        <v>0</v>
      </c>
      <c r="AJ907" s="285">
        <f t="shared" si="5"/>
        <v>0</v>
      </c>
      <c r="AK907" s="285">
        <f t="shared" si="6"/>
        <v>11050</v>
      </c>
      <c r="AL907" s="287"/>
      <c r="AM907" s="287"/>
    </row>
    <row r="908">
      <c r="A908" s="278">
        <v>907.0</v>
      </c>
      <c r="B908" s="279">
        <v>44665.0</v>
      </c>
      <c r="C908" s="195" t="str">
        <f t="shared" si="8"/>
        <v>42022</v>
      </c>
      <c r="D908" s="280" t="s">
        <v>2163</v>
      </c>
      <c r="E908" s="278" t="s">
        <v>2255</v>
      </c>
      <c r="F908" s="280" t="s">
        <v>1423</v>
      </c>
      <c r="G908" s="278" t="s">
        <v>64</v>
      </c>
      <c r="H908" s="278" t="s">
        <v>41</v>
      </c>
      <c r="I908" s="278" t="s">
        <v>643</v>
      </c>
      <c r="J908" s="281">
        <v>1.0</v>
      </c>
      <c r="K908" s="282"/>
      <c r="L908" s="282"/>
      <c r="M908" s="282"/>
      <c r="N908" s="282"/>
      <c r="O908" s="282"/>
      <c r="P908" s="282"/>
      <c r="Q908" s="283"/>
      <c r="R908" s="283"/>
      <c r="S908" s="278" t="s">
        <v>65</v>
      </c>
      <c r="T908" s="278" t="s">
        <v>66</v>
      </c>
      <c r="U908" s="278" t="s">
        <v>99</v>
      </c>
      <c r="V908" s="278" t="s">
        <v>1984</v>
      </c>
      <c r="W908" s="284"/>
      <c r="X908" s="284"/>
      <c r="Y908" s="284"/>
      <c r="Z908" s="284"/>
      <c r="AA908" s="285">
        <v>9880.0</v>
      </c>
      <c r="AB908" s="285">
        <v>39520.0</v>
      </c>
      <c r="AC908" s="24" t="s">
        <v>2739</v>
      </c>
      <c r="AD908" s="195">
        <v>7156.0</v>
      </c>
      <c r="AE908" s="38"/>
      <c r="AF908" s="278" t="str">
        <f t="shared" si="1"/>
        <v>Buenos Aires, Argentina</v>
      </c>
      <c r="AG908" s="278">
        <f t="shared" si="2"/>
        <v>1</v>
      </c>
      <c r="AH908" s="286">
        <f t="shared" si="3"/>
        <v>0</v>
      </c>
      <c r="AI908" s="286">
        <f t="shared" si="4"/>
        <v>0</v>
      </c>
      <c r="AJ908" s="285">
        <f t="shared" si="5"/>
        <v>49400</v>
      </c>
      <c r="AK908" s="285">
        <f t="shared" si="6"/>
        <v>49400</v>
      </c>
      <c r="AL908" s="287"/>
      <c r="AM908" s="287"/>
    </row>
    <row r="909">
      <c r="A909" s="278">
        <v>908.0</v>
      </c>
      <c r="B909" s="279">
        <v>44670.0</v>
      </c>
      <c r="C909" s="195" t="str">
        <f t="shared" si="8"/>
        <v>42022</v>
      </c>
      <c r="D909" s="280" t="s">
        <v>2740</v>
      </c>
      <c r="E909" s="278" t="s">
        <v>2741</v>
      </c>
      <c r="F909" s="280" t="s">
        <v>2738</v>
      </c>
      <c r="G909" s="278" t="s">
        <v>64</v>
      </c>
      <c r="H909" s="278" t="s">
        <v>41</v>
      </c>
      <c r="I909" s="278" t="s">
        <v>643</v>
      </c>
      <c r="J909" s="282"/>
      <c r="K909" s="282"/>
      <c r="L909" s="282"/>
      <c r="M909" s="282"/>
      <c r="N909" s="282"/>
      <c r="O909" s="282"/>
      <c r="P909" s="282"/>
      <c r="Q909" s="283"/>
      <c r="R909" s="283"/>
      <c r="S909" s="278" t="s">
        <v>137</v>
      </c>
      <c r="T909" s="278" t="s">
        <v>83</v>
      </c>
      <c r="U909" s="278" t="s">
        <v>99</v>
      </c>
      <c r="V909" s="278" t="s">
        <v>1984</v>
      </c>
      <c r="W909" s="285">
        <v>11050.0</v>
      </c>
      <c r="X909" s="285">
        <v>0.0</v>
      </c>
      <c r="Y909" s="284"/>
      <c r="Z909" s="284"/>
      <c r="AA909" s="285">
        <v>0.0</v>
      </c>
      <c r="AB909" s="285">
        <v>0.0</v>
      </c>
      <c r="AC909" s="24" t="s">
        <v>2742</v>
      </c>
      <c r="AD909" s="195">
        <v>7162.0</v>
      </c>
      <c r="AE909" s="38"/>
      <c r="AF909" s="278" t="str">
        <f t="shared" si="1"/>
        <v>Capital Federal, Argentina</v>
      </c>
      <c r="AG909" s="278">
        <f t="shared" si="2"/>
        <v>0</v>
      </c>
      <c r="AH909" s="286">
        <f t="shared" si="3"/>
        <v>11050</v>
      </c>
      <c r="AI909" s="286">
        <f t="shared" si="4"/>
        <v>0</v>
      </c>
      <c r="AJ909" s="285">
        <f t="shared" si="5"/>
        <v>0</v>
      </c>
      <c r="AK909" s="285">
        <f t="shared" si="6"/>
        <v>11050</v>
      </c>
      <c r="AL909" s="287"/>
      <c r="AM909" s="287"/>
    </row>
    <row r="910">
      <c r="A910" s="278">
        <v>909.0</v>
      </c>
      <c r="B910" s="279">
        <v>44670.0</v>
      </c>
      <c r="C910" s="195" t="str">
        <f t="shared" si="8"/>
        <v>42022</v>
      </c>
      <c r="D910" s="280" t="s">
        <v>2743</v>
      </c>
      <c r="E910" s="278" t="s">
        <v>2744</v>
      </c>
      <c r="F910" s="280" t="s">
        <v>2745</v>
      </c>
      <c r="G910" s="278" t="s">
        <v>64</v>
      </c>
      <c r="H910" s="278" t="s">
        <v>41</v>
      </c>
      <c r="I910" s="278" t="s">
        <v>643</v>
      </c>
      <c r="J910" s="282"/>
      <c r="K910" s="282"/>
      <c r="L910" s="282"/>
      <c r="M910" s="282"/>
      <c r="N910" s="282"/>
      <c r="O910" s="282"/>
      <c r="P910" s="282"/>
      <c r="Q910" s="283"/>
      <c r="R910" s="283"/>
      <c r="S910" s="278" t="s">
        <v>72</v>
      </c>
      <c r="T910" s="278" t="s">
        <v>66</v>
      </c>
      <c r="U910" s="278" t="s">
        <v>99</v>
      </c>
      <c r="V910" s="278" t="s">
        <v>1984</v>
      </c>
      <c r="W910" s="285">
        <v>13000.0</v>
      </c>
      <c r="X910" s="285">
        <v>0.0</v>
      </c>
      <c r="Y910" s="284"/>
      <c r="Z910" s="284"/>
      <c r="AA910" s="285">
        <v>0.0</v>
      </c>
      <c r="AB910" s="285">
        <v>0.0</v>
      </c>
      <c r="AC910" s="24" t="s">
        <v>2746</v>
      </c>
      <c r="AD910" s="195">
        <v>7166.0</v>
      </c>
      <c r="AE910" s="38"/>
      <c r="AF910" s="278" t="str">
        <f t="shared" si="1"/>
        <v>Buenos Aires, Argentina</v>
      </c>
      <c r="AG910" s="278">
        <f t="shared" si="2"/>
        <v>0</v>
      </c>
      <c r="AH910" s="286">
        <f t="shared" si="3"/>
        <v>13000</v>
      </c>
      <c r="AI910" s="286">
        <f t="shared" si="4"/>
        <v>0</v>
      </c>
      <c r="AJ910" s="285">
        <f t="shared" si="5"/>
        <v>0</v>
      </c>
      <c r="AK910" s="285">
        <f t="shared" si="6"/>
        <v>13000</v>
      </c>
      <c r="AL910" s="287"/>
      <c r="AM910" s="287"/>
    </row>
    <row r="911">
      <c r="A911" s="278">
        <v>910.0</v>
      </c>
      <c r="B911" s="279">
        <v>44672.0</v>
      </c>
      <c r="C911" s="195" t="str">
        <f t="shared" si="8"/>
        <v>42022</v>
      </c>
      <c r="D911" s="280" t="s">
        <v>2174</v>
      </c>
      <c r="E911" s="278" t="s">
        <v>2175</v>
      </c>
      <c r="F911" s="280" t="s">
        <v>2738</v>
      </c>
      <c r="G911" s="278" t="s">
        <v>64</v>
      </c>
      <c r="H911" s="278" t="s">
        <v>41</v>
      </c>
      <c r="I911" s="278" t="s">
        <v>643</v>
      </c>
      <c r="J911" s="282"/>
      <c r="K911" s="282"/>
      <c r="L911" s="282"/>
      <c r="M911" s="282"/>
      <c r="N911" s="282"/>
      <c r="O911" s="282"/>
      <c r="P911" s="282"/>
      <c r="Q911" s="283"/>
      <c r="R911" s="283"/>
      <c r="S911" s="278" t="s">
        <v>65</v>
      </c>
      <c r="T911" s="278" t="s">
        <v>66</v>
      </c>
      <c r="U911" s="278" t="s">
        <v>99</v>
      </c>
      <c r="V911" s="278" t="s">
        <v>1984</v>
      </c>
      <c r="W911" s="285">
        <v>11050.0</v>
      </c>
      <c r="X911" s="285">
        <v>0.0</v>
      </c>
      <c r="Y911" s="284"/>
      <c r="Z911" s="284"/>
      <c r="AA911" s="285">
        <v>0.0</v>
      </c>
      <c r="AB911" s="285">
        <v>0.0</v>
      </c>
      <c r="AC911" s="24" t="s">
        <v>2747</v>
      </c>
      <c r="AD911" s="195">
        <v>7174.0</v>
      </c>
      <c r="AE911" s="38"/>
      <c r="AF911" s="278" t="str">
        <f t="shared" si="1"/>
        <v>Buenos Aires, Argentina</v>
      </c>
      <c r="AG911" s="278">
        <f t="shared" si="2"/>
        <v>0</v>
      </c>
      <c r="AH911" s="286">
        <f t="shared" si="3"/>
        <v>11050</v>
      </c>
      <c r="AI911" s="286">
        <f t="shared" si="4"/>
        <v>0</v>
      </c>
      <c r="AJ911" s="285">
        <f t="shared" si="5"/>
        <v>0</v>
      </c>
      <c r="AK911" s="285">
        <f t="shared" si="6"/>
        <v>11050</v>
      </c>
      <c r="AL911" s="287"/>
      <c r="AM911" s="287"/>
    </row>
    <row r="912">
      <c r="A912" s="278">
        <v>911.0</v>
      </c>
      <c r="B912" s="279">
        <v>44673.0</v>
      </c>
      <c r="C912" s="195" t="str">
        <f t="shared" si="8"/>
        <v>42022</v>
      </c>
      <c r="D912" s="280" t="s">
        <v>2748</v>
      </c>
      <c r="E912" s="278" t="s">
        <v>2749</v>
      </c>
      <c r="F912" s="280" t="s">
        <v>1357</v>
      </c>
      <c r="G912" s="278" t="s">
        <v>64</v>
      </c>
      <c r="H912" s="278" t="s">
        <v>41</v>
      </c>
      <c r="I912" s="278" t="s">
        <v>643</v>
      </c>
      <c r="J912" s="282"/>
      <c r="K912" s="282"/>
      <c r="L912" s="282"/>
      <c r="M912" s="282"/>
      <c r="N912" s="282"/>
      <c r="O912" s="282"/>
      <c r="P912" s="281">
        <v>1.0</v>
      </c>
      <c r="Q912" s="283"/>
      <c r="R912" s="283"/>
      <c r="S912" s="278" t="s">
        <v>65</v>
      </c>
      <c r="T912" s="278" t="s">
        <v>66</v>
      </c>
      <c r="U912" s="278" t="s">
        <v>99</v>
      </c>
      <c r="V912" s="278" t="s">
        <v>1984</v>
      </c>
      <c r="W912" s="284"/>
      <c r="X912" s="284"/>
      <c r="Y912" s="284"/>
      <c r="Z912" s="284"/>
      <c r="AA912" s="285">
        <v>7410.0</v>
      </c>
      <c r="AB912" s="285">
        <v>0.0</v>
      </c>
      <c r="AC912" s="24" t="s">
        <v>2750</v>
      </c>
      <c r="AD912" s="195">
        <v>7178.0</v>
      </c>
      <c r="AE912" s="38"/>
      <c r="AF912" s="278" t="str">
        <f t="shared" si="1"/>
        <v>Buenos Aires, Argentina</v>
      </c>
      <c r="AG912" s="278">
        <f t="shared" si="2"/>
        <v>1</v>
      </c>
      <c r="AH912" s="286">
        <f t="shared" si="3"/>
        <v>0</v>
      </c>
      <c r="AI912" s="286">
        <f t="shared" si="4"/>
        <v>0</v>
      </c>
      <c r="AJ912" s="285">
        <f t="shared" si="5"/>
        <v>7410</v>
      </c>
      <c r="AK912" s="285">
        <f t="shared" si="6"/>
        <v>7410</v>
      </c>
      <c r="AL912" s="287"/>
      <c r="AM912" s="287"/>
    </row>
    <row r="913">
      <c r="A913" s="278">
        <v>912.0</v>
      </c>
      <c r="B913" s="279">
        <v>44673.0</v>
      </c>
      <c r="C913" s="195" t="str">
        <f t="shared" si="8"/>
        <v>42022</v>
      </c>
      <c r="D913" s="280" t="s">
        <v>2748</v>
      </c>
      <c r="E913" s="278" t="s">
        <v>2749</v>
      </c>
      <c r="F913" s="280" t="s">
        <v>2656</v>
      </c>
      <c r="G913" s="278" t="s">
        <v>64</v>
      </c>
      <c r="H913" s="278" t="s">
        <v>41</v>
      </c>
      <c r="I913" s="278" t="s">
        <v>643</v>
      </c>
      <c r="J913" s="282"/>
      <c r="K913" s="282"/>
      <c r="L913" s="282"/>
      <c r="M913" s="282"/>
      <c r="N913" s="282"/>
      <c r="O913" s="282"/>
      <c r="P913" s="282"/>
      <c r="Q913" s="283"/>
      <c r="R913" s="283"/>
      <c r="S913" s="278" t="s">
        <v>65</v>
      </c>
      <c r="T913" s="278" t="s">
        <v>66</v>
      </c>
      <c r="U913" s="278" t="s">
        <v>99</v>
      </c>
      <c r="V913" s="278" t="s">
        <v>1984</v>
      </c>
      <c r="W913" s="285">
        <v>9100.0</v>
      </c>
      <c r="X913" s="285">
        <v>0.0</v>
      </c>
      <c r="Y913" s="284"/>
      <c r="Z913" s="284"/>
      <c r="AA913" s="285">
        <v>0.0</v>
      </c>
      <c r="AB913" s="285">
        <v>0.0</v>
      </c>
      <c r="AC913" s="24" t="s">
        <v>2751</v>
      </c>
      <c r="AD913" s="195">
        <v>7180.0</v>
      </c>
      <c r="AE913" s="38"/>
      <c r="AF913" s="278" t="str">
        <f t="shared" si="1"/>
        <v>Buenos Aires, Argentina</v>
      </c>
      <c r="AG913" s="278">
        <f t="shared" si="2"/>
        <v>0</v>
      </c>
      <c r="AH913" s="286">
        <f t="shared" si="3"/>
        <v>9100</v>
      </c>
      <c r="AI913" s="286">
        <f t="shared" si="4"/>
        <v>0</v>
      </c>
      <c r="AJ913" s="285">
        <f t="shared" si="5"/>
        <v>0</v>
      </c>
      <c r="AK913" s="285">
        <f t="shared" si="6"/>
        <v>9100</v>
      </c>
      <c r="AL913" s="287"/>
      <c r="AM913" s="287"/>
    </row>
    <row r="914">
      <c r="A914" s="278">
        <v>913.0</v>
      </c>
      <c r="B914" s="279">
        <v>44673.0</v>
      </c>
      <c r="C914" s="195" t="str">
        <f t="shared" si="8"/>
        <v>42022</v>
      </c>
      <c r="D914" s="280" t="s">
        <v>801</v>
      </c>
      <c r="E914" s="278" t="s">
        <v>802</v>
      </c>
      <c r="F914" s="280" t="s">
        <v>2752</v>
      </c>
      <c r="G914" s="278" t="s">
        <v>64</v>
      </c>
      <c r="H914" s="278" t="s">
        <v>41</v>
      </c>
      <c r="I914" s="278" t="s">
        <v>643</v>
      </c>
      <c r="J914" s="282"/>
      <c r="K914" s="282"/>
      <c r="L914" s="282"/>
      <c r="M914" s="282"/>
      <c r="N914" s="282"/>
      <c r="O914" s="282"/>
      <c r="P914" s="282"/>
      <c r="Q914" s="283"/>
      <c r="R914" s="283"/>
      <c r="S914" s="278" t="s">
        <v>98</v>
      </c>
      <c r="T914" s="278" t="s">
        <v>83</v>
      </c>
      <c r="U914" s="278" t="s">
        <v>99</v>
      </c>
      <c r="V914" s="278" t="s">
        <v>1984</v>
      </c>
      <c r="W914" s="285">
        <v>16900.0</v>
      </c>
      <c r="X914" s="285">
        <v>0.0</v>
      </c>
      <c r="Y914" s="284"/>
      <c r="Z914" s="284"/>
      <c r="AA914" s="285">
        <v>0.0</v>
      </c>
      <c r="AB914" s="285">
        <v>0.0</v>
      </c>
      <c r="AC914" s="24" t="s">
        <v>2753</v>
      </c>
      <c r="AD914" s="195">
        <v>7182.0</v>
      </c>
      <c r="AE914" s="38"/>
      <c r="AF914" s="278" t="str">
        <f t="shared" si="1"/>
        <v>Capital Federal, Argentina</v>
      </c>
      <c r="AG914" s="278">
        <f t="shared" si="2"/>
        <v>0</v>
      </c>
      <c r="AH914" s="286">
        <f t="shared" si="3"/>
        <v>16900</v>
      </c>
      <c r="AI914" s="286">
        <f t="shared" si="4"/>
        <v>0</v>
      </c>
      <c r="AJ914" s="285">
        <f t="shared" si="5"/>
        <v>0</v>
      </c>
      <c r="AK914" s="285">
        <f t="shared" si="6"/>
        <v>16900</v>
      </c>
      <c r="AL914" s="287"/>
      <c r="AM914" s="287"/>
    </row>
    <row r="915">
      <c r="A915" s="278">
        <v>914.0</v>
      </c>
      <c r="B915" s="279">
        <v>44673.0</v>
      </c>
      <c r="C915" s="195" t="str">
        <f t="shared" si="8"/>
        <v>42022</v>
      </c>
      <c r="D915" s="280" t="s">
        <v>2435</v>
      </c>
      <c r="E915" s="278" t="s">
        <v>2436</v>
      </c>
      <c r="F915" s="280" t="s">
        <v>2752</v>
      </c>
      <c r="G915" s="278" t="s">
        <v>64</v>
      </c>
      <c r="H915" s="278" t="s">
        <v>41</v>
      </c>
      <c r="I915" s="278" t="s">
        <v>643</v>
      </c>
      <c r="J915" s="282"/>
      <c r="K915" s="282"/>
      <c r="L915" s="282"/>
      <c r="M915" s="282"/>
      <c r="N915" s="282"/>
      <c r="O915" s="282"/>
      <c r="P915" s="282"/>
      <c r="Q915" s="283"/>
      <c r="R915" s="283"/>
      <c r="S915" s="278" t="s">
        <v>137</v>
      </c>
      <c r="T915" s="278" t="s">
        <v>66</v>
      </c>
      <c r="U915" s="278" t="s">
        <v>99</v>
      </c>
      <c r="V915" s="278" t="s">
        <v>1984</v>
      </c>
      <c r="W915" s="285">
        <v>16900.0</v>
      </c>
      <c r="X915" s="285">
        <v>0.0</v>
      </c>
      <c r="Y915" s="284"/>
      <c r="Z915" s="284"/>
      <c r="AA915" s="285">
        <v>0.0</v>
      </c>
      <c r="AB915" s="285">
        <v>0.0</v>
      </c>
      <c r="AC915" s="24" t="s">
        <v>2754</v>
      </c>
      <c r="AD915" s="195">
        <v>7184.0</v>
      </c>
      <c r="AE915" s="38"/>
      <c r="AF915" s="278" t="str">
        <f t="shared" si="1"/>
        <v>Buenos Aires, Argentina</v>
      </c>
      <c r="AG915" s="278">
        <f t="shared" si="2"/>
        <v>0</v>
      </c>
      <c r="AH915" s="286">
        <f t="shared" si="3"/>
        <v>16900</v>
      </c>
      <c r="AI915" s="286">
        <f t="shared" si="4"/>
        <v>0</v>
      </c>
      <c r="AJ915" s="285">
        <f t="shared" si="5"/>
        <v>0</v>
      </c>
      <c r="AK915" s="285">
        <f t="shared" si="6"/>
        <v>16900</v>
      </c>
      <c r="AL915" s="287"/>
      <c r="AM915" s="287"/>
    </row>
    <row r="916">
      <c r="A916" s="278">
        <v>915.0</v>
      </c>
      <c r="B916" s="279">
        <v>44673.0</v>
      </c>
      <c r="C916" s="195" t="str">
        <f t="shared" si="8"/>
        <v>42022</v>
      </c>
      <c r="D916" s="280" t="s">
        <v>2435</v>
      </c>
      <c r="E916" s="278" t="s">
        <v>2436</v>
      </c>
      <c r="F916" s="280" t="s">
        <v>13</v>
      </c>
      <c r="G916" s="278" t="s">
        <v>64</v>
      </c>
      <c r="H916" s="278" t="s">
        <v>41</v>
      </c>
      <c r="I916" s="278" t="s">
        <v>643</v>
      </c>
      <c r="J916" s="282"/>
      <c r="K916" s="282"/>
      <c r="L916" s="282"/>
      <c r="M916" s="282"/>
      <c r="N916" s="281">
        <v>1.0</v>
      </c>
      <c r="O916" s="282"/>
      <c r="P916" s="282"/>
      <c r="Q916" s="283"/>
      <c r="R916" s="283"/>
      <c r="S916" s="278" t="s">
        <v>137</v>
      </c>
      <c r="T916" s="278" t="s">
        <v>66</v>
      </c>
      <c r="U916" s="278" t="s">
        <v>99</v>
      </c>
      <c r="V916" s="278" t="s">
        <v>1984</v>
      </c>
      <c r="W916" s="284"/>
      <c r="X916" s="284"/>
      <c r="Y916" s="284"/>
      <c r="Z916" s="284"/>
      <c r="AA916" s="285">
        <v>9880.0</v>
      </c>
      <c r="AB916" s="285">
        <v>0.0</v>
      </c>
      <c r="AC916" s="24" t="s">
        <v>2755</v>
      </c>
      <c r="AD916" s="195">
        <v>7186.0</v>
      </c>
      <c r="AE916" s="38"/>
      <c r="AF916" s="278" t="str">
        <f t="shared" si="1"/>
        <v>Buenos Aires, Argentina</v>
      </c>
      <c r="AG916" s="278">
        <f t="shared" si="2"/>
        <v>1</v>
      </c>
      <c r="AH916" s="286">
        <f t="shared" si="3"/>
        <v>0</v>
      </c>
      <c r="AI916" s="286">
        <f t="shared" si="4"/>
        <v>0</v>
      </c>
      <c r="AJ916" s="285">
        <f t="shared" si="5"/>
        <v>9880</v>
      </c>
      <c r="AK916" s="285">
        <f t="shared" si="6"/>
        <v>9880</v>
      </c>
      <c r="AL916" s="287"/>
      <c r="AM916" s="287"/>
    </row>
    <row r="917">
      <c r="A917" s="278">
        <v>916.0</v>
      </c>
      <c r="B917" s="279">
        <v>44676.0</v>
      </c>
      <c r="C917" s="195" t="str">
        <f t="shared" si="8"/>
        <v>42022</v>
      </c>
      <c r="D917" s="280" t="s">
        <v>2153</v>
      </c>
      <c r="E917" s="278" t="s">
        <v>2154</v>
      </c>
      <c r="F917" s="280" t="s">
        <v>2756</v>
      </c>
      <c r="G917" s="278" t="s">
        <v>64</v>
      </c>
      <c r="H917" s="278" t="s">
        <v>41</v>
      </c>
      <c r="I917" s="278" t="s">
        <v>643</v>
      </c>
      <c r="J917" s="282"/>
      <c r="K917" s="282"/>
      <c r="L917" s="282"/>
      <c r="M917" s="282"/>
      <c r="N917" s="282"/>
      <c r="O917" s="282"/>
      <c r="P917" s="282"/>
      <c r="Q917" s="283"/>
      <c r="R917" s="283"/>
      <c r="S917" s="278" t="s">
        <v>65</v>
      </c>
      <c r="T917" s="278" t="s">
        <v>66</v>
      </c>
      <c r="U917" s="278" t="s">
        <v>99</v>
      </c>
      <c r="V917" s="278" t="s">
        <v>1984</v>
      </c>
      <c r="W917" s="285">
        <v>16900.0</v>
      </c>
      <c r="X917" s="285">
        <v>0.0</v>
      </c>
      <c r="Y917" s="284"/>
      <c r="Z917" s="284"/>
      <c r="AA917" s="285">
        <v>0.0</v>
      </c>
      <c r="AB917" s="285">
        <v>0.0</v>
      </c>
      <c r="AC917" s="24" t="s">
        <v>2757</v>
      </c>
      <c r="AD917" s="195">
        <v>7210.0</v>
      </c>
      <c r="AE917" s="38"/>
      <c r="AF917" s="278" t="str">
        <f t="shared" si="1"/>
        <v>Buenos Aires, Argentina</v>
      </c>
      <c r="AG917" s="278">
        <f t="shared" si="2"/>
        <v>0</v>
      </c>
      <c r="AH917" s="286">
        <f t="shared" si="3"/>
        <v>16900</v>
      </c>
      <c r="AI917" s="286">
        <f t="shared" si="4"/>
        <v>0</v>
      </c>
      <c r="AJ917" s="285">
        <f t="shared" si="5"/>
        <v>0</v>
      </c>
      <c r="AK917" s="285">
        <f t="shared" si="6"/>
        <v>16900</v>
      </c>
      <c r="AL917" s="287"/>
      <c r="AM917" s="287"/>
    </row>
    <row r="918">
      <c r="A918" s="278">
        <v>917.0</v>
      </c>
      <c r="B918" s="279">
        <v>44676.0</v>
      </c>
      <c r="C918" s="195" t="str">
        <f t="shared" si="8"/>
        <v>42022</v>
      </c>
      <c r="D918" s="280" t="s">
        <v>2252</v>
      </c>
      <c r="E918" s="278" t="s">
        <v>2253</v>
      </c>
      <c r="F918" s="280" t="s">
        <v>2758</v>
      </c>
      <c r="G918" s="278" t="s">
        <v>64</v>
      </c>
      <c r="H918" s="278" t="s">
        <v>41</v>
      </c>
      <c r="I918" s="278" t="s">
        <v>643</v>
      </c>
      <c r="J918" s="282"/>
      <c r="K918" s="282"/>
      <c r="L918" s="282"/>
      <c r="M918" s="282"/>
      <c r="N918" s="282"/>
      <c r="O918" s="282"/>
      <c r="P918" s="282"/>
      <c r="Q918" s="283"/>
      <c r="R918" s="283"/>
      <c r="S918" s="278" t="s">
        <v>189</v>
      </c>
      <c r="T918" s="278" t="s">
        <v>83</v>
      </c>
      <c r="U918" s="278" t="s">
        <v>99</v>
      </c>
      <c r="V918" s="278" t="s">
        <v>1984</v>
      </c>
      <c r="W918" s="285">
        <v>11050.0</v>
      </c>
      <c r="X918" s="285">
        <v>0.0</v>
      </c>
      <c r="Y918" s="284"/>
      <c r="Z918" s="284"/>
      <c r="AA918" s="285">
        <v>0.0</v>
      </c>
      <c r="AB918" s="285">
        <v>0.0</v>
      </c>
      <c r="AC918" s="24" t="s">
        <v>2759</v>
      </c>
      <c r="AD918" s="195">
        <v>7216.0</v>
      </c>
      <c r="AE918" s="38"/>
      <c r="AF918" s="278" t="str">
        <f t="shared" si="1"/>
        <v>Capital Federal, Argentina</v>
      </c>
      <c r="AG918" s="278">
        <f t="shared" si="2"/>
        <v>0</v>
      </c>
      <c r="AH918" s="286">
        <f t="shared" si="3"/>
        <v>11050</v>
      </c>
      <c r="AI918" s="286">
        <f t="shared" si="4"/>
        <v>0</v>
      </c>
      <c r="AJ918" s="285">
        <f t="shared" si="5"/>
        <v>0</v>
      </c>
      <c r="AK918" s="285">
        <f t="shared" si="6"/>
        <v>11050</v>
      </c>
      <c r="AL918" s="287"/>
      <c r="AM918" s="287"/>
    </row>
    <row r="919">
      <c r="A919" s="278">
        <v>918.0</v>
      </c>
      <c r="B919" s="279">
        <v>44677.0</v>
      </c>
      <c r="C919" s="195" t="str">
        <f t="shared" si="8"/>
        <v>42022</v>
      </c>
      <c r="D919" s="280" t="s">
        <v>2638</v>
      </c>
      <c r="E919" s="278" t="s">
        <v>1909</v>
      </c>
      <c r="F919" s="280" t="s">
        <v>2760</v>
      </c>
      <c r="G919" s="278" t="s">
        <v>64</v>
      </c>
      <c r="H919" s="278" t="s">
        <v>41</v>
      </c>
      <c r="I919" s="278" t="s">
        <v>643</v>
      </c>
      <c r="J919" s="282"/>
      <c r="K919" s="282"/>
      <c r="L919" s="282"/>
      <c r="M919" s="282"/>
      <c r="N919" s="282"/>
      <c r="O919" s="282"/>
      <c r="P919" s="282"/>
      <c r="Q919" s="283"/>
      <c r="R919" s="278">
        <v>5.0</v>
      </c>
      <c r="S919" s="278" t="s">
        <v>98</v>
      </c>
      <c r="T919" s="278" t="s">
        <v>83</v>
      </c>
      <c r="U919" s="278" t="s">
        <v>99</v>
      </c>
      <c r="V919" s="278" t="s">
        <v>1984</v>
      </c>
      <c r="W919" s="284"/>
      <c r="X919" s="284"/>
      <c r="Y919" s="284"/>
      <c r="Z919" s="285">
        <v>40014.0</v>
      </c>
      <c r="AA919" s="285">
        <v>0.0</v>
      </c>
      <c r="AB919" s="285">
        <v>0.0</v>
      </c>
      <c r="AC919" s="24" t="s">
        <v>2761</v>
      </c>
      <c r="AD919" s="195">
        <v>7222.0</v>
      </c>
      <c r="AE919" s="38"/>
      <c r="AF919" s="278" t="str">
        <f t="shared" si="1"/>
        <v>Capital Federal, Argentina</v>
      </c>
      <c r="AG919" s="278">
        <f t="shared" si="2"/>
        <v>0</v>
      </c>
      <c r="AH919" s="286">
        <f t="shared" si="3"/>
        <v>0</v>
      </c>
      <c r="AI919" s="286">
        <f t="shared" si="4"/>
        <v>40014</v>
      </c>
      <c r="AJ919" s="285">
        <f t="shared" si="5"/>
        <v>0</v>
      </c>
      <c r="AK919" s="285">
        <f t="shared" si="6"/>
        <v>40014</v>
      </c>
      <c r="AL919" s="287"/>
      <c r="AM919" s="287"/>
    </row>
    <row r="920">
      <c r="A920" s="278">
        <v>919.0</v>
      </c>
      <c r="B920" s="279">
        <v>44678.0</v>
      </c>
      <c r="C920" s="195" t="str">
        <f t="shared" si="8"/>
        <v>42022</v>
      </c>
      <c r="D920" s="280" t="s">
        <v>2762</v>
      </c>
      <c r="E920" s="278" t="s">
        <v>2763</v>
      </c>
      <c r="F920" s="280" t="s">
        <v>2764</v>
      </c>
      <c r="G920" s="278" t="s">
        <v>64</v>
      </c>
      <c r="H920" s="278" t="s">
        <v>41</v>
      </c>
      <c r="I920" s="278" t="s">
        <v>643</v>
      </c>
      <c r="J920" s="282"/>
      <c r="K920" s="282"/>
      <c r="L920" s="282"/>
      <c r="M920" s="282"/>
      <c r="N920" s="282"/>
      <c r="O920" s="282"/>
      <c r="P920" s="282"/>
      <c r="Q920" s="283"/>
      <c r="R920" s="283"/>
      <c r="S920" s="278" t="s">
        <v>65</v>
      </c>
      <c r="T920" s="278" t="s">
        <v>66</v>
      </c>
      <c r="U920" s="278" t="s">
        <v>99</v>
      </c>
      <c r="V920" s="278" t="s">
        <v>1984</v>
      </c>
      <c r="W920" s="285">
        <v>18850.0</v>
      </c>
      <c r="X920" s="285">
        <v>0.0</v>
      </c>
      <c r="Y920" s="284"/>
      <c r="Z920" s="284"/>
      <c r="AA920" s="285">
        <v>0.0</v>
      </c>
      <c r="AB920" s="285">
        <v>0.0</v>
      </c>
      <c r="AC920" s="24" t="s">
        <v>2765</v>
      </c>
      <c r="AD920" s="195">
        <v>7234.0</v>
      </c>
      <c r="AE920" s="38"/>
      <c r="AF920" s="278" t="str">
        <f t="shared" si="1"/>
        <v>Buenos Aires, Argentina</v>
      </c>
      <c r="AG920" s="278">
        <f t="shared" si="2"/>
        <v>0</v>
      </c>
      <c r="AH920" s="286">
        <f t="shared" si="3"/>
        <v>18850</v>
      </c>
      <c r="AI920" s="286">
        <f t="shared" si="4"/>
        <v>0</v>
      </c>
      <c r="AJ920" s="285">
        <f t="shared" si="5"/>
        <v>0</v>
      </c>
      <c r="AK920" s="285">
        <f t="shared" si="6"/>
        <v>18850</v>
      </c>
      <c r="AL920" s="287"/>
      <c r="AM920" s="287"/>
    </row>
    <row r="921">
      <c r="A921" s="278">
        <v>920.0</v>
      </c>
      <c r="B921" s="279">
        <v>44678.0</v>
      </c>
      <c r="C921" s="195" t="str">
        <f t="shared" si="8"/>
        <v>42022</v>
      </c>
      <c r="D921" s="280" t="s">
        <v>2766</v>
      </c>
      <c r="E921" s="278" t="s">
        <v>2767</v>
      </c>
      <c r="F921" s="280" t="s">
        <v>2738</v>
      </c>
      <c r="G921" s="278" t="s">
        <v>64</v>
      </c>
      <c r="H921" s="278" t="s">
        <v>41</v>
      </c>
      <c r="I921" s="278" t="s">
        <v>643</v>
      </c>
      <c r="J921" s="282"/>
      <c r="K921" s="282"/>
      <c r="L921" s="282"/>
      <c r="M921" s="282"/>
      <c r="N921" s="282"/>
      <c r="O921" s="282"/>
      <c r="P921" s="282"/>
      <c r="Q921" s="283"/>
      <c r="R921" s="283"/>
      <c r="S921" s="278" t="s">
        <v>276</v>
      </c>
      <c r="T921" s="278" t="s">
        <v>83</v>
      </c>
      <c r="U921" s="278" t="s">
        <v>99</v>
      </c>
      <c r="V921" s="278" t="s">
        <v>1984</v>
      </c>
      <c r="W921" s="285">
        <v>11050.0</v>
      </c>
      <c r="X921" s="285">
        <v>0.0</v>
      </c>
      <c r="Y921" s="284"/>
      <c r="Z921" s="284"/>
      <c r="AA921" s="285">
        <v>0.0</v>
      </c>
      <c r="AB921" s="285">
        <v>0.0</v>
      </c>
      <c r="AC921" s="24" t="s">
        <v>2768</v>
      </c>
      <c r="AD921" s="195">
        <v>7238.0</v>
      </c>
      <c r="AE921" s="38"/>
      <c r="AF921" s="278" t="str">
        <f t="shared" si="1"/>
        <v>Capital Federal, Argentina</v>
      </c>
      <c r="AG921" s="278">
        <f t="shared" si="2"/>
        <v>0</v>
      </c>
      <c r="AH921" s="286">
        <f t="shared" si="3"/>
        <v>11050</v>
      </c>
      <c r="AI921" s="286">
        <f t="shared" si="4"/>
        <v>0</v>
      </c>
      <c r="AJ921" s="285">
        <f t="shared" si="5"/>
        <v>0</v>
      </c>
      <c r="AK921" s="285">
        <f t="shared" si="6"/>
        <v>11050</v>
      </c>
      <c r="AL921" s="287"/>
      <c r="AM921" s="287"/>
    </row>
    <row r="922">
      <c r="A922" s="278">
        <v>921.0</v>
      </c>
      <c r="B922" s="279">
        <v>44679.0</v>
      </c>
      <c r="C922" s="195" t="str">
        <f t="shared" si="8"/>
        <v>42022</v>
      </c>
      <c r="D922" s="280" t="s">
        <v>2743</v>
      </c>
      <c r="E922" s="278" t="s">
        <v>2744</v>
      </c>
      <c r="F922" s="280" t="s">
        <v>13</v>
      </c>
      <c r="G922" s="278" t="s">
        <v>64</v>
      </c>
      <c r="H922" s="278" t="s">
        <v>41</v>
      </c>
      <c r="I922" s="278" t="s">
        <v>643</v>
      </c>
      <c r="J922" s="282"/>
      <c r="K922" s="282"/>
      <c r="L922" s="282"/>
      <c r="M922" s="282"/>
      <c r="N922" s="281">
        <v>1.0</v>
      </c>
      <c r="O922" s="282"/>
      <c r="P922" s="282"/>
      <c r="Q922" s="283"/>
      <c r="R922" s="283"/>
      <c r="S922" s="278" t="s">
        <v>72</v>
      </c>
      <c r="T922" s="278" t="s">
        <v>66</v>
      </c>
      <c r="U922" s="278" t="s">
        <v>99</v>
      </c>
      <c r="V922" s="278" t="s">
        <v>1984</v>
      </c>
      <c r="W922" s="284"/>
      <c r="X922" s="284"/>
      <c r="Y922" s="284"/>
      <c r="Z922" s="284"/>
      <c r="AA922" s="285">
        <v>9880.0</v>
      </c>
      <c r="AB922" s="285">
        <v>0.0</v>
      </c>
      <c r="AC922" s="24" t="s">
        <v>2769</v>
      </c>
      <c r="AD922" s="195">
        <v>7246.0</v>
      </c>
      <c r="AE922" s="38"/>
      <c r="AF922" s="278" t="str">
        <f t="shared" si="1"/>
        <v>Buenos Aires, Argentina</v>
      </c>
      <c r="AG922" s="278">
        <f t="shared" si="2"/>
        <v>1</v>
      </c>
      <c r="AH922" s="286">
        <f t="shared" si="3"/>
        <v>0</v>
      </c>
      <c r="AI922" s="286">
        <f t="shared" si="4"/>
        <v>0</v>
      </c>
      <c r="AJ922" s="285">
        <f t="shared" si="5"/>
        <v>9880</v>
      </c>
      <c r="AK922" s="285">
        <f t="shared" si="6"/>
        <v>9880</v>
      </c>
      <c r="AL922" s="287"/>
      <c r="AM922" s="287"/>
    </row>
    <row r="923">
      <c r="A923" s="278">
        <v>922.0</v>
      </c>
      <c r="B923" s="279">
        <v>44679.0</v>
      </c>
      <c r="C923" s="195" t="str">
        <f t="shared" si="8"/>
        <v>42022</v>
      </c>
      <c r="D923" s="280" t="s">
        <v>2770</v>
      </c>
      <c r="E923" s="278" t="s">
        <v>2414</v>
      </c>
      <c r="F923" s="280" t="s">
        <v>1423</v>
      </c>
      <c r="G923" s="278" t="s">
        <v>64</v>
      </c>
      <c r="H923" s="278" t="s">
        <v>41</v>
      </c>
      <c r="I923" s="278" t="s">
        <v>643</v>
      </c>
      <c r="J923" s="281">
        <v>1.0</v>
      </c>
      <c r="K923" s="282"/>
      <c r="L923" s="282"/>
      <c r="M923" s="282"/>
      <c r="N923" s="282"/>
      <c r="O923" s="282"/>
      <c r="P923" s="282"/>
      <c r="Q923" s="283"/>
      <c r="R923" s="283"/>
      <c r="S923" s="278" t="s">
        <v>276</v>
      </c>
      <c r="T923" s="278" t="s">
        <v>83</v>
      </c>
      <c r="U923" s="278" t="s">
        <v>99</v>
      </c>
      <c r="V923" s="278" t="s">
        <v>1984</v>
      </c>
      <c r="W923" s="284"/>
      <c r="X923" s="284"/>
      <c r="Y923" s="284"/>
      <c r="Z923" s="284"/>
      <c r="AA923" s="285">
        <v>9880.0</v>
      </c>
      <c r="AB923" s="285">
        <v>39520.0</v>
      </c>
      <c r="AC923" s="24" t="s">
        <v>2771</v>
      </c>
      <c r="AD923" s="195">
        <v>7248.0</v>
      </c>
      <c r="AE923" s="38"/>
      <c r="AF923" s="278" t="str">
        <f t="shared" si="1"/>
        <v>Capital Federal, Argentina</v>
      </c>
      <c r="AG923" s="278">
        <f t="shared" si="2"/>
        <v>1</v>
      </c>
      <c r="AH923" s="286">
        <f t="shared" si="3"/>
        <v>0</v>
      </c>
      <c r="AI923" s="286">
        <f t="shared" si="4"/>
        <v>0</v>
      </c>
      <c r="AJ923" s="285">
        <f t="shared" si="5"/>
        <v>49400</v>
      </c>
      <c r="AK923" s="285">
        <f t="shared" si="6"/>
        <v>49400</v>
      </c>
      <c r="AL923" s="287"/>
      <c r="AM923" s="287"/>
    </row>
    <row r="924">
      <c r="A924" s="278">
        <v>923.0</v>
      </c>
      <c r="B924" s="279">
        <v>44680.0</v>
      </c>
      <c r="C924" s="195" t="str">
        <f t="shared" si="8"/>
        <v>42022</v>
      </c>
      <c r="D924" s="280" t="s">
        <v>2772</v>
      </c>
      <c r="E924" s="278" t="s">
        <v>2773</v>
      </c>
      <c r="F924" s="280" t="s">
        <v>2056</v>
      </c>
      <c r="G924" s="278" t="s">
        <v>40</v>
      </c>
      <c r="H924" s="278" t="s">
        <v>41</v>
      </c>
      <c r="I924" s="278" t="s">
        <v>643</v>
      </c>
      <c r="J924" s="281">
        <v>1.0</v>
      </c>
      <c r="K924" s="282"/>
      <c r="L924" s="282"/>
      <c r="M924" s="281">
        <v>1.0</v>
      </c>
      <c r="N924" s="282"/>
      <c r="O924" s="282"/>
      <c r="P924" s="282"/>
      <c r="Q924" s="283"/>
      <c r="R924" s="283"/>
      <c r="S924" s="278" t="s">
        <v>51</v>
      </c>
      <c r="T924" s="278" t="s">
        <v>66</v>
      </c>
      <c r="U924" s="278" t="s">
        <v>163</v>
      </c>
      <c r="V924" s="278" t="s">
        <v>1984</v>
      </c>
      <c r="W924" s="284"/>
      <c r="X924" s="284"/>
      <c r="Y924" s="284"/>
      <c r="Z924" s="284"/>
      <c r="AA924" s="285">
        <v>19760.0</v>
      </c>
      <c r="AB924" s="285">
        <v>88920.0</v>
      </c>
      <c r="AC924" s="24" t="s">
        <v>2774</v>
      </c>
      <c r="AD924" s="195">
        <v>7258.0</v>
      </c>
      <c r="AE924" s="38"/>
      <c r="AF924" s="278" t="str">
        <f t="shared" si="1"/>
        <v>Buenos Aires, Argentina</v>
      </c>
      <c r="AG924" s="278">
        <f t="shared" si="2"/>
        <v>2</v>
      </c>
      <c r="AH924" s="286">
        <f t="shared" si="3"/>
        <v>0</v>
      </c>
      <c r="AI924" s="286">
        <f t="shared" si="4"/>
        <v>0</v>
      </c>
      <c r="AJ924" s="285">
        <f t="shared" si="5"/>
        <v>108680</v>
      </c>
      <c r="AK924" s="285">
        <f t="shared" si="6"/>
        <v>108680</v>
      </c>
      <c r="AL924" s="287"/>
      <c r="AM924" s="287"/>
    </row>
    <row r="925">
      <c r="A925" s="278">
        <v>924.0</v>
      </c>
      <c r="B925" s="279">
        <v>44680.0</v>
      </c>
      <c r="C925" s="195" t="str">
        <f t="shared" si="8"/>
        <v>42022</v>
      </c>
      <c r="D925" s="280" t="s">
        <v>1783</v>
      </c>
      <c r="E925" s="278" t="s">
        <v>1784</v>
      </c>
      <c r="F925" s="280" t="s">
        <v>1556</v>
      </c>
      <c r="G925" s="278" t="s">
        <v>64</v>
      </c>
      <c r="H925" s="278" t="s">
        <v>41</v>
      </c>
      <c r="I925" s="278" t="s">
        <v>643</v>
      </c>
      <c r="J925" s="282"/>
      <c r="K925" s="282"/>
      <c r="L925" s="282"/>
      <c r="M925" s="282"/>
      <c r="N925" s="282"/>
      <c r="O925" s="282"/>
      <c r="P925" s="281">
        <v>1.0</v>
      </c>
      <c r="Q925" s="283"/>
      <c r="R925" s="283"/>
      <c r="S925" s="278" t="s">
        <v>65</v>
      </c>
      <c r="T925" s="278" t="s">
        <v>66</v>
      </c>
      <c r="U925" s="278" t="s">
        <v>99</v>
      </c>
      <c r="V925" s="278" t="s">
        <v>1984</v>
      </c>
      <c r="W925" s="284"/>
      <c r="X925" s="284"/>
      <c r="Y925" s="284"/>
      <c r="Z925" s="284"/>
      <c r="AA925" s="285">
        <v>6669.0</v>
      </c>
      <c r="AB925" s="285">
        <v>0.0</v>
      </c>
      <c r="AC925" s="24" t="s">
        <v>2775</v>
      </c>
      <c r="AD925" s="195">
        <v>7262.0</v>
      </c>
      <c r="AE925" s="38"/>
      <c r="AF925" s="278" t="str">
        <f t="shared" si="1"/>
        <v>Buenos Aires, Argentina</v>
      </c>
      <c r="AG925" s="278">
        <f t="shared" si="2"/>
        <v>1</v>
      </c>
      <c r="AH925" s="286">
        <f t="shared" si="3"/>
        <v>0</v>
      </c>
      <c r="AI925" s="286">
        <f t="shared" si="4"/>
        <v>0</v>
      </c>
      <c r="AJ925" s="285">
        <f t="shared" si="5"/>
        <v>6669</v>
      </c>
      <c r="AK925" s="285">
        <f t="shared" si="6"/>
        <v>6669</v>
      </c>
      <c r="AL925" s="287"/>
      <c r="AM925" s="287"/>
    </row>
    <row r="926">
      <c r="A926" s="278">
        <v>925.0</v>
      </c>
      <c r="B926" s="279">
        <v>44680.0</v>
      </c>
      <c r="C926" s="195" t="str">
        <f t="shared" si="8"/>
        <v>42022</v>
      </c>
      <c r="D926" s="280" t="s">
        <v>1783</v>
      </c>
      <c r="E926" s="278" t="s">
        <v>1784</v>
      </c>
      <c r="F926" s="280" t="s">
        <v>2738</v>
      </c>
      <c r="G926" s="278" t="s">
        <v>64</v>
      </c>
      <c r="H926" s="278" t="s">
        <v>41</v>
      </c>
      <c r="I926" s="278" t="s">
        <v>643</v>
      </c>
      <c r="J926" s="282"/>
      <c r="K926" s="282"/>
      <c r="L926" s="282"/>
      <c r="M926" s="282"/>
      <c r="N926" s="282"/>
      <c r="O926" s="282"/>
      <c r="P926" s="282"/>
      <c r="Q926" s="283"/>
      <c r="R926" s="283"/>
      <c r="S926" s="278" t="s">
        <v>65</v>
      </c>
      <c r="T926" s="278" t="s">
        <v>66</v>
      </c>
      <c r="U926" s="278" t="s">
        <v>99</v>
      </c>
      <c r="V926" s="278" t="s">
        <v>1984</v>
      </c>
      <c r="W926" s="285">
        <v>11050.0</v>
      </c>
      <c r="X926" s="285">
        <v>0.0</v>
      </c>
      <c r="Y926" s="284"/>
      <c r="Z926" s="284"/>
      <c r="AA926" s="285">
        <v>0.0</v>
      </c>
      <c r="AB926" s="285">
        <v>0.0</v>
      </c>
      <c r="AC926" s="24" t="s">
        <v>2776</v>
      </c>
      <c r="AD926" s="195">
        <v>7264.0</v>
      </c>
      <c r="AE926" s="38"/>
      <c r="AF926" s="278" t="str">
        <f t="shared" si="1"/>
        <v>Buenos Aires, Argentina</v>
      </c>
      <c r="AG926" s="278">
        <f t="shared" si="2"/>
        <v>0</v>
      </c>
      <c r="AH926" s="286">
        <f t="shared" si="3"/>
        <v>11050</v>
      </c>
      <c r="AI926" s="286">
        <f t="shared" si="4"/>
        <v>0</v>
      </c>
      <c r="AJ926" s="285">
        <f t="shared" si="5"/>
        <v>0</v>
      </c>
      <c r="AK926" s="285">
        <f t="shared" si="6"/>
        <v>11050</v>
      </c>
      <c r="AL926" s="287"/>
      <c r="AM926" s="287"/>
    </row>
    <row r="927">
      <c r="A927" s="278">
        <v>926.0</v>
      </c>
      <c r="B927" s="279">
        <v>44680.0</v>
      </c>
      <c r="C927" s="195" t="str">
        <f t="shared" si="8"/>
        <v>42022</v>
      </c>
      <c r="D927" s="280" t="s">
        <v>1791</v>
      </c>
      <c r="E927" s="278" t="s">
        <v>1792</v>
      </c>
      <c r="F927" s="280" t="s">
        <v>1423</v>
      </c>
      <c r="G927" s="278" t="s">
        <v>64</v>
      </c>
      <c r="H927" s="278" t="s">
        <v>41</v>
      </c>
      <c r="I927" s="278" t="s">
        <v>643</v>
      </c>
      <c r="J927" s="281">
        <v>1.0</v>
      </c>
      <c r="K927" s="282"/>
      <c r="L927" s="282"/>
      <c r="M927" s="282"/>
      <c r="N927" s="282"/>
      <c r="O927" s="282"/>
      <c r="P927" s="282"/>
      <c r="Q927" s="283"/>
      <c r="R927" s="283"/>
      <c r="S927" s="278" t="s">
        <v>72</v>
      </c>
      <c r="T927" s="278" t="s">
        <v>66</v>
      </c>
      <c r="U927" s="278" t="s">
        <v>99</v>
      </c>
      <c r="V927" s="278" t="s">
        <v>1984</v>
      </c>
      <c r="W927" s="284"/>
      <c r="X927" s="284"/>
      <c r="Y927" s="284"/>
      <c r="Z927" s="284"/>
      <c r="AA927" s="285">
        <v>9880.0</v>
      </c>
      <c r="AB927" s="285">
        <v>44460.0</v>
      </c>
      <c r="AC927" s="24" t="s">
        <v>2777</v>
      </c>
      <c r="AD927" s="195">
        <v>7275.0</v>
      </c>
      <c r="AE927" s="38"/>
      <c r="AF927" s="278" t="str">
        <f t="shared" si="1"/>
        <v>Buenos Aires, Argentina</v>
      </c>
      <c r="AG927" s="278">
        <f t="shared" si="2"/>
        <v>1</v>
      </c>
      <c r="AH927" s="286">
        <f t="shared" si="3"/>
        <v>0</v>
      </c>
      <c r="AI927" s="286">
        <f t="shared" si="4"/>
        <v>0</v>
      </c>
      <c r="AJ927" s="285">
        <f t="shared" si="5"/>
        <v>54340</v>
      </c>
      <c r="AK927" s="285">
        <f t="shared" si="6"/>
        <v>54340</v>
      </c>
      <c r="AL927" s="287"/>
      <c r="AM927" s="287"/>
    </row>
    <row r="928">
      <c r="A928" s="278">
        <v>927.0</v>
      </c>
      <c r="B928" s="279">
        <v>44680.0</v>
      </c>
      <c r="C928" s="195" t="str">
        <f t="shared" si="8"/>
        <v>42022</v>
      </c>
      <c r="D928" s="280" t="s">
        <v>2619</v>
      </c>
      <c r="E928" s="278" t="s">
        <v>2620</v>
      </c>
      <c r="F928" s="280" t="s">
        <v>2778</v>
      </c>
      <c r="G928" s="278" t="s">
        <v>64</v>
      </c>
      <c r="H928" s="278" t="s">
        <v>41</v>
      </c>
      <c r="I928" s="278" t="s">
        <v>643</v>
      </c>
      <c r="J928" s="282"/>
      <c r="K928" s="282"/>
      <c r="L928" s="282"/>
      <c r="M928" s="282"/>
      <c r="N928" s="282"/>
      <c r="O928" s="282"/>
      <c r="P928" s="282"/>
      <c r="Q928" s="283"/>
      <c r="R928" s="283"/>
      <c r="S928" s="278" t="s">
        <v>105</v>
      </c>
      <c r="T928" s="278" t="s">
        <v>66</v>
      </c>
      <c r="U928" s="278" t="s">
        <v>99</v>
      </c>
      <c r="V928" s="278" t="s">
        <v>1984</v>
      </c>
      <c r="W928" s="285">
        <v>13000.0</v>
      </c>
      <c r="X928" s="285">
        <v>0.0</v>
      </c>
      <c r="Y928" s="284"/>
      <c r="Z928" s="284"/>
      <c r="AA928" s="285">
        <v>0.0</v>
      </c>
      <c r="AB928" s="285">
        <v>0.0</v>
      </c>
      <c r="AC928" s="24" t="s">
        <v>2779</v>
      </c>
      <c r="AD928" s="195">
        <v>7278.0</v>
      </c>
      <c r="AE928" s="38"/>
      <c r="AF928" s="278" t="str">
        <f t="shared" si="1"/>
        <v>Buenos Aires, Argentina</v>
      </c>
      <c r="AG928" s="278">
        <f t="shared" si="2"/>
        <v>0</v>
      </c>
      <c r="AH928" s="286">
        <f t="shared" si="3"/>
        <v>13000</v>
      </c>
      <c r="AI928" s="286">
        <f t="shared" si="4"/>
        <v>0</v>
      </c>
      <c r="AJ928" s="285">
        <f t="shared" si="5"/>
        <v>0</v>
      </c>
      <c r="AK928" s="285">
        <f t="shared" si="6"/>
        <v>13000</v>
      </c>
      <c r="AL928" s="287"/>
      <c r="AM928" s="287"/>
    </row>
    <row r="929">
      <c r="A929" s="278">
        <v>928.0</v>
      </c>
      <c r="B929" s="279">
        <v>44680.0</v>
      </c>
      <c r="C929" s="195" t="str">
        <f t="shared" si="8"/>
        <v>42022</v>
      </c>
      <c r="D929" s="280" t="s">
        <v>2780</v>
      </c>
      <c r="E929" s="278" t="s">
        <v>2781</v>
      </c>
      <c r="F929" s="280" t="s">
        <v>2782</v>
      </c>
      <c r="G929" s="278" t="s">
        <v>64</v>
      </c>
      <c r="H929" s="278" t="s">
        <v>41</v>
      </c>
      <c r="I929" s="278" t="s">
        <v>643</v>
      </c>
      <c r="J929" s="282"/>
      <c r="K929" s="282"/>
      <c r="L929" s="282"/>
      <c r="M929" s="282"/>
      <c r="N929" s="281">
        <v>2.0</v>
      </c>
      <c r="O929" s="282"/>
      <c r="P929" s="282"/>
      <c r="Q929" s="283"/>
      <c r="R929" s="283"/>
      <c r="S929" s="278" t="s">
        <v>51</v>
      </c>
      <c r="T929" s="278" t="s">
        <v>83</v>
      </c>
      <c r="U929" s="278" t="s">
        <v>99</v>
      </c>
      <c r="V929" s="278" t="s">
        <v>1984</v>
      </c>
      <c r="W929" s="284"/>
      <c r="X929" s="284"/>
      <c r="Y929" s="284"/>
      <c r="Z929" s="284"/>
      <c r="AA929" s="285">
        <v>19760.0</v>
      </c>
      <c r="AB929" s="285">
        <v>0.0</v>
      </c>
      <c r="AC929" s="24" t="s">
        <v>2783</v>
      </c>
      <c r="AD929" s="195">
        <v>7284.0</v>
      </c>
      <c r="AE929" s="38"/>
      <c r="AF929" s="278" t="str">
        <f t="shared" si="1"/>
        <v>Capital Federal, Argentina</v>
      </c>
      <c r="AG929" s="278">
        <f t="shared" si="2"/>
        <v>2</v>
      </c>
      <c r="AH929" s="286">
        <f t="shared" si="3"/>
        <v>0</v>
      </c>
      <c r="AI929" s="286">
        <f t="shared" si="4"/>
        <v>0</v>
      </c>
      <c r="AJ929" s="285">
        <f t="shared" si="5"/>
        <v>19760</v>
      </c>
      <c r="AK929" s="285">
        <f t="shared" si="6"/>
        <v>19760</v>
      </c>
      <c r="AL929" s="287"/>
      <c r="AM929" s="287"/>
    </row>
    <row r="930">
      <c r="A930" s="288">
        <v>929.0</v>
      </c>
      <c r="B930" s="279">
        <v>44680.0</v>
      </c>
      <c r="C930" s="195" t="str">
        <f t="shared" si="8"/>
        <v>42022</v>
      </c>
      <c r="D930" s="289" t="s">
        <v>1585</v>
      </c>
      <c r="E930" s="288" t="s">
        <v>2781</v>
      </c>
      <c r="F930" s="280" t="s">
        <v>2784</v>
      </c>
      <c r="G930" s="278" t="s">
        <v>64</v>
      </c>
      <c r="H930" s="278" t="s">
        <v>41</v>
      </c>
      <c r="I930" s="278" t="s">
        <v>643</v>
      </c>
      <c r="J930" s="282"/>
      <c r="K930" s="282"/>
      <c r="L930" s="282"/>
      <c r="M930" s="282"/>
      <c r="N930" s="282"/>
      <c r="O930" s="282"/>
      <c r="P930" s="282"/>
      <c r="Q930" s="283"/>
      <c r="R930" s="283"/>
      <c r="S930" s="278" t="s">
        <v>51</v>
      </c>
      <c r="T930" s="278" t="s">
        <v>83</v>
      </c>
      <c r="U930" s="278" t="s">
        <v>99</v>
      </c>
      <c r="V930" s="278" t="s">
        <v>1984</v>
      </c>
      <c r="W930" s="285">
        <v>22750.0</v>
      </c>
      <c r="X930" s="285">
        <v>0.0</v>
      </c>
      <c r="Y930" s="284"/>
      <c r="Z930" s="284"/>
      <c r="AA930" s="285">
        <v>0.0</v>
      </c>
      <c r="AB930" s="285">
        <v>0.0</v>
      </c>
      <c r="AC930" s="24" t="s">
        <v>2785</v>
      </c>
      <c r="AD930" s="195">
        <v>7288.0</v>
      </c>
      <c r="AE930" s="38"/>
      <c r="AF930" s="278" t="str">
        <f t="shared" si="1"/>
        <v>Capital Federal, Argentina</v>
      </c>
      <c r="AG930" s="278">
        <f t="shared" si="2"/>
        <v>0</v>
      </c>
      <c r="AH930" s="286">
        <f t="shared" si="3"/>
        <v>22750</v>
      </c>
      <c r="AI930" s="286">
        <f t="shared" si="4"/>
        <v>0</v>
      </c>
      <c r="AJ930" s="285">
        <f t="shared" si="5"/>
        <v>0</v>
      </c>
      <c r="AK930" s="285">
        <f t="shared" si="6"/>
        <v>22750</v>
      </c>
      <c r="AL930" s="287"/>
      <c r="AM930" s="287"/>
    </row>
    <row r="931">
      <c r="A931" s="278">
        <v>930.0</v>
      </c>
      <c r="B931" s="279">
        <v>44680.0</v>
      </c>
      <c r="C931" s="195" t="str">
        <f t="shared" si="8"/>
        <v>42022</v>
      </c>
      <c r="D931" s="280" t="s">
        <v>1772</v>
      </c>
      <c r="E931" s="278" t="s">
        <v>1773</v>
      </c>
      <c r="F931" s="280" t="s">
        <v>2738</v>
      </c>
      <c r="G931" s="278" t="s">
        <v>64</v>
      </c>
      <c r="H931" s="278" t="s">
        <v>41</v>
      </c>
      <c r="I931" s="278" t="s">
        <v>643</v>
      </c>
      <c r="J931" s="282"/>
      <c r="K931" s="282"/>
      <c r="L931" s="282"/>
      <c r="M931" s="282"/>
      <c r="N931" s="282"/>
      <c r="O931" s="282"/>
      <c r="P931" s="282"/>
      <c r="Q931" s="283"/>
      <c r="R931" s="283"/>
      <c r="S931" s="278" t="s">
        <v>137</v>
      </c>
      <c r="T931" s="278" t="s">
        <v>83</v>
      </c>
      <c r="U931" s="278" t="s">
        <v>99</v>
      </c>
      <c r="V931" s="278" t="s">
        <v>1984</v>
      </c>
      <c r="W931" s="285">
        <v>11050.0</v>
      </c>
      <c r="X931" s="285">
        <v>0.0</v>
      </c>
      <c r="Y931" s="284"/>
      <c r="Z931" s="284"/>
      <c r="AA931" s="285">
        <v>0.0</v>
      </c>
      <c r="AB931" s="285">
        <v>0.0</v>
      </c>
      <c r="AC931" s="24" t="s">
        <v>2786</v>
      </c>
      <c r="AD931" s="195">
        <v>7292.0</v>
      </c>
      <c r="AE931" s="38"/>
      <c r="AF931" s="278" t="str">
        <f t="shared" si="1"/>
        <v>Capital Federal, Argentina</v>
      </c>
      <c r="AG931" s="278">
        <f t="shared" si="2"/>
        <v>0</v>
      </c>
      <c r="AH931" s="286">
        <f t="shared" si="3"/>
        <v>11050</v>
      </c>
      <c r="AI931" s="286">
        <f t="shared" si="4"/>
        <v>0</v>
      </c>
      <c r="AJ931" s="285">
        <f t="shared" si="5"/>
        <v>0</v>
      </c>
      <c r="AK931" s="285">
        <f t="shared" si="6"/>
        <v>11050</v>
      </c>
      <c r="AL931" s="287"/>
      <c r="AM931" s="287"/>
    </row>
    <row r="932">
      <c r="A932" s="278">
        <v>931.0</v>
      </c>
      <c r="B932" s="279">
        <v>44680.0</v>
      </c>
      <c r="C932" s="195" t="str">
        <f t="shared" si="8"/>
        <v>42022</v>
      </c>
      <c r="D932" s="280" t="s">
        <v>2604</v>
      </c>
      <c r="E932" s="278" t="s">
        <v>2605</v>
      </c>
      <c r="F932" s="280" t="s">
        <v>1423</v>
      </c>
      <c r="G932" s="278" t="s">
        <v>64</v>
      </c>
      <c r="H932" s="278" t="s">
        <v>41</v>
      </c>
      <c r="I932" s="278" t="s">
        <v>643</v>
      </c>
      <c r="J932" s="281">
        <v>1.0</v>
      </c>
      <c r="K932" s="282"/>
      <c r="L932" s="282"/>
      <c r="M932" s="282"/>
      <c r="N932" s="282"/>
      <c r="O932" s="282"/>
      <c r="P932" s="282"/>
      <c r="Q932" s="283"/>
      <c r="R932" s="283"/>
      <c r="S932" s="278" t="s">
        <v>65</v>
      </c>
      <c r="T932" s="278" t="s">
        <v>83</v>
      </c>
      <c r="U932" s="278" t="s">
        <v>99</v>
      </c>
      <c r="V932" s="278" t="s">
        <v>1984</v>
      </c>
      <c r="W932" s="284"/>
      <c r="X932" s="284"/>
      <c r="Y932" s="284"/>
      <c r="Z932" s="284"/>
      <c r="AA932" s="285">
        <v>8700.0</v>
      </c>
      <c r="AB932" s="285">
        <v>42000.0</v>
      </c>
      <c r="AC932" s="24" t="s">
        <v>2787</v>
      </c>
      <c r="AD932" s="195">
        <v>7296.0</v>
      </c>
      <c r="AE932" s="38"/>
      <c r="AF932" s="278" t="str">
        <f t="shared" si="1"/>
        <v>Capital Federal, Argentina</v>
      </c>
      <c r="AG932" s="278">
        <f t="shared" si="2"/>
        <v>1</v>
      </c>
      <c r="AH932" s="286">
        <f t="shared" si="3"/>
        <v>0</v>
      </c>
      <c r="AI932" s="286">
        <f t="shared" si="4"/>
        <v>0</v>
      </c>
      <c r="AJ932" s="285">
        <f t="shared" si="5"/>
        <v>50700</v>
      </c>
      <c r="AK932" s="285">
        <f t="shared" si="6"/>
        <v>50700</v>
      </c>
      <c r="AL932" s="287"/>
      <c r="AM932" s="287"/>
    </row>
    <row r="933">
      <c r="A933" s="278">
        <v>932.0</v>
      </c>
      <c r="B933" s="279">
        <v>44680.0</v>
      </c>
      <c r="C933" s="195" t="str">
        <f t="shared" si="8"/>
        <v>42022</v>
      </c>
      <c r="D933" s="280" t="s">
        <v>2555</v>
      </c>
      <c r="E933" s="278" t="s">
        <v>2556</v>
      </c>
      <c r="F933" s="280" t="s">
        <v>2788</v>
      </c>
      <c r="G933" s="278" t="s">
        <v>64</v>
      </c>
      <c r="H933" s="278" t="s">
        <v>41</v>
      </c>
      <c r="I933" s="278" t="s">
        <v>643</v>
      </c>
      <c r="J933" s="282"/>
      <c r="K933" s="282"/>
      <c r="L933" s="282"/>
      <c r="M933" s="282"/>
      <c r="N933" s="282"/>
      <c r="O933" s="282"/>
      <c r="P933" s="282"/>
      <c r="Q933" s="283"/>
      <c r="R933" s="283"/>
      <c r="S933" s="278" t="s">
        <v>51</v>
      </c>
      <c r="T933" s="278" t="s">
        <v>66</v>
      </c>
      <c r="U933" s="278" t="s">
        <v>99</v>
      </c>
      <c r="V933" s="278" t="s">
        <v>1984</v>
      </c>
      <c r="W933" s="284"/>
      <c r="X933" s="284"/>
      <c r="Y933" s="284"/>
      <c r="Z933" s="284"/>
      <c r="AA933" s="285">
        <v>0.0</v>
      </c>
      <c r="AB933" s="285">
        <v>39520.0</v>
      </c>
      <c r="AC933" s="24" t="s">
        <v>2789</v>
      </c>
      <c r="AD933" s="195">
        <v>7300.0</v>
      </c>
      <c r="AE933" s="38"/>
      <c r="AF933" s="278" t="str">
        <f t="shared" si="1"/>
        <v>Buenos Aires, Argentina</v>
      </c>
      <c r="AG933" s="278">
        <f t="shared" si="2"/>
        <v>0</v>
      </c>
      <c r="AH933" s="286">
        <f t="shared" si="3"/>
        <v>0</v>
      </c>
      <c r="AI933" s="286">
        <f t="shared" si="4"/>
        <v>0</v>
      </c>
      <c r="AJ933" s="285">
        <f t="shared" si="5"/>
        <v>39520</v>
      </c>
      <c r="AK933" s="285">
        <f t="shared" si="6"/>
        <v>39520</v>
      </c>
      <c r="AL933" s="287"/>
      <c r="AM933" s="287"/>
    </row>
    <row r="934">
      <c r="A934" s="278">
        <v>933.0</v>
      </c>
      <c r="B934" s="279">
        <v>44680.0</v>
      </c>
      <c r="C934" s="195" t="str">
        <f t="shared" si="8"/>
        <v>42022</v>
      </c>
      <c r="D934" s="280" t="s">
        <v>2790</v>
      </c>
      <c r="E934" s="278" t="s">
        <v>2791</v>
      </c>
      <c r="F934" s="280" t="s">
        <v>2778</v>
      </c>
      <c r="G934" s="278" t="s">
        <v>64</v>
      </c>
      <c r="H934" s="278" t="s">
        <v>41</v>
      </c>
      <c r="I934" s="278" t="s">
        <v>643</v>
      </c>
      <c r="J934" s="282"/>
      <c r="K934" s="282"/>
      <c r="L934" s="282"/>
      <c r="M934" s="282"/>
      <c r="N934" s="282"/>
      <c r="O934" s="282"/>
      <c r="P934" s="282"/>
      <c r="Q934" s="283"/>
      <c r="R934" s="283"/>
      <c r="S934" s="278" t="s">
        <v>114</v>
      </c>
      <c r="T934" s="278" t="s">
        <v>66</v>
      </c>
      <c r="U934" s="278" t="s">
        <v>99</v>
      </c>
      <c r="V934" s="278" t="s">
        <v>1984</v>
      </c>
      <c r="W934" s="285">
        <v>13000.0</v>
      </c>
      <c r="X934" s="285">
        <v>0.0</v>
      </c>
      <c r="Y934" s="284"/>
      <c r="Z934" s="284"/>
      <c r="AA934" s="285">
        <v>0.0</v>
      </c>
      <c r="AB934" s="285">
        <v>0.0</v>
      </c>
      <c r="AC934" s="24" t="s">
        <v>2792</v>
      </c>
      <c r="AD934" s="195">
        <v>7304.0</v>
      </c>
      <c r="AE934" s="38"/>
      <c r="AF934" s="278" t="str">
        <f t="shared" si="1"/>
        <v>Buenos Aires, Argentina</v>
      </c>
      <c r="AG934" s="278">
        <f t="shared" si="2"/>
        <v>0</v>
      </c>
      <c r="AH934" s="286">
        <f t="shared" si="3"/>
        <v>13000</v>
      </c>
      <c r="AI934" s="286">
        <f t="shared" si="4"/>
        <v>0</v>
      </c>
      <c r="AJ934" s="285">
        <f t="shared" si="5"/>
        <v>0</v>
      </c>
      <c r="AK934" s="285">
        <f t="shared" si="6"/>
        <v>13000</v>
      </c>
      <c r="AL934" s="287"/>
      <c r="AM934" s="287"/>
    </row>
    <row r="935">
      <c r="A935" s="278">
        <v>934.0</v>
      </c>
      <c r="B935" s="279">
        <v>44681.0</v>
      </c>
      <c r="C935" s="195" t="str">
        <f t="shared" si="8"/>
        <v>42022</v>
      </c>
      <c r="D935" s="280" t="s">
        <v>1821</v>
      </c>
      <c r="E935" s="278" t="s">
        <v>1822</v>
      </c>
      <c r="F935" s="280" t="s">
        <v>2738</v>
      </c>
      <c r="G935" s="278" t="s">
        <v>64</v>
      </c>
      <c r="H935" s="278" t="s">
        <v>41</v>
      </c>
      <c r="I935" s="278" t="s">
        <v>643</v>
      </c>
      <c r="J935" s="282"/>
      <c r="K935" s="282"/>
      <c r="L935" s="282"/>
      <c r="M935" s="282"/>
      <c r="N935" s="282"/>
      <c r="O935" s="282"/>
      <c r="P935" s="282"/>
      <c r="Q935" s="283"/>
      <c r="R935" s="283"/>
      <c r="S935" s="278" t="s">
        <v>65</v>
      </c>
      <c r="T935" s="278" t="s">
        <v>66</v>
      </c>
      <c r="U935" s="278" t="s">
        <v>99</v>
      </c>
      <c r="V935" s="278" t="s">
        <v>1984</v>
      </c>
      <c r="W935" s="285">
        <v>11050.0</v>
      </c>
      <c r="X935" s="285">
        <v>0.0</v>
      </c>
      <c r="Y935" s="284"/>
      <c r="Z935" s="284"/>
      <c r="AA935" s="285">
        <v>0.0</v>
      </c>
      <c r="AB935" s="285">
        <v>0.0</v>
      </c>
      <c r="AC935" s="24" t="s">
        <v>2793</v>
      </c>
      <c r="AD935" s="195">
        <v>7308.0</v>
      </c>
      <c r="AE935" s="38"/>
      <c r="AF935" s="278" t="str">
        <f t="shared" si="1"/>
        <v>Buenos Aires, Argentina</v>
      </c>
      <c r="AG935" s="278">
        <f t="shared" si="2"/>
        <v>0</v>
      </c>
      <c r="AH935" s="286">
        <f t="shared" si="3"/>
        <v>11050</v>
      </c>
      <c r="AI935" s="286">
        <f t="shared" si="4"/>
        <v>0</v>
      </c>
      <c r="AJ935" s="285">
        <f t="shared" si="5"/>
        <v>0</v>
      </c>
      <c r="AK935" s="285">
        <f t="shared" si="6"/>
        <v>11050</v>
      </c>
      <c r="AL935" s="287"/>
      <c r="AM935" s="287"/>
    </row>
    <row r="936">
      <c r="A936" s="278">
        <v>935.0</v>
      </c>
      <c r="B936" s="279">
        <v>44681.0</v>
      </c>
      <c r="C936" s="195" t="str">
        <f t="shared" si="8"/>
        <v>42022</v>
      </c>
      <c r="D936" s="280" t="s">
        <v>2150</v>
      </c>
      <c r="E936" s="278" t="s">
        <v>2151</v>
      </c>
      <c r="F936" s="280" t="s">
        <v>1423</v>
      </c>
      <c r="G936" s="278" t="s">
        <v>64</v>
      </c>
      <c r="H936" s="278" t="s">
        <v>41</v>
      </c>
      <c r="I936" s="278" t="s">
        <v>643</v>
      </c>
      <c r="J936" s="281">
        <v>1.0</v>
      </c>
      <c r="K936" s="282"/>
      <c r="L936" s="282"/>
      <c r="M936" s="282"/>
      <c r="N936" s="282"/>
      <c r="O936" s="282"/>
      <c r="P936" s="282"/>
      <c r="Q936" s="283"/>
      <c r="R936" s="283"/>
      <c r="S936" s="278" t="s">
        <v>65</v>
      </c>
      <c r="T936" s="278" t="s">
        <v>66</v>
      </c>
      <c r="U936" s="278" t="s">
        <v>99</v>
      </c>
      <c r="V936" s="278" t="s">
        <v>1984</v>
      </c>
      <c r="W936" s="284"/>
      <c r="X936" s="284"/>
      <c r="Y936" s="284"/>
      <c r="Z936" s="284"/>
      <c r="AA936" s="285">
        <v>9880.0</v>
      </c>
      <c r="AB936" s="285">
        <v>44460.0</v>
      </c>
      <c r="AC936" s="24" t="s">
        <v>2794</v>
      </c>
      <c r="AD936" s="195">
        <v>7328.0</v>
      </c>
      <c r="AE936" s="38"/>
      <c r="AF936" s="278" t="str">
        <f t="shared" si="1"/>
        <v>Buenos Aires, Argentina</v>
      </c>
      <c r="AG936" s="278">
        <f t="shared" si="2"/>
        <v>1</v>
      </c>
      <c r="AH936" s="286">
        <f t="shared" si="3"/>
        <v>0</v>
      </c>
      <c r="AI936" s="286">
        <f t="shared" si="4"/>
        <v>0</v>
      </c>
      <c r="AJ936" s="285">
        <f t="shared" si="5"/>
        <v>54340</v>
      </c>
      <c r="AK936" s="285">
        <f t="shared" si="6"/>
        <v>54340</v>
      </c>
      <c r="AL936" s="287"/>
      <c r="AM936" s="287"/>
    </row>
    <row r="937">
      <c r="A937" s="278">
        <v>936.0</v>
      </c>
      <c r="B937" s="279">
        <v>44681.0</v>
      </c>
      <c r="C937" s="195" t="str">
        <f t="shared" si="8"/>
        <v>42022</v>
      </c>
      <c r="D937" s="280" t="s">
        <v>1757</v>
      </c>
      <c r="E937" s="278" t="s">
        <v>1758</v>
      </c>
      <c r="F937" s="280" t="s">
        <v>1357</v>
      </c>
      <c r="G937" s="278" t="s">
        <v>64</v>
      </c>
      <c r="H937" s="278" t="s">
        <v>41</v>
      </c>
      <c r="I937" s="278" t="s">
        <v>643</v>
      </c>
      <c r="J937" s="282"/>
      <c r="K937" s="282"/>
      <c r="L937" s="282"/>
      <c r="M937" s="282"/>
      <c r="N937" s="282"/>
      <c r="O937" s="282"/>
      <c r="P937" s="281">
        <v>1.0</v>
      </c>
      <c r="Q937" s="283"/>
      <c r="R937" s="283"/>
      <c r="S937" s="278" t="s">
        <v>204</v>
      </c>
      <c r="T937" s="278" t="s">
        <v>539</v>
      </c>
      <c r="U937" s="278" t="s">
        <v>99</v>
      </c>
      <c r="V937" s="278" t="s">
        <v>1984</v>
      </c>
      <c r="W937" s="284"/>
      <c r="X937" s="284"/>
      <c r="Y937" s="284"/>
      <c r="Z937" s="284"/>
      <c r="AA937" s="285">
        <v>7410.0</v>
      </c>
      <c r="AB937" s="285">
        <v>29640.0</v>
      </c>
      <c r="AC937" s="24" t="s">
        <v>2795</v>
      </c>
      <c r="AD937" s="195">
        <v>7332.0</v>
      </c>
      <c r="AE937" s="38"/>
      <c r="AF937" s="278" t="str">
        <f t="shared" si="1"/>
        <v>Misiones, Argentina</v>
      </c>
      <c r="AG937" s="278">
        <f t="shared" si="2"/>
        <v>1</v>
      </c>
      <c r="AH937" s="286">
        <f t="shared" si="3"/>
        <v>0</v>
      </c>
      <c r="AI937" s="286">
        <f t="shared" si="4"/>
        <v>0</v>
      </c>
      <c r="AJ937" s="285">
        <f t="shared" si="5"/>
        <v>37050</v>
      </c>
      <c r="AK937" s="285">
        <f t="shared" si="6"/>
        <v>37050</v>
      </c>
      <c r="AL937" s="287"/>
      <c r="AM937" s="287"/>
    </row>
    <row r="938">
      <c r="A938" s="278">
        <v>937.0</v>
      </c>
      <c r="B938" s="279">
        <v>44681.0</v>
      </c>
      <c r="C938" s="195" t="str">
        <f t="shared" si="8"/>
        <v>42022</v>
      </c>
      <c r="D938" s="280" t="s">
        <v>1757</v>
      </c>
      <c r="E938" s="278" t="s">
        <v>1758</v>
      </c>
      <c r="F938" s="280" t="s">
        <v>2531</v>
      </c>
      <c r="G938" s="278" t="s">
        <v>64</v>
      </c>
      <c r="H938" s="278" t="s">
        <v>41</v>
      </c>
      <c r="I938" s="278" t="s">
        <v>643</v>
      </c>
      <c r="J938" s="282"/>
      <c r="K938" s="282"/>
      <c r="L938" s="282"/>
      <c r="M938" s="282"/>
      <c r="N938" s="282"/>
      <c r="O938" s="282"/>
      <c r="P938" s="282"/>
      <c r="Q938" s="283"/>
      <c r="R938" s="283"/>
      <c r="S938" s="278" t="s">
        <v>204</v>
      </c>
      <c r="T938" s="278" t="s">
        <v>539</v>
      </c>
      <c r="U938" s="278" t="s">
        <v>99</v>
      </c>
      <c r="V938" s="278" t="s">
        <v>1984</v>
      </c>
      <c r="W938" s="285">
        <v>7150.0</v>
      </c>
      <c r="X938" s="285">
        <v>32175.0</v>
      </c>
      <c r="Y938" s="284"/>
      <c r="Z938" s="284"/>
      <c r="AA938" s="285">
        <v>0.0</v>
      </c>
      <c r="AB938" s="285">
        <v>0.0</v>
      </c>
      <c r="AC938" s="24" t="s">
        <v>2796</v>
      </c>
      <c r="AD938" s="195">
        <v>7336.0</v>
      </c>
      <c r="AE938" s="38"/>
      <c r="AF938" s="278" t="str">
        <f t="shared" si="1"/>
        <v>Misiones, Argentina</v>
      </c>
      <c r="AG938" s="278">
        <f t="shared" si="2"/>
        <v>0</v>
      </c>
      <c r="AH938" s="286">
        <f t="shared" si="3"/>
        <v>39325</v>
      </c>
      <c r="AI938" s="286">
        <f t="shared" si="4"/>
        <v>0</v>
      </c>
      <c r="AJ938" s="285">
        <f t="shared" si="5"/>
        <v>0</v>
      </c>
      <c r="AK938" s="285">
        <f t="shared" si="6"/>
        <v>39325</v>
      </c>
      <c r="AL938" s="287"/>
      <c r="AM938" s="287"/>
    </row>
    <row r="939">
      <c r="A939" s="278">
        <v>938.0</v>
      </c>
      <c r="B939" s="279">
        <v>44681.0</v>
      </c>
      <c r="C939" s="195" t="str">
        <f t="shared" si="8"/>
        <v>42022</v>
      </c>
      <c r="D939" s="280" t="s">
        <v>801</v>
      </c>
      <c r="E939" s="278" t="s">
        <v>802</v>
      </c>
      <c r="F939" s="280" t="s">
        <v>13</v>
      </c>
      <c r="G939" s="278" t="s">
        <v>64</v>
      </c>
      <c r="H939" s="278" t="s">
        <v>41</v>
      </c>
      <c r="I939" s="278" t="s">
        <v>643</v>
      </c>
      <c r="J939" s="281">
        <v>1.0</v>
      </c>
      <c r="K939" s="282"/>
      <c r="L939" s="282"/>
      <c r="M939" s="282"/>
      <c r="N939" s="282"/>
      <c r="O939" s="282"/>
      <c r="P939" s="282"/>
      <c r="Q939" s="283"/>
      <c r="R939" s="283"/>
      <c r="S939" s="278" t="s">
        <v>98</v>
      </c>
      <c r="T939" s="278" t="s">
        <v>83</v>
      </c>
      <c r="U939" s="278" t="s">
        <v>99</v>
      </c>
      <c r="V939" s="278" t="s">
        <v>1984</v>
      </c>
      <c r="W939" s="284"/>
      <c r="X939" s="284"/>
      <c r="Y939" s="284"/>
      <c r="Z939" s="284"/>
      <c r="AA939" s="285">
        <v>9880.0</v>
      </c>
      <c r="AB939" s="285">
        <v>0.0</v>
      </c>
      <c r="AC939" s="24" t="s">
        <v>2797</v>
      </c>
      <c r="AD939" s="195">
        <v>7346.0</v>
      </c>
      <c r="AE939" s="38"/>
      <c r="AF939" s="278" t="str">
        <f t="shared" si="1"/>
        <v>Capital Federal, Argentina</v>
      </c>
      <c r="AG939" s="278">
        <f t="shared" si="2"/>
        <v>1</v>
      </c>
      <c r="AH939" s="286">
        <f t="shared" si="3"/>
        <v>0</v>
      </c>
      <c r="AI939" s="286">
        <f t="shared" si="4"/>
        <v>0</v>
      </c>
      <c r="AJ939" s="285">
        <f t="shared" si="5"/>
        <v>9880</v>
      </c>
      <c r="AK939" s="285">
        <f t="shared" si="6"/>
        <v>9880</v>
      </c>
      <c r="AL939" s="287"/>
      <c r="AM939" s="287"/>
    </row>
    <row r="940">
      <c r="A940" s="278">
        <v>939.0</v>
      </c>
      <c r="B940" s="279">
        <v>44681.0</v>
      </c>
      <c r="C940" s="195" t="str">
        <f t="shared" si="8"/>
        <v>42022</v>
      </c>
      <c r="D940" s="280" t="s">
        <v>2798</v>
      </c>
      <c r="E940" s="278" t="s">
        <v>2799</v>
      </c>
      <c r="F940" s="280" t="s">
        <v>1357</v>
      </c>
      <c r="G940" s="278" t="s">
        <v>64</v>
      </c>
      <c r="H940" s="278" t="s">
        <v>41</v>
      </c>
      <c r="I940" s="278" t="s">
        <v>643</v>
      </c>
      <c r="J940" s="282"/>
      <c r="K940" s="282"/>
      <c r="L940" s="282"/>
      <c r="M940" s="282"/>
      <c r="N940" s="282"/>
      <c r="O940" s="282"/>
      <c r="P940" s="281">
        <v>1.0</v>
      </c>
      <c r="Q940" s="283"/>
      <c r="R940" s="283"/>
      <c r="S940" s="278" t="s">
        <v>907</v>
      </c>
      <c r="T940" s="278" t="s">
        <v>83</v>
      </c>
      <c r="U940" s="278" t="s">
        <v>99</v>
      </c>
      <c r="V940" s="278" t="s">
        <v>1984</v>
      </c>
      <c r="W940" s="284"/>
      <c r="X940" s="284"/>
      <c r="Y940" s="284"/>
      <c r="Z940" s="284"/>
      <c r="AA940" s="285">
        <v>7410.0</v>
      </c>
      <c r="AB940" s="285">
        <v>29640.0</v>
      </c>
      <c r="AC940" s="24" t="s">
        <v>2800</v>
      </c>
      <c r="AD940" s="195">
        <v>7352.0</v>
      </c>
      <c r="AE940" s="38"/>
      <c r="AF940" s="278" t="str">
        <f t="shared" si="1"/>
        <v>Capital Federal, Argentina</v>
      </c>
      <c r="AG940" s="278">
        <f t="shared" si="2"/>
        <v>1</v>
      </c>
      <c r="AH940" s="286">
        <f t="shared" si="3"/>
        <v>0</v>
      </c>
      <c r="AI940" s="286">
        <f t="shared" si="4"/>
        <v>0</v>
      </c>
      <c r="AJ940" s="285">
        <f t="shared" si="5"/>
        <v>37050</v>
      </c>
      <c r="AK940" s="285">
        <f t="shared" si="6"/>
        <v>37050</v>
      </c>
      <c r="AL940" s="287"/>
      <c r="AM940" s="287"/>
    </row>
    <row r="941">
      <c r="A941" s="278">
        <v>940.0</v>
      </c>
      <c r="B941" s="279">
        <v>44681.0</v>
      </c>
      <c r="C941" s="195" t="str">
        <f t="shared" si="8"/>
        <v>42022</v>
      </c>
      <c r="D941" s="280" t="s">
        <v>2801</v>
      </c>
      <c r="E941" s="278" t="s">
        <v>2802</v>
      </c>
      <c r="F941" s="280" t="s">
        <v>2803</v>
      </c>
      <c r="G941" s="278" t="s">
        <v>40</v>
      </c>
      <c r="H941" s="278" t="s">
        <v>41</v>
      </c>
      <c r="I941" s="278" t="s">
        <v>643</v>
      </c>
      <c r="J941" s="281">
        <v>4.0</v>
      </c>
      <c r="K941" s="282"/>
      <c r="L941" s="282"/>
      <c r="M941" s="281">
        <v>1.0</v>
      </c>
      <c r="N941" s="282"/>
      <c r="O941" s="282"/>
      <c r="P941" s="282"/>
      <c r="Q941" s="283"/>
      <c r="R941" s="283"/>
      <c r="S941" s="278" t="s">
        <v>114</v>
      </c>
      <c r="T941" s="278" t="s">
        <v>83</v>
      </c>
      <c r="U941" s="278" t="s">
        <v>342</v>
      </c>
      <c r="V941" s="278" t="s">
        <v>1984</v>
      </c>
      <c r="W941" s="284"/>
      <c r="X941" s="284"/>
      <c r="Y941" s="284"/>
      <c r="Z941" s="284"/>
      <c r="AA941" s="285">
        <v>49400.0</v>
      </c>
      <c r="AB941" s="285">
        <v>197600.0</v>
      </c>
      <c r="AC941" s="24" t="s">
        <v>2804</v>
      </c>
      <c r="AD941" s="195">
        <v>7358.0</v>
      </c>
      <c r="AE941" s="38"/>
      <c r="AF941" s="278" t="str">
        <f t="shared" si="1"/>
        <v>Capital Federal, Argentina</v>
      </c>
      <c r="AG941" s="278">
        <f t="shared" si="2"/>
        <v>5</v>
      </c>
      <c r="AH941" s="286">
        <f t="shared" si="3"/>
        <v>0</v>
      </c>
      <c r="AI941" s="286">
        <f t="shared" si="4"/>
        <v>0</v>
      </c>
      <c r="AJ941" s="285">
        <f t="shared" si="5"/>
        <v>247000</v>
      </c>
      <c r="AK941" s="285">
        <f t="shared" si="6"/>
        <v>247000</v>
      </c>
      <c r="AL941" s="287"/>
      <c r="AM941" s="287"/>
    </row>
    <row r="942">
      <c r="A942" s="278">
        <v>941.0</v>
      </c>
      <c r="B942" s="279">
        <v>44681.0</v>
      </c>
      <c r="C942" s="195" t="str">
        <f t="shared" si="8"/>
        <v>42022</v>
      </c>
      <c r="D942" s="280" t="s">
        <v>2805</v>
      </c>
      <c r="E942" s="278" t="s">
        <v>2501</v>
      </c>
      <c r="F942" s="280" t="s">
        <v>2806</v>
      </c>
      <c r="G942" s="278" t="s">
        <v>64</v>
      </c>
      <c r="H942" s="278" t="s">
        <v>41</v>
      </c>
      <c r="I942" s="278" t="s">
        <v>643</v>
      </c>
      <c r="J942" s="281">
        <v>7.0</v>
      </c>
      <c r="K942" s="281">
        <v>4.0</v>
      </c>
      <c r="L942" s="282"/>
      <c r="M942" s="282"/>
      <c r="N942" s="282"/>
      <c r="O942" s="282"/>
      <c r="P942" s="282"/>
      <c r="Q942" s="283"/>
      <c r="R942" s="283"/>
      <c r="S942" s="278" t="s">
        <v>137</v>
      </c>
      <c r="T942" s="278" t="s">
        <v>83</v>
      </c>
      <c r="U942" s="278" t="s">
        <v>99</v>
      </c>
      <c r="V942" s="278" t="s">
        <v>1984</v>
      </c>
      <c r="W942" s="284"/>
      <c r="X942" s="284"/>
      <c r="Y942" s="284"/>
      <c r="Z942" s="284"/>
      <c r="AA942" s="285">
        <v>98800.0</v>
      </c>
      <c r="AB942" s="285">
        <v>395200.0</v>
      </c>
      <c r="AC942" s="24" t="s">
        <v>2807</v>
      </c>
      <c r="AD942" s="195">
        <v>7366.0</v>
      </c>
      <c r="AE942" s="38"/>
      <c r="AF942" s="278" t="str">
        <f t="shared" si="1"/>
        <v>Capital Federal, Argentina</v>
      </c>
      <c r="AG942" s="278">
        <f t="shared" si="2"/>
        <v>11</v>
      </c>
      <c r="AH942" s="286">
        <f t="shared" si="3"/>
        <v>0</v>
      </c>
      <c r="AI942" s="286">
        <f t="shared" si="4"/>
        <v>0</v>
      </c>
      <c r="AJ942" s="285">
        <f t="shared" si="5"/>
        <v>494000</v>
      </c>
      <c r="AK942" s="285">
        <f t="shared" si="6"/>
        <v>494000</v>
      </c>
      <c r="AL942" s="287"/>
      <c r="AM942" s="287"/>
    </row>
    <row r="943">
      <c r="A943" s="278">
        <v>942.0</v>
      </c>
      <c r="B943" s="279">
        <v>44681.0</v>
      </c>
      <c r="C943" s="195" t="str">
        <f t="shared" si="8"/>
        <v>42022</v>
      </c>
      <c r="D943" s="280" t="s">
        <v>2808</v>
      </c>
      <c r="E943" s="278" t="s">
        <v>2809</v>
      </c>
      <c r="F943" s="280" t="s">
        <v>2056</v>
      </c>
      <c r="G943" s="278" t="s">
        <v>40</v>
      </c>
      <c r="H943" s="278" t="s">
        <v>547</v>
      </c>
      <c r="I943" s="278" t="s">
        <v>643</v>
      </c>
      <c r="J943" s="281">
        <v>1.0</v>
      </c>
      <c r="K943" s="282"/>
      <c r="L943" s="282"/>
      <c r="M943" s="281">
        <v>1.0</v>
      </c>
      <c r="N943" s="282"/>
      <c r="O943" s="282"/>
      <c r="P943" s="282"/>
      <c r="Q943" s="283"/>
      <c r="R943" s="283"/>
      <c r="S943" s="278" t="s">
        <v>137</v>
      </c>
      <c r="T943" s="278" t="s">
        <v>263</v>
      </c>
      <c r="U943" s="278" t="s">
        <v>342</v>
      </c>
      <c r="V943" s="278" t="s">
        <v>1984</v>
      </c>
      <c r="W943" s="284"/>
      <c r="X943" s="284"/>
      <c r="Y943" s="284"/>
      <c r="Z943" s="284"/>
      <c r="AA943" s="285">
        <v>11856.0</v>
      </c>
      <c r="AB943" s="285">
        <v>33196.0</v>
      </c>
      <c r="AC943" s="24" t="s">
        <v>2810</v>
      </c>
      <c r="AD943" s="195">
        <v>7364.0</v>
      </c>
      <c r="AE943" s="38"/>
      <c r="AF943" s="278" t="str">
        <f t="shared" si="1"/>
        <v>Santa Fé, Argentina</v>
      </c>
      <c r="AG943" s="278">
        <f t="shared" si="2"/>
        <v>2</v>
      </c>
      <c r="AH943" s="286">
        <f t="shared" si="3"/>
        <v>0</v>
      </c>
      <c r="AI943" s="286">
        <f t="shared" si="4"/>
        <v>0</v>
      </c>
      <c r="AJ943" s="285">
        <f t="shared" si="5"/>
        <v>45052</v>
      </c>
      <c r="AK943" s="285">
        <f t="shared" si="6"/>
        <v>45052</v>
      </c>
      <c r="AL943" s="287"/>
      <c r="AM943" s="287"/>
    </row>
    <row r="944">
      <c r="A944" s="278">
        <v>943.0</v>
      </c>
      <c r="B944" s="279">
        <v>44681.0</v>
      </c>
      <c r="C944" s="195" t="str">
        <f t="shared" si="8"/>
        <v>42022</v>
      </c>
      <c r="D944" s="280" t="s">
        <v>2811</v>
      </c>
      <c r="E944" s="278" t="s">
        <v>2812</v>
      </c>
      <c r="F944" s="280" t="s">
        <v>1474</v>
      </c>
      <c r="G944" s="278" t="s">
        <v>64</v>
      </c>
      <c r="H944" s="278" t="s">
        <v>41</v>
      </c>
      <c r="I944" s="278" t="s">
        <v>643</v>
      </c>
      <c r="J944" s="281">
        <v>3.0</v>
      </c>
      <c r="K944" s="282"/>
      <c r="L944" s="282"/>
      <c r="M944" s="282"/>
      <c r="N944" s="282"/>
      <c r="O944" s="282"/>
      <c r="P944" s="282"/>
      <c r="Q944" s="283"/>
      <c r="R944" s="283"/>
      <c r="S944" s="278" t="s">
        <v>89</v>
      </c>
      <c r="T944" s="278" t="s">
        <v>66</v>
      </c>
      <c r="U944" s="278" t="s">
        <v>99</v>
      </c>
      <c r="V944" s="278" t="s">
        <v>1984</v>
      </c>
      <c r="W944" s="284"/>
      <c r="X944" s="284"/>
      <c r="Y944" s="284"/>
      <c r="Z944" s="284"/>
      <c r="AA944" s="285">
        <v>29640.0</v>
      </c>
      <c r="AB944" s="285">
        <v>102900.0</v>
      </c>
      <c r="AC944" s="24" t="s">
        <v>2813</v>
      </c>
      <c r="AD944" s="195">
        <v>7362.0</v>
      </c>
      <c r="AE944" s="38"/>
      <c r="AF944" s="278" t="str">
        <f t="shared" si="1"/>
        <v>Buenos Aires, Argentina</v>
      </c>
      <c r="AG944" s="278">
        <f t="shared" si="2"/>
        <v>3</v>
      </c>
      <c r="AH944" s="286">
        <f t="shared" si="3"/>
        <v>0</v>
      </c>
      <c r="AI944" s="286">
        <f t="shared" si="4"/>
        <v>0</v>
      </c>
      <c r="AJ944" s="285">
        <f t="shared" si="5"/>
        <v>132540</v>
      </c>
      <c r="AK944" s="285">
        <f t="shared" si="6"/>
        <v>132540</v>
      </c>
      <c r="AL944" s="287"/>
      <c r="AM944" s="287"/>
    </row>
    <row r="945">
      <c r="A945" s="290">
        <v>944.0</v>
      </c>
      <c r="B945" s="291">
        <v>44687.0</v>
      </c>
      <c r="C945" s="195" t="str">
        <f t="shared" si="8"/>
        <v>52022</v>
      </c>
      <c r="D945" s="292" t="s">
        <v>2048</v>
      </c>
      <c r="E945" s="290" t="s">
        <v>2049</v>
      </c>
      <c r="F945" s="292" t="s">
        <v>2814</v>
      </c>
      <c r="G945" s="290" t="s">
        <v>64</v>
      </c>
      <c r="H945" s="290" t="s">
        <v>41</v>
      </c>
      <c r="I945" s="290" t="s">
        <v>643</v>
      </c>
      <c r="J945" s="293">
        <v>1.0</v>
      </c>
      <c r="K945" s="293">
        <v>2.0</v>
      </c>
      <c r="L945" s="98"/>
      <c r="M945" s="98"/>
      <c r="N945" s="98"/>
      <c r="O945" s="98"/>
      <c r="P945" s="98"/>
      <c r="Q945" s="99"/>
      <c r="R945" s="99"/>
      <c r="S945" s="290" t="s">
        <v>98</v>
      </c>
      <c r="T945" s="290" t="s">
        <v>58</v>
      </c>
      <c r="U945" s="290" t="s">
        <v>99</v>
      </c>
      <c r="V945" s="290" t="s">
        <v>1984</v>
      </c>
      <c r="W945" s="100"/>
      <c r="X945" s="100"/>
      <c r="Y945" s="100"/>
      <c r="Z945" s="100"/>
      <c r="AA945" s="294">
        <v>26250.0</v>
      </c>
      <c r="AB945" s="294">
        <v>118125.0</v>
      </c>
      <c r="AC945" s="24" t="s">
        <v>2815</v>
      </c>
      <c r="AD945" s="195">
        <v>7380.0</v>
      </c>
      <c r="AE945" s="38"/>
      <c r="AF945" s="290" t="str">
        <f t="shared" si="1"/>
        <v>Córdoba, Argentina</v>
      </c>
      <c r="AG945" s="290">
        <f t="shared" si="2"/>
        <v>3</v>
      </c>
      <c r="AH945" s="295">
        <f t="shared" si="3"/>
        <v>0</v>
      </c>
      <c r="AI945" s="295">
        <f t="shared" si="4"/>
        <v>0</v>
      </c>
      <c r="AJ945" s="294">
        <f t="shared" si="5"/>
        <v>144375</v>
      </c>
      <c r="AK945" s="294">
        <f t="shared" si="6"/>
        <v>144375</v>
      </c>
      <c r="AL945" s="103"/>
      <c r="AM945" s="103"/>
    </row>
    <row r="946">
      <c r="A946" s="290">
        <v>945.0</v>
      </c>
      <c r="B946" s="291">
        <v>44691.0</v>
      </c>
      <c r="C946" s="195" t="str">
        <f t="shared" si="8"/>
        <v>52022</v>
      </c>
      <c r="D946" s="292" t="s">
        <v>2816</v>
      </c>
      <c r="E946" s="290" t="s">
        <v>2164</v>
      </c>
      <c r="F946" s="292" t="s">
        <v>1412</v>
      </c>
      <c r="G946" s="290" t="s">
        <v>64</v>
      </c>
      <c r="H946" s="290" t="s">
        <v>41</v>
      </c>
      <c r="I946" s="290" t="s">
        <v>643</v>
      </c>
      <c r="J946" s="293">
        <v>2.0</v>
      </c>
      <c r="K946" s="98"/>
      <c r="L946" s="98"/>
      <c r="M946" s="98"/>
      <c r="N946" s="98"/>
      <c r="O946" s="98"/>
      <c r="P946" s="98"/>
      <c r="Q946" s="99"/>
      <c r="R946" s="99"/>
      <c r="S946" s="290" t="s">
        <v>65</v>
      </c>
      <c r="T946" s="290" t="s">
        <v>66</v>
      </c>
      <c r="U946" s="290" t="s">
        <v>99</v>
      </c>
      <c r="V946" s="290" t="s">
        <v>1984</v>
      </c>
      <c r="W946" s="100"/>
      <c r="X946" s="100"/>
      <c r="Y946" s="100"/>
      <c r="Z946" s="100"/>
      <c r="AA946" s="294">
        <v>21000.0</v>
      </c>
      <c r="AB946" s="294">
        <v>84000.0</v>
      </c>
      <c r="AC946" s="24" t="s">
        <v>2817</v>
      </c>
      <c r="AD946" s="195">
        <v>7436.0</v>
      </c>
      <c r="AE946" s="38"/>
      <c r="AF946" s="290" t="str">
        <f t="shared" si="1"/>
        <v>Buenos Aires, Argentina</v>
      </c>
      <c r="AG946" s="290">
        <f t="shared" si="2"/>
        <v>2</v>
      </c>
      <c r="AH946" s="295">
        <f t="shared" si="3"/>
        <v>0</v>
      </c>
      <c r="AI946" s="295">
        <f t="shared" si="4"/>
        <v>0</v>
      </c>
      <c r="AJ946" s="294">
        <f t="shared" si="5"/>
        <v>105000</v>
      </c>
      <c r="AK946" s="294">
        <f t="shared" si="6"/>
        <v>105000</v>
      </c>
      <c r="AL946" s="103"/>
      <c r="AM946" s="103"/>
    </row>
    <row r="947">
      <c r="A947" s="290">
        <v>946.0</v>
      </c>
      <c r="B947" s="291">
        <v>44691.0</v>
      </c>
      <c r="C947" s="195" t="str">
        <f t="shared" si="8"/>
        <v>52022</v>
      </c>
      <c r="D947" s="292" t="s">
        <v>2818</v>
      </c>
      <c r="E947" s="290" t="s">
        <v>2819</v>
      </c>
      <c r="F947" s="292" t="s">
        <v>2056</v>
      </c>
      <c r="G947" s="290" t="s">
        <v>40</v>
      </c>
      <c r="H947" s="290" t="s">
        <v>547</v>
      </c>
      <c r="I947" s="290" t="s">
        <v>643</v>
      </c>
      <c r="J947" s="293">
        <v>1.0</v>
      </c>
      <c r="K947" s="98"/>
      <c r="L947" s="98"/>
      <c r="M947" s="293">
        <v>1.0</v>
      </c>
      <c r="N947" s="98"/>
      <c r="O947" s="98"/>
      <c r="P947" s="98"/>
      <c r="Q947" s="99"/>
      <c r="R947" s="99"/>
      <c r="S947" s="290" t="s">
        <v>105</v>
      </c>
      <c r="T947" s="290" t="s">
        <v>66</v>
      </c>
      <c r="U947" s="290" t="s">
        <v>163</v>
      </c>
      <c r="V947" s="290" t="s">
        <v>1984</v>
      </c>
      <c r="W947" s="100"/>
      <c r="X947" s="100"/>
      <c r="Y947" s="100"/>
      <c r="Z947" s="100"/>
      <c r="AA947" s="294">
        <v>12600.0</v>
      </c>
      <c r="AB947" s="294">
        <v>35280.0</v>
      </c>
      <c r="AC947" s="24" t="s">
        <v>2820</v>
      </c>
      <c r="AD947" s="195">
        <v>7446.0</v>
      </c>
      <c r="AE947" s="38"/>
      <c r="AF947" s="290" t="str">
        <f t="shared" si="1"/>
        <v>Buenos Aires, Argentina</v>
      </c>
      <c r="AG947" s="290">
        <f t="shared" si="2"/>
        <v>2</v>
      </c>
      <c r="AH947" s="295">
        <f t="shared" si="3"/>
        <v>0</v>
      </c>
      <c r="AI947" s="295">
        <f t="shared" si="4"/>
        <v>0</v>
      </c>
      <c r="AJ947" s="294">
        <f t="shared" si="5"/>
        <v>47880</v>
      </c>
      <c r="AK947" s="294">
        <f t="shared" si="6"/>
        <v>47880</v>
      </c>
      <c r="AL947" s="103"/>
      <c r="AM947" s="103"/>
    </row>
    <row r="948">
      <c r="A948" s="290">
        <v>947.0</v>
      </c>
      <c r="B948" s="291">
        <v>44694.0</v>
      </c>
      <c r="C948" s="195" t="str">
        <f t="shared" si="8"/>
        <v>52022</v>
      </c>
      <c r="D948" s="292" t="s">
        <v>2084</v>
      </c>
      <c r="E948" s="290" t="s">
        <v>2085</v>
      </c>
      <c r="F948" s="292" t="s">
        <v>1412</v>
      </c>
      <c r="G948" s="290" t="s">
        <v>64</v>
      </c>
      <c r="H948" s="290" t="s">
        <v>41</v>
      </c>
      <c r="I948" s="290" t="s">
        <v>643</v>
      </c>
      <c r="J948" s="293">
        <v>2.0</v>
      </c>
      <c r="K948" s="98"/>
      <c r="L948" s="98"/>
      <c r="M948" s="98"/>
      <c r="N948" s="98"/>
      <c r="O948" s="98"/>
      <c r="P948" s="98"/>
      <c r="Q948" s="99"/>
      <c r="R948" s="99"/>
      <c r="S948" s="290" t="s">
        <v>167</v>
      </c>
      <c r="T948" s="290" t="s">
        <v>83</v>
      </c>
      <c r="U948" s="290" t="s">
        <v>99</v>
      </c>
      <c r="V948" s="290" t="s">
        <v>1984</v>
      </c>
      <c r="W948" s="100"/>
      <c r="X948" s="100"/>
      <c r="Y948" s="100"/>
      <c r="Z948" s="100"/>
      <c r="AA948" s="294">
        <v>21000.0</v>
      </c>
      <c r="AB948" s="294">
        <v>84000.0</v>
      </c>
      <c r="AC948" s="24" t="s">
        <v>2821</v>
      </c>
      <c r="AD948" s="195">
        <v>7504.0</v>
      </c>
      <c r="AE948" s="38"/>
      <c r="AF948" s="290" t="str">
        <f t="shared" si="1"/>
        <v>Capital Federal, Argentina</v>
      </c>
      <c r="AG948" s="290">
        <f t="shared" si="2"/>
        <v>2</v>
      </c>
      <c r="AH948" s="295">
        <f t="shared" si="3"/>
        <v>0</v>
      </c>
      <c r="AI948" s="295">
        <f t="shared" si="4"/>
        <v>0</v>
      </c>
      <c r="AJ948" s="294">
        <f t="shared" si="5"/>
        <v>105000</v>
      </c>
      <c r="AK948" s="294">
        <f t="shared" si="6"/>
        <v>105000</v>
      </c>
      <c r="AL948" s="103"/>
      <c r="AM948" s="103"/>
    </row>
    <row r="949">
      <c r="A949" s="290">
        <v>948.0</v>
      </c>
      <c r="B949" s="291">
        <v>44694.0</v>
      </c>
      <c r="C949" s="195" t="str">
        <f t="shared" si="8"/>
        <v>52022</v>
      </c>
      <c r="D949" s="292" t="s">
        <v>2822</v>
      </c>
      <c r="E949" s="290" t="s">
        <v>2823</v>
      </c>
      <c r="F949" s="292" t="s">
        <v>1415</v>
      </c>
      <c r="G949" s="290" t="s">
        <v>64</v>
      </c>
      <c r="H949" s="290" t="s">
        <v>41</v>
      </c>
      <c r="I949" s="290" t="s">
        <v>643</v>
      </c>
      <c r="J949" s="98"/>
      <c r="K949" s="293">
        <v>1.0</v>
      </c>
      <c r="L949" s="98"/>
      <c r="M949" s="98"/>
      <c r="N949" s="98"/>
      <c r="O949" s="98"/>
      <c r="P949" s="98"/>
      <c r="Q949" s="99"/>
      <c r="R949" s="99"/>
      <c r="S949" s="290" t="s">
        <v>65</v>
      </c>
      <c r="T949" s="290" t="s">
        <v>66</v>
      </c>
      <c r="U949" s="290" t="s">
        <v>99</v>
      </c>
      <c r="V949" s="290" t="s">
        <v>1984</v>
      </c>
      <c r="W949" s="100"/>
      <c r="X949" s="100"/>
      <c r="Y949" s="100"/>
      <c r="Z949" s="100"/>
      <c r="AA949" s="294">
        <v>7875.0</v>
      </c>
      <c r="AB949" s="294">
        <v>31499.0</v>
      </c>
      <c r="AC949" s="24" t="s">
        <v>2824</v>
      </c>
      <c r="AD949" s="195">
        <v>7444.0</v>
      </c>
      <c r="AE949" s="38"/>
      <c r="AF949" s="290" t="str">
        <f t="shared" si="1"/>
        <v>Buenos Aires, Argentina</v>
      </c>
      <c r="AG949" s="290">
        <f t="shared" si="2"/>
        <v>1</v>
      </c>
      <c r="AH949" s="295">
        <f t="shared" si="3"/>
        <v>0</v>
      </c>
      <c r="AI949" s="295">
        <f t="shared" si="4"/>
        <v>0</v>
      </c>
      <c r="AJ949" s="294">
        <f t="shared" si="5"/>
        <v>39374</v>
      </c>
      <c r="AK949" s="294">
        <f t="shared" si="6"/>
        <v>39374</v>
      </c>
      <c r="AL949" s="103"/>
      <c r="AM949" s="103"/>
    </row>
    <row r="950">
      <c r="A950" s="290">
        <v>949.0</v>
      </c>
      <c r="B950" s="291">
        <v>44698.0</v>
      </c>
      <c r="C950" s="195" t="str">
        <f t="shared" si="8"/>
        <v>52022</v>
      </c>
      <c r="D950" s="292" t="s">
        <v>2798</v>
      </c>
      <c r="E950" s="290" t="s">
        <v>2799</v>
      </c>
      <c r="F950" s="292" t="s">
        <v>1415</v>
      </c>
      <c r="G950" s="290" t="s">
        <v>64</v>
      </c>
      <c r="H950" s="290" t="s">
        <v>41</v>
      </c>
      <c r="I950" s="290" t="s">
        <v>643</v>
      </c>
      <c r="J950" s="98"/>
      <c r="K950" s="293">
        <v>1.0</v>
      </c>
      <c r="L950" s="98"/>
      <c r="M950" s="98"/>
      <c r="N950" s="98"/>
      <c r="O950" s="98"/>
      <c r="P950" s="98"/>
      <c r="Q950" s="99"/>
      <c r="R950" s="99"/>
      <c r="S950" s="290" t="s">
        <v>907</v>
      </c>
      <c r="T950" s="290" t="s">
        <v>83</v>
      </c>
      <c r="U950" s="290" t="s">
        <v>99</v>
      </c>
      <c r="V950" s="290" t="s">
        <v>1984</v>
      </c>
      <c r="W950" s="100"/>
      <c r="X950" s="100"/>
      <c r="Y950" s="100"/>
      <c r="Z950" s="100"/>
      <c r="AA950" s="294">
        <v>7875.0</v>
      </c>
      <c r="AB950" s="294">
        <v>24807.0</v>
      </c>
      <c r="AC950" s="24" t="s">
        <v>2825</v>
      </c>
      <c r="AD950" s="195">
        <v>7540.0</v>
      </c>
      <c r="AE950" s="38"/>
      <c r="AF950" s="290" t="str">
        <f t="shared" si="1"/>
        <v>Capital Federal, Argentina</v>
      </c>
      <c r="AG950" s="290">
        <f t="shared" si="2"/>
        <v>1</v>
      </c>
      <c r="AH950" s="295">
        <f t="shared" si="3"/>
        <v>0</v>
      </c>
      <c r="AI950" s="295">
        <f t="shared" si="4"/>
        <v>0</v>
      </c>
      <c r="AJ950" s="294">
        <f t="shared" si="5"/>
        <v>32682</v>
      </c>
      <c r="AK950" s="294">
        <f t="shared" si="6"/>
        <v>32682</v>
      </c>
      <c r="AL950" s="103"/>
      <c r="AM950" s="103"/>
    </row>
    <row r="951">
      <c r="A951" s="290">
        <v>950.0</v>
      </c>
      <c r="B951" s="291">
        <v>44698.0</v>
      </c>
      <c r="C951" s="195" t="str">
        <f t="shared" si="8"/>
        <v>52022</v>
      </c>
      <c r="D951" s="292" t="s">
        <v>2471</v>
      </c>
      <c r="E951" s="290" t="s">
        <v>2122</v>
      </c>
      <c r="F951" s="292" t="s">
        <v>1423</v>
      </c>
      <c r="G951" s="290" t="s">
        <v>64</v>
      </c>
      <c r="H951" s="290" t="s">
        <v>41</v>
      </c>
      <c r="I951" s="290" t="s">
        <v>643</v>
      </c>
      <c r="J951" s="293">
        <v>1.0</v>
      </c>
      <c r="K951" s="98"/>
      <c r="L951" s="98"/>
      <c r="M951" s="98"/>
      <c r="N951" s="98"/>
      <c r="O951" s="98"/>
      <c r="P951" s="98"/>
      <c r="Q951" s="99"/>
      <c r="R951" s="99"/>
      <c r="S951" s="290" t="s">
        <v>137</v>
      </c>
      <c r="T951" s="290" t="s">
        <v>66</v>
      </c>
      <c r="U951" s="290" t="s">
        <v>99</v>
      </c>
      <c r="V951" s="290" t="s">
        <v>1984</v>
      </c>
      <c r="W951" s="100"/>
      <c r="X951" s="100"/>
      <c r="Y951" s="100"/>
      <c r="Z951" s="100"/>
      <c r="AA951" s="294">
        <v>10500.0</v>
      </c>
      <c r="AB951" s="294">
        <v>42000.0</v>
      </c>
      <c r="AC951" s="24" t="s">
        <v>2826</v>
      </c>
      <c r="AD951" s="195">
        <v>7580.0</v>
      </c>
      <c r="AE951" s="38"/>
      <c r="AF951" s="290" t="str">
        <f t="shared" si="1"/>
        <v>Buenos Aires, Argentina</v>
      </c>
      <c r="AG951" s="290">
        <f t="shared" si="2"/>
        <v>1</v>
      </c>
      <c r="AH951" s="295">
        <f t="shared" si="3"/>
        <v>0</v>
      </c>
      <c r="AI951" s="295">
        <f t="shared" si="4"/>
        <v>0</v>
      </c>
      <c r="AJ951" s="294">
        <f t="shared" si="5"/>
        <v>52500</v>
      </c>
      <c r="AK951" s="294">
        <f t="shared" si="6"/>
        <v>52500</v>
      </c>
      <c r="AL951" s="103"/>
      <c r="AM951" s="103"/>
    </row>
    <row r="952">
      <c r="A952" s="290">
        <v>951.0</v>
      </c>
      <c r="B952" s="291">
        <v>44700.0</v>
      </c>
      <c r="C952" s="195" t="str">
        <f t="shared" si="8"/>
        <v>52022</v>
      </c>
      <c r="D952" s="292" t="s">
        <v>2827</v>
      </c>
      <c r="E952" s="290" t="s">
        <v>2828</v>
      </c>
      <c r="F952" s="292" t="s">
        <v>2141</v>
      </c>
      <c r="G952" s="290" t="s">
        <v>40</v>
      </c>
      <c r="H952" s="290" t="s">
        <v>547</v>
      </c>
      <c r="I952" s="290" t="s">
        <v>643</v>
      </c>
      <c r="J952" s="293">
        <v>1.0</v>
      </c>
      <c r="K952" s="293">
        <v>1.0</v>
      </c>
      <c r="L952" s="98"/>
      <c r="M952" s="293">
        <v>1.0</v>
      </c>
      <c r="N952" s="98"/>
      <c r="O952" s="98"/>
      <c r="P952" s="98"/>
      <c r="Q952" s="99"/>
      <c r="R952" s="99"/>
      <c r="S952" s="290" t="s">
        <v>105</v>
      </c>
      <c r="T952" s="290" t="s">
        <v>66</v>
      </c>
      <c r="U952" s="290" t="s">
        <v>53</v>
      </c>
      <c r="V952" s="290" t="s">
        <v>1984</v>
      </c>
      <c r="W952" s="100"/>
      <c r="X952" s="100"/>
      <c r="Y952" s="100"/>
      <c r="Z952" s="100"/>
      <c r="AA952" s="294">
        <v>17325.0</v>
      </c>
      <c r="AB952" s="294">
        <v>78750.0</v>
      </c>
      <c r="AC952" s="24" t="s">
        <v>2829</v>
      </c>
      <c r="AD952" s="195">
        <v>7584.0</v>
      </c>
      <c r="AE952" s="38"/>
      <c r="AF952" s="290" t="str">
        <f t="shared" si="1"/>
        <v>Buenos Aires, Argentina</v>
      </c>
      <c r="AG952" s="290">
        <f t="shared" si="2"/>
        <v>3</v>
      </c>
      <c r="AH952" s="295">
        <f t="shared" si="3"/>
        <v>0</v>
      </c>
      <c r="AI952" s="295">
        <f t="shared" si="4"/>
        <v>0</v>
      </c>
      <c r="AJ952" s="294">
        <f t="shared" si="5"/>
        <v>96075</v>
      </c>
      <c r="AK952" s="294">
        <f t="shared" si="6"/>
        <v>96075</v>
      </c>
      <c r="AL952" s="103"/>
      <c r="AM952" s="103"/>
    </row>
    <row r="953">
      <c r="A953" s="290">
        <v>952.0</v>
      </c>
      <c r="B953" s="291">
        <v>44700.0</v>
      </c>
      <c r="C953" s="195" t="str">
        <f t="shared" si="8"/>
        <v>52022</v>
      </c>
      <c r="D953" s="292" t="s">
        <v>2830</v>
      </c>
      <c r="E953" s="290" t="s">
        <v>2831</v>
      </c>
      <c r="F953" s="292" t="s">
        <v>2832</v>
      </c>
      <c r="G953" s="290" t="s">
        <v>64</v>
      </c>
      <c r="H953" s="290" t="s">
        <v>41</v>
      </c>
      <c r="I953" s="290" t="s">
        <v>643</v>
      </c>
      <c r="J953" s="98"/>
      <c r="K953" s="98"/>
      <c r="L953" s="98"/>
      <c r="M953" s="98"/>
      <c r="N953" s="98"/>
      <c r="O953" s="98"/>
      <c r="P953" s="98"/>
      <c r="Q953" s="99"/>
      <c r="R953" s="99"/>
      <c r="S953" s="290" t="s">
        <v>276</v>
      </c>
      <c r="T953" s="290" t="s">
        <v>66</v>
      </c>
      <c r="U953" s="290" t="s">
        <v>99</v>
      </c>
      <c r="V953" s="290" t="s">
        <v>1984</v>
      </c>
      <c r="W953" s="294">
        <v>13000.0</v>
      </c>
      <c r="X953" s="294">
        <v>0.0</v>
      </c>
      <c r="Y953" s="100"/>
      <c r="Z953" s="100"/>
      <c r="AA953" s="294">
        <v>0.0</v>
      </c>
      <c r="AB953" s="294">
        <v>0.0</v>
      </c>
      <c r="AC953" s="24" t="s">
        <v>2833</v>
      </c>
      <c r="AD953" s="195">
        <v>7620.0</v>
      </c>
      <c r="AE953" s="38"/>
      <c r="AF953" s="290" t="str">
        <f t="shared" si="1"/>
        <v>Buenos Aires, Argentina</v>
      </c>
      <c r="AG953" s="290">
        <f t="shared" si="2"/>
        <v>0</v>
      </c>
      <c r="AH953" s="295">
        <f t="shared" si="3"/>
        <v>13000</v>
      </c>
      <c r="AI953" s="295">
        <f t="shared" si="4"/>
        <v>0</v>
      </c>
      <c r="AJ953" s="294">
        <f t="shared" si="5"/>
        <v>0</v>
      </c>
      <c r="AK953" s="294">
        <f t="shared" si="6"/>
        <v>13000</v>
      </c>
      <c r="AL953" s="103"/>
      <c r="AM953" s="103"/>
    </row>
    <row r="954">
      <c r="A954" s="290">
        <v>953.0</v>
      </c>
      <c r="B954" s="291">
        <v>44701.0</v>
      </c>
      <c r="C954" s="195" t="str">
        <f t="shared" si="8"/>
        <v>52022</v>
      </c>
      <c r="D954" s="292" t="s">
        <v>1757</v>
      </c>
      <c r="E954" s="290" t="s">
        <v>1758</v>
      </c>
      <c r="F954" s="292" t="s">
        <v>1427</v>
      </c>
      <c r="G954" s="290" t="s">
        <v>64</v>
      </c>
      <c r="H954" s="290" t="s">
        <v>41</v>
      </c>
      <c r="I954" s="290" t="s">
        <v>643</v>
      </c>
      <c r="J954" s="98"/>
      <c r="K954" s="293">
        <v>2.0</v>
      </c>
      <c r="L954" s="98"/>
      <c r="M954" s="98"/>
      <c r="N954" s="98"/>
      <c r="O954" s="98"/>
      <c r="P954" s="98"/>
      <c r="Q954" s="99"/>
      <c r="R954" s="99"/>
      <c r="S954" s="290" t="s">
        <v>204</v>
      </c>
      <c r="T954" s="290" t="s">
        <v>66</v>
      </c>
      <c r="U954" s="290" t="s">
        <v>99</v>
      </c>
      <c r="V954" s="290" t="s">
        <v>1984</v>
      </c>
      <c r="W954" s="100"/>
      <c r="X954" s="100"/>
      <c r="Y954" s="100"/>
      <c r="Z954" s="100"/>
      <c r="AA954" s="294">
        <v>15750.0</v>
      </c>
      <c r="AB954" s="294">
        <v>63000.0</v>
      </c>
      <c r="AC954" s="24" t="s">
        <v>2834</v>
      </c>
      <c r="AD954" s="195">
        <v>7586.0</v>
      </c>
      <c r="AE954" s="38"/>
      <c r="AF954" s="290" t="str">
        <f t="shared" si="1"/>
        <v>Buenos Aires, Argentina</v>
      </c>
      <c r="AG954" s="290">
        <f t="shared" si="2"/>
        <v>2</v>
      </c>
      <c r="AH954" s="295">
        <f t="shared" si="3"/>
        <v>0</v>
      </c>
      <c r="AI954" s="295">
        <f t="shared" si="4"/>
        <v>0</v>
      </c>
      <c r="AJ954" s="294">
        <f t="shared" si="5"/>
        <v>78750</v>
      </c>
      <c r="AK954" s="294">
        <f t="shared" si="6"/>
        <v>78750</v>
      </c>
      <c r="AL954" s="103"/>
      <c r="AM954" s="103"/>
    </row>
    <row r="955">
      <c r="A955" s="290">
        <v>954.0</v>
      </c>
      <c r="B955" s="291">
        <v>44705.0</v>
      </c>
      <c r="C955" s="195" t="str">
        <f t="shared" si="8"/>
        <v>52022</v>
      </c>
      <c r="D955" s="292" t="s">
        <v>2733</v>
      </c>
      <c r="E955" s="290" t="s">
        <v>2195</v>
      </c>
      <c r="F955" s="292" t="s">
        <v>1474</v>
      </c>
      <c r="G955" s="290" t="s">
        <v>64</v>
      </c>
      <c r="H955" s="290" t="s">
        <v>227</v>
      </c>
      <c r="I955" s="290" t="s">
        <v>643</v>
      </c>
      <c r="J955" s="293">
        <v>3.0</v>
      </c>
      <c r="K955" s="98"/>
      <c r="L955" s="98"/>
      <c r="M955" s="98"/>
      <c r="N955" s="98"/>
      <c r="O955" s="98"/>
      <c r="P955" s="98"/>
      <c r="Q955" s="99"/>
      <c r="R955" s="99"/>
      <c r="S955" s="290" t="s">
        <v>65</v>
      </c>
      <c r="T955" s="290" t="s">
        <v>83</v>
      </c>
      <c r="U955" s="290" t="s">
        <v>99</v>
      </c>
      <c r="V955" s="290" t="s">
        <v>1984</v>
      </c>
      <c r="W955" s="100"/>
      <c r="X955" s="100"/>
      <c r="Y955" s="100"/>
      <c r="Z955" s="100"/>
      <c r="AA955" s="294">
        <v>42525.0</v>
      </c>
      <c r="AB955" s="294">
        <v>297675.0</v>
      </c>
      <c r="AC955" s="24" t="s">
        <v>2835</v>
      </c>
      <c r="AD955" s="195">
        <v>7618.0</v>
      </c>
      <c r="AE955" s="38"/>
      <c r="AF955" s="290" t="str">
        <f t="shared" si="1"/>
        <v>Capital Federal, Argentina</v>
      </c>
      <c r="AG955" s="290">
        <f t="shared" si="2"/>
        <v>3</v>
      </c>
      <c r="AH955" s="295">
        <f t="shared" si="3"/>
        <v>0</v>
      </c>
      <c r="AI955" s="295">
        <f t="shared" si="4"/>
        <v>0</v>
      </c>
      <c r="AJ955" s="294">
        <f t="shared" si="5"/>
        <v>340200</v>
      </c>
      <c r="AK955" s="294">
        <f t="shared" si="6"/>
        <v>340200</v>
      </c>
      <c r="AL955" s="103"/>
      <c r="AM955" s="103"/>
    </row>
    <row r="956">
      <c r="A956" s="290">
        <v>955.0</v>
      </c>
      <c r="B956" s="291">
        <v>44707.0</v>
      </c>
      <c r="C956" s="195" t="str">
        <f t="shared" si="8"/>
        <v>52022</v>
      </c>
      <c r="D956" s="292" t="s">
        <v>2836</v>
      </c>
      <c r="E956" s="290" t="s">
        <v>2837</v>
      </c>
      <c r="F956" s="292" t="s">
        <v>2838</v>
      </c>
      <c r="G956" s="290" t="s">
        <v>40</v>
      </c>
      <c r="H956" s="290" t="s">
        <v>41</v>
      </c>
      <c r="I956" s="290" t="s">
        <v>643</v>
      </c>
      <c r="J956" s="293">
        <v>1.0</v>
      </c>
      <c r="K956" s="293">
        <v>1.0</v>
      </c>
      <c r="L956" s="98"/>
      <c r="M956" s="293">
        <v>1.0</v>
      </c>
      <c r="N956" s="98"/>
      <c r="O956" s="98"/>
      <c r="P956" s="293">
        <v>1.0</v>
      </c>
      <c r="Q956" s="99"/>
      <c r="R956" s="99"/>
      <c r="S956" s="290" t="s">
        <v>105</v>
      </c>
      <c r="T956" s="290" t="s">
        <v>66</v>
      </c>
      <c r="U956" s="290" t="s">
        <v>342</v>
      </c>
      <c r="V956" s="290" t="s">
        <v>1984</v>
      </c>
      <c r="W956" s="100"/>
      <c r="X956" s="100"/>
      <c r="Y956" s="100"/>
      <c r="Z956" s="100"/>
      <c r="AA956" s="294">
        <v>36750.0</v>
      </c>
      <c r="AB956" s="294">
        <v>147000.0</v>
      </c>
      <c r="AC956" s="24" t="s">
        <v>2839</v>
      </c>
      <c r="AD956" s="195">
        <v>7564.0</v>
      </c>
      <c r="AE956" s="38"/>
      <c r="AF956" s="290" t="str">
        <f t="shared" si="1"/>
        <v>Buenos Aires, Argentina</v>
      </c>
      <c r="AG956" s="290">
        <f t="shared" si="2"/>
        <v>4</v>
      </c>
      <c r="AH956" s="295">
        <f t="shared" si="3"/>
        <v>0</v>
      </c>
      <c r="AI956" s="295">
        <f t="shared" si="4"/>
        <v>0</v>
      </c>
      <c r="AJ956" s="294">
        <f t="shared" si="5"/>
        <v>183750</v>
      </c>
      <c r="AK956" s="294">
        <f t="shared" si="6"/>
        <v>183750</v>
      </c>
      <c r="AL956" s="103"/>
      <c r="AM956" s="103"/>
    </row>
    <row r="957">
      <c r="A957" s="290">
        <v>956.0</v>
      </c>
      <c r="B957" s="291">
        <v>44707.0</v>
      </c>
      <c r="C957" s="195" t="str">
        <f t="shared" si="8"/>
        <v>52022</v>
      </c>
      <c r="D957" s="292" t="s">
        <v>2048</v>
      </c>
      <c r="E957" s="290" t="s">
        <v>2049</v>
      </c>
      <c r="F957" s="292" t="s">
        <v>2840</v>
      </c>
      <c r="G957" s="290" t="s">
        <v>64</v>
      </c>
      <c r="H957" s="290" t="s">
        <v>41</v>
      </c>
      <c r="I957" s="290" t="s">
        <v>643</v>
      </c>
      <c r="J957" s="98"/>
      <c r="K957" s="98"/>
      <c r="L957" s="293">
        <v>5.0</v>
      </c>
      <c r="M957" s="98"/>
      <c r="N957" s="98"/>
      <c r="O957" s="98"/>
      <c r="P957" s="98"/>
      <c r="Q957" s="99"/>
      <c r="R957" s="99"/>
      <c r="S957" s="290" t="s">
        <v>98</v>
      </c>
      <c r="T957" s="290" t="s">
        <v>58</v>
      </c>
      <c r="U957" s="290" t="s">
        <v>99</v>
      </c>
      <c r="V957" s="290" t="s">
        <v>1984</v>
      </c>
      <c r="W957" s="100"/>
      <c r="X957" s="100"/>
      <c r="Y957" s="100"/>
      <c r="Z957" s="100"/>
      <c r="AA957" s="294">
        <v>26250.0</v>
      </c>
      <c r="AB957" s="294">
        <v>118125.0</v>
      </c>
      <c r="AC957" s="24" t="s">
        <v>2841</v>
      </c>
      <c r="AD957" s="195">
        <v>7596.0</v>
      </c>
      <c r="AE957" s="38"/>
      <c r="AF957" s="290" t="str">
        <f t="shared" si="1"/>
        <v>Córdoba, Argentina</v>
      </c>
      <c r="AG957" s="290">
        <f t="shared" si="2"/>
        <v>5</v>
      </c>
      <c r="AH957" s="295">
        <f t="shared" si="3"/>
        <v>0</v>
      </c>
      <c r="AI957" s="295">
        <f t="shared" si="4"/>
        <v>0</v>
      </c>
      <c r="AJ957" s="294">
        <f t="shared" si="5"/>
        <v>144375</v>
      </c>
      <c r="AK957" s="294">
        <f t="shared" si="6"/>
        <v>144375</v>
      </c>
      <c r="AL957" s="103"/>
      <c r="AM957" s="103"/>
    </row>
    <row r="958">
      <c r="A958" s="290">
        <v>957.0</v>
      </c>
      <c r="B958" s="291">
        <v>44708.0</v>
      </c>
      <c r="C958" s="195" t="str">
        <f t="shared" si="8"/>
        <v>52022</v>
      </c>
      <c r="D958" s="292" t="s">
        <v>2084</v>
      </c>
      <c r="E958" s="290" t="s">
        <v>2085</v>
      </c>
      <c r="F958" s="292" t="s">
        <v>1423</v>
      </c>
      <c r="G958" s="290" t="s">
        <v>64</v>
      </c>
      <c r="H958" s="290" t="s">
        <v>41</v>
      </c>
      <c r="I958" s="290" t="s">
        <v>643</v>
      </c>
      <c r="J958" s="293">
        <v>1.0</v>
      </c>
      <c r="K958" s="98"/>
      <c r="L958" s="98"/>
      <c r="M958" s="98"/>
      <c r="N958" s="98"/>
      <c r="O958" s="98"/>
      <c r="P958" s="98"/>
      <c r="Q958" s="99"/>
      <c r="R958" s="99"/>
      <c r="S958" s="290" t="s">
        <v>167</v>
      </c>
      <c r="T958" s="290" t="s">
        <v>83</v>
      </c>
      <c r="U958" s="290" t="s">
        <v>99</v>
      </c>
      <c r="V958" s="290" t="s">
        <v>1984</v>
      </c>
      <c r="W958" s="100"/>
      <c r="X958" s="100"/>
      <c r="Y958" s="100"/>
      <c r="Z958" s="100"/>
      <c r="AA958" s="294">
        <v>10500.0</v>
      </c>
      <c r="AB958" s="294">
        <v>42000.0</v>
      </c>
      <c r="AC958" s="24" t="s">
        <v>2842</v>
      </c>
      <c r="AD958" s="195">
        <v>7630.0</v>
      </c>
      <c r="AE958" s="38"/>
      <c r="AF958" s="290" t="str">
        <f t="shared" si="1"/>
        <v>Capital Federal, Argentina</v>
      </c>
      <c r="AG958" s="290">
        <f t="shared" si="2"/>
        <v>1</v>
      </c>
      <c r="AH958" s="295">
        <f t="shared" si="3"/>
        <v>0</v>
      </c>
      <c r="AI958" s="295">
        <f t="shared" si="4"/>
        <v>0</v>
      </c>
      <c r="AJ958" s="294">
        <f t="shared" si="5"/>
        <v>52500</v>
      </c>
      <c r="AK958" s="294">
        <f t="shared" si="6"/>
        <v>52500</v>
      </c>
      <c r="AL958" s="103"/>
      <c r="AM958" s="103"/>
    </row>
    <row r="959">
      <c r="A959" s="290">
        <v>958.0</v>
      </c>
      <c r="B959" s="291">
        <v>44711.0</v>
      </c>
      <c r="C959" s="195" t="str">
        <f t="shared" si="8"/>
        <v>52022</v>
      </c>
      <c r="D959" s="292" t="s">
        <v>2843</v>
      </c>
      <c r="E959" s="290" t="s">
        <v>2844</v>
      </c>
      <c r="F959" s="292" t="s">
        <v>2141</v>
      </c>
      <c r="G959" s="290" t="s">
        <v>40</v>
      </c>
      <c r="H959" s="290" t="s">
        <v>547</v>
      </c>
      <c r="I959" s="290" t="s">
        <v>643</v>
      </c>
      <c r="J959" s="293">
        <v>1.0</v>
      </c>
      <c r="K959" s="293">
        <v>1.0</v>
      </c>
      <c r="L959" s="98"/>
      <c r="M959" s="293">
        <v>1.0</v>
      </c>
      <c r="N959" s="98"/>
      <c r="O959" s="98"/>
      <c r="P959" s="98"/>
      <c r="Q959" s="99"/>
      <c r="R959" s="99"/>
      <c r="S959" s="290" t="s">
        <v>105</v>
      </c>
      <c r="T959" s="290" t="s">
        <v>66</v>
      </c>
      <c r="U959" s="290" t="s">
        <v>342</v>
      </c>
      <c r="V959" s="290" t="s">
        <v>1984</v>
      </c>
      <c r="W959" s="100"/>
      <c r="X959" s="100"/>
      <c r="Y959" s="100"/>
      <c r="Z959" s="100"/>
      <c r="AA959" s="294">
        <v>17325.0</v>
      </c>
      <c r="AB959" s="294">
        <v>48510.0</v>
      </c>
      <c r="AC959" s="24" t="s">
        <v>2845</v>
      </c>
      <c r="AD959" s="195">
        <v>7402.0</v>
      </c>
      <c r="AE959" s="38"/>
      <c r="AF959" s="290" t="str">
        <f t="shared" si="1"/>
        <v>Buenos Aires, Argentina</v>
      </c>
      <c r="AG959" s="290">
        <f t="shared" si="2"/>
        <v>3</v>
      </c>
      <c r="AH959" s="295">
        <f t="shared" si="3"/>
        <v>0</v>
      </c>
      <c r="AI959" s="295">
        <f t="shared" si="4"/>
        <v>0</v>
      </c>
      <c r="AJ959" s="294">
        <f t="shared" si="5"/>
        <v>65835</v>
      </c>
      <c r="AK959" s="294">
        <f t="shared" si="6"/>
        <v>65835</v>
      </c>
      <c r="AL959" s="103"/>
      <c r="AM959" s="103"/>
    </row>
    <row r="960">
      <c r="A960" s="290">
        <v>959.0</v>
      </c>
      <c r="B960" s="291">
        <v>44712.0</v>
      </c>
      <c r="C960" s="195" t="str">
        <f t="shared" si="8"/>
        <v>52022</v>
      </c>
      <c r="D960" s="292" t="s">
        <v>2846</v>
      </c>
      <c r="E960" s="290" t="s">
        <v>2847</v>
      </c>
      <c r="F960" s="292" t="s">
        <v>1592</v>
      </c>
      <c r="G960" s="290" t="s">
        <v>40</v>
      </c>
      <c r="H960" s="290" t="s">
        <v>547</v>
      </c>
      <c r="I960" s="290" t="s">
        <v>643</v>
      </c>
      <c r="J960" s="293">
        <v>1.0</v>
      </c>
      <c r="K960" s="293">
        <v>1.0</v>
      </c>
      <c r="L960" s="98"/>
      <c r="M960" s="98"/>
      <c r="N960" s="98"/>
      <c r="O960" s="98"/>
      <c r="P960" s="98"/>
      <c r="Q960" s="99"/>
      <c r="R960" s="99"/>
      <c r="S960" s="290" t="s">
        <v>114</v>
      </c>
      <c r="T960" s="290" t="s">
        <v>83</v>
      </c>
      <c r="U960" s="290" t="s">
        <v>45</v>
      </c>
      <c r="V960" s="290" t="s">
        <v>1984</v>
      </c>
      <c r="W960" s="100"/>
      <c r="X960" s="100"/>
      <c r="Y960" s="100"/>
      <c r="Z960" s="100"/>
      <c r="AA960" s="294">
        <v>11025.0</v>
      </c>
      <c r="AB960" s="294">
        <v>30870.0</v>
      </c>
      <c r="AC960" s="24" t="s">
        <v>2848</v>
      </c>
      <c r="AD960" s="195">
        <v>7408.0</v>
      </c>
      <c r="AE960" s="38"/>
      <c r="AF960" s="290" t="str">
        <f t="shared" si="1"/>
        <v>Capital Federal, Argentina</v>
      </c>
      <c r="AG960" s="290">
        <f t="shared" si="2"/>
        <v>2</v>
      </c>
      <c r="AH960" s="295">
        <f t="shared" si="3"/>
        <v>0</v>
      </c>
      <c r="AI960" s="295">
        <f t="shared" si="4"/>
        <v>0</v>
      </c>
      <c r="AJ960" s="294">
        <f t="shared" si="5"/>
        <v>41895</v>
      </c>
      <c r="AK960" s="294">
        <f t="shared" si="6"/>
        <v>41895</v>
      </c>
      <c r="AL960" s="103"/>
      <c r="AM960" s="103"/>
    </row>
    <row r="961">
      <c r="A961" s="290">
        <v>960.0</v>
      </c>
      <c r="B961" s="291">
        <v>44712.0</v>
      </c>
      <c r="C961" s="195" t="str">
        <f t="shared" si="8"/>
        <v>52022</v>
      </c>
      <c r="D961" s="292" t="s">
        <v>2849</v>
      </c>
      <c r="E961" s="290" t="s">
        <v>2850</v>
      </c>
      <c r="F961" s="292" t="s">
        <v>1423</v>
      </c>
      <c r="G961" s="290" t="s">
        <v>40</v>
      </c>
      <c r="H961" s="290" t="s">
        <v>547</v>
      </c>
      <c r="I961" s="290" t="s">
        <v>643</v>
      </c>
      <c r="J961" s="293">
        <v>1.0</v>
      </c>
      <c r="K961" s="98"/>
      <c r="L961" s="98"/>
      <c r="M961" s="98"/>
      <c r="N961" s="98"/>
      <c r="O961" s="98"/>
      <c r="P961" s="98"/>
      <c r="Q961" s="99"/>
      <c r="R961" s="99"/>
      <c r="S961" s="290" t="s">
        <v>105</v>
      </c>
      <c r="T961" s="290" t="s">
        <v>83</v>
      </c>
      <c r="U961" s="290" t="s">
        <v>45</v>
      </c>
      <c r="V961" s="290" t="s">
        <v>1984</v>
      </c>
      <c r="W961" s="100"/>
      <c r="X961" s="100"/>
      <c r="Y961" s="100"/>
      <c r="Z961" s="100"/>
      <c r="AA961" s="294">
        <v>6300.0</v>
      </c>
      <c r="AB961" s="294">
        <v>17640.0</v>
      </c>
      <c r="AC961" s="24" t="s">
        <v>2851</v>
      </c>
      <c r="AD961" s="195">
        <v>7454.0</v>
      </c>
      <c r="AE961" s="38"/>
      <c r="AF961" s="290" t="str">
        <f t="shared" si="1"/>
        <v>Capital Federal, Argentina</v>
      </c>
      <c r="AG961" s="290">
        <f t="shared" si="2"/>
        <v>1</v>
      </c>
      <c r="AH961" s="295">
        <f t="shared" si="3"/>
        <v>0</v>
      </c>
      <c r="AI961" s="295">
        <f t="shared" si="4"/>
        <v>0</v>
      </c>
      <c r="AJ961" s="294">
        <f t="shared" si="5"/>
        <v>23940</v>
      </c>
      <c r="AK961" s="294">
        <f t="shared" si="6"/>
        <v>23940</v>
      </c>
      <c r="AL961" s="103"/>
      <c r="AM961" s="103"/>
    </row>
    <row r="962">
      <c r="A962" s="290">
        <v>961.0</v>
      </c>
      <c r="B962" s="291">
        <v>44712.0</v>
      </c>
      <c r="C962" s="195" t="str">
        <f t="shared" si="8"/>
        <v>52022</v>
      </c>
      <c r="D962" s="292" t="s">
        <v>2852</v>
      </c>
      <c r="E962" s="290" t="s">
        <v>2853</v>
      </c>
      <c r="F962" s="292" t="s">
        <v>2262</v>
      </c>
      <c r="G962" s="290" t="s">
        <v>40</v>
      </c>
      <c r="H962" s="290" t="s">
        <v>547</v>
      </c>
      <c r="I962" s="290" t="s">
        <v>643</v>
      </c>
      <c r="J962" s="293">
        <v>1.0</v>
      </c>
      <c r="K962" s="293">
        <v>2.0</v>
      </c>
      <c r="L962" s="98"/>
      <c r="M962" s="98"/>
      <c r="N962" s="98"/>
      <c r="O962" s="98"/>
      <c r="P962" s="98"/>
      <c r="Q962" s="99"/>
      <c r="R962" s="99"/>
      <c r="S962" s="290" t="s">
        <v>137</v>
      </c>
      <c r="T962" s="290" t="s">
        <v>66</v>
      </c>
      <c r="U962" s="290" t="s">
        <v>342</v>
      </c>
      <c r="V962" s="290" t="s">
        <v>1984</v>
      </c>
      <c r="W962" s="100"/>
      <c r="X962" s="100"/>
      <c r="Y962" s="100"/>
      <c r="Z962" s="100"/>
      <c r="AA962" s="294">
        <v>15750.0</v>
      </c>
      <c r="AB962" s="294">
        <v>49612.0</v>
      </c>
      <c r="AC962" s="24" t="s">
        <v>2854</v>
      </c>
      <c r="AD962" s="195">
        <v>7662.0</v>
      </c>
      <c r="AE962" s="38"/>
      <c r="AF962" s="290" t="str">
        <f t="shared" si="1"/>
        <v>Buenos Aires, Argentina</v>
      </c>
      <c r="AG962" s="290">
        <f t="shared" si="2"/>
        <v>3</v>
      </c>
      <c r="AH962" s="295">
        <f t="shared" si="3"/>
        <v>0</v>
      </c>
      <c r="AI962" s="295">
        <f t="shared" si="4"/>
        <v>0</v>
      </c>
      <c r="AJ962" s="294">
        <f t="shared" si="5"/>
        <v>65362</v>
      </c>
      <c r="AK962" s="294">
        <f t="shared" si="6"/>
        <v>65362</v>
      </c>
      <c r="AL962" s="103"/>
      <c r="AM962" s="103"/>
    </row>
    <row r="963">
      <c r="A963" s="290">
        <v>962.0</v>
      </c>
      <c r="B963" s="291">
        <v>44712.0</v>
      </c>
      <c r="C963" s="195" t="str">
        <f t="shared" si="8"/>
        <v>52022</v>
      </c>
      <c r="D963" s="292" t="s">
        <v>1821</v>
      </c>
      <c r="E963" s="290" t="s">
        <v>2855</v>
      </c>
      <c r="F963" s="292" t="s">
        <v>1423</v>
      </c>
      <c r="G963" s="290" t="s">
        <v>64</v>
      </c>
      <c r="H963" s="290" t="s">
        <v>41</v>
      </c>
      <c r="I963" s="290" t="s">
        <v>643</v>
      </c>
      <c r="J963" s="293">
        <v>1.0</v>
      </c>
      <c r="K963" s="98"/>
      <c r="L963" s="98"/>
      <c r="M963" s="98"/>
      <c r="N963" s="98"/>
      <c r="O963" s="98"/>
      <c r="P963" s="98"/>
      <c r="Q963" s="99"/>
      <c r="R963" s="99"/>
      <c r="S963" s="290" t="s">
        <v>65</v>
      </c>
      <c r="T963" s="290" t="s">
        <v>66</v>
      </c>
      <c r="U963" s="290" t="s">
        <v>99</v>
      </c>
      <c r="V963" s="290" t="s">
        <v>1984</v>
      </c>
      <c r="W963" s="100"/>
      <c r="X963" s="100"/>
      <c r="Y963" s="100"/>
      <c r="Z963" s="100"/>
      <c r="AA963" s="294">
        <v>9450.0</v>
      </c>
      <c r="AB963" s="294">
        <v>42525.0</v>
      </c>
      <c r="AC963" s="24" t="s">
        <v>2856</v>
      </c>
      <c r="AD963" s="195">
        <v>7670.0</v>
      </c>
      <c r="AE963" s="38"/>
      <c r="AF963" s="290" t="str">
        <f t="shared" si="1"/>
        <v>Buenos Aires, Argentina</v>
      </c>
      <c r="AG963" s="290">
        <f t="shared" si="2"/>
        <v>1</v>
      </c>
      <c r="AH963" s="295">
        <f t="shared" si="3"/>
        <v>0</v>
      </c>
      <c r="AI963" s="295">
        <f t="shared" si="4"/>
        <v>0</v>
      </c>
      <c r="AJ963" s="294">
        <f t="shared" si="5"/>
        <v>51975</v>
      </c>
      <c r="AK963" s="294">
        <f t="shared" si="6"/>
        <v>51975</v>
      </c>
      <c r="AL963" s="103"/>
      <c r="AM963" s="103"/>
    </row>
    <row r="964">
      <c r="A964" s="290">
        <v>963.0</v>
      </c>
      <c r="B964" s="291">
        <v>44712.0</v>
      </c>
      <c r="C964" s="195" t="str">
        <f t="shared" si="8"/>
        <v>52022</v>
      </c>
      <c r="D964" s="292" t="s">
        <v>2857</v>
      </c>
      <c r="E964" s="290" t="s">
        <v>1152</v>
      </c>
      <c r="F964" s="292" t="s">
        <v>1423</v>
      </c>
      <c r="G964" s="290" t="s">
        <v>64</v>
      </c>
      <c r="H964" s="290" t="s">
        <v>41</v>
      </c>
      <c r="I964" s="290" t="s">
        <v>643</v>
      </c>
      <c r="J964" s="293">
        <v>1.0</v>
      </c>
      <c r="K964" s="98"/>
      <c r="L964" s="98"/>
      <c r="M964" s="98"/>
      <c r="N964" s="98"/>
      <c r="O964" s="98"/>
      <c r="P964" s="98"/>
      <c r="Q964" s="99"/>
      <c r="R964" s="99"/>
      <c r="S964" s="290" t="s">
        <v>105</v>
      </c>
      <c r="T964" s="290" t="s">
        <v>73</v>
      </c>
      <c r="U964" s="290" t="s">
        <v>99</v>
      </c>
      <c r="V964" s="290" t="s">
        <v>1984</v>
      </c>
      <c r="W964" s="100"/>
      <c r="X964" s="100"/>
      <c r="Y964" s="100"/>
      <c r="Z964" s="100"/>
      <c r="AA964" s="294">
        <v>10500.0</v>
      </c>
      <c r="AB964" s="294">
        <v>47250.0</v>
      </c>
      <c r="AC964" s="24" t="s">
        <v>2858</v>
      </c>
      <c r="AD964" s="195">
        <v>7602.0</v>
      </c>
      <c r="AE964" s="38"/>
      <c r="AF964" s="290" t="str">
        <f t="shared" si="1"/>
        <v>Tierra de Fuego, Argentina</v>
      </c>
      <c r="AG964" s="290">
        <f t="shared" si="2"/>
        <v>1</v>
      </c>
      <c r="AH964" s="295">
        <f t="shared" si="3"/>
        <v>0</v>
      </c>
      <c r="AI964" s="295">
        <f t="shared" si="4"/>
        <v>0</v>
      </c>
      <c r="AJ964" s="294">
        <f t="shared" si="5"/>
        <v>57750</v>
      </c>
      <c r="AK964" s="294">
        <f t="shared" si="6"/>
        <v>57750</v>
      </c>
      <c r="AL964" s="103"/>
      <c r="AM964" s="103"/>
    </row>
    <row r="965">
      <c r="A965" s="290">
        <v>964.0</v>
      </c>
      <c r="B965" s="291">
        <v>44712.0</v>
      </c>
      <c r="C965" s="195" t="str">
        <f t="shared" si="8"/>
        <v>52022</v>
      </c>
      <c r="D965" s="292" t="s">
        <v>2084</v>
      </c>
      <c r="E965" s="290" t="s">
        <v>2085</v>
      </c>
      <c r="F965" s="292" t="s">
        <v>1423</v>
      </c>
      <c r="G965" s="290" t="s">
        <v>64</v>
      </c>
      <c r="H965" s="290" t="s">
        <v>41</v>
      </c>
      <c r="I965" s="290" t="s">
        <v>643</v>
      </c>
      <c r="J965" s="293">
        <v>1.0</v>
      </c>
      <c r="K965" s="98"/>
      <c r="L965" s="98"/>
      <c r="M965" s="98"/>
      <c r="N965" s="98"/>
      <c r="O965" s="98"/>
      <c r="P965" s="98"/>
      <c r="Q965" s="99"/>
      <c r="R965" s="99"/>
      <c r="S965" s="290" t="s">
        <v>167</v>
      </c>
      <c r="T965" s="290" t="s">
        <v>83</v>
      </c>
      <c r="U965" s="290" t="s">
        <v>99</v>
      </c>
      <c r="V965" s="290" t="s">
        <v>1984</v>
      </c>
      <c r="W965" s="100"/>
      <c r="X965" s="100"/>
      <c r="Y965" s="100"/>
      <c r="Z965" s="100"/>
      <c r="AA965" s="294">
        <v>10500.0</v>
      </c>
      <c r="AB965" s="294">
        <v>42000.0</v>
      </c>
      <c r="AC965" s="24" t="s">
        <v>2859</v>
      </c>
      <c r="AD965" s="195">
        <v>7702.0</v>
      </c>
      <c r="AE965" s="38"/>
      <c r="AF965" s="290" t="str">
        <f t="shared" si="1"/>
        <v>Capital Federal, Argentina</v>
      </c>
      <c r="AG965" s="290">
        <f t="shared" si="2"/>
        <v>1</v>
      </c>
      <c r="AH965" s="295">
        <f t="shared" si="3"/>
        <v>0</v>
      </c>
      <c r="AI965" s="295">
        <f t="shared" si="4"/>
        <v>0</v>
      </c>
      <c r="AJ965" s="294">
        <f t="shared" si="5"/>
        <v>52500</v>
      </c>
      <c r="AK965" s="294">
        <f t="shared" si="6"/>
        <v>52500</v>
      </c>
      <c r="AL965" s="103"/>
      <c r="AM965" s="103"/>
    </row>
    <row r="966">
      <c r="A966" s="290">
        <v>965.0</v>
      </c>
      <c r="B966" s="291">
        <v>44712.0</v>
      </c>
      <c r="C966" s="195" t="str">
        <f t="shared" si="8"/>
        <v>52022</v>
      </c>
      <c r="D966" s="292" t="s">
        <v>2860</v>
      </c>
      <c r="E966" s="290" t="s">
        <v>2861</v>
      </c>
      <c r="F966" s="292" t="s">
        <v>2141</v>
      </c>
      <c r="G966" s="290" t="s">
        <v>40</v>
      </c>
      <c r="H966" s="290" t="s">
        <v>547</v>
      </c>
      <c r="I966" s="290" t="s">
        <v>643</v>
      </c>
      <c r="J966" s="293">
        <v>1.0</v>
      </c>
      <c r="K966" s="293">
        <v>1.0</v>
      </c>
      <c r="L966" s="98"/>
      <c r="M966" s="293">
        <v>1.0</v>
      </c>
      <c r="N966" s="98"/>
      <c r="O966" s="98"/>
      <c r="P966" s="98"/>
      <c r="Q966" s="99"/>
      <c r="R966" s="99"/>
      <c r="S966" s="290" t="s">
        <v>72</v>
      </c>
      <c r="T966" s="290" t="s">
        <v>66</v>
      </c>
      <c r="U966" s="290" t="s">
        <v>342</v>
      </c>
      <c r="V966" s="290" t="s">
        <v>2862</v>
      </c>
      <c r="W966" s="100"/>
      <c r="X966" s="100"/>
      <c r="Y966" s="100"/>
      <c r="Z966" s="100"/>
      <c r="AA966" s="294">
        <v>17325.0</v>
      </c>
      <c r="AB966" s="294">
        <v>60030.0</v>
      </c>
      <c r="AC966" s="24" t="s">
        <v>2863</v>
      </c>
      <c r="AD966" s="195">
        <v>7648.0</v>
      </c>
      <c r="AE966" s="38"/>
      <c r="AF966" s="290" t="str">
        <f t="shared" si="1"/>
        <v>Buenos Aires, Argentina</v>
      </c>
      <c r="AG966" s="290">
        <f t="shared" si="2"/>
        <v>3</v>
      </c>
      <c r="AH966" s="295">
        <f t="shared" si="3"/>
        <v>0</v>
      </c>
      <c r="AI966" s="295">
        <f t="shared" si="4"/>
        <v>0</v>
      </c>
      <c r="AJ966" s="294">
        <f t="shared" si="5"/>
        <v>77355</v>
      </c>
      <c r="AK966" s="294">
        <f t="shared" si="6"/>
        <v>77355</v>
      </c>
      <c r="AL966" s="103"/>
      <c r="AM966" s="103"/>
    </row>
    <row r="967">
      <c r="A967" s="290">
        <v>966.0</v>
      </c>
      <c r="B967" s="291">
        <v>44712.0</v>
      </c>
      <c r="C967" s="195" t="str">
        <f t="shared" si="8"/>
        <v>52022</v>
      </c>
      <c r="D967" s="292" t="s">
        <v>1659</v>
      </c>
      <c r="E967" s="290" t="s">
        <v>2864</v>
      </c>
      <c r="F967" s="292" t="s">
        <v>1415</v>
      </c>
      <c r="G967" s="290" t="s">
        <v>64</v>
      </c>
      <c r="H967" s="290" t="s">
        <v>41</v>
      </c>
      <c r="I967" s="290" t="s">
        <v>643</v>
      </c>
      <c r="J967" s="98"/>
      <c r="K967" s="293">
        <v>1.0</v>
      </c>
      <c r="L967" s="98"/>
      <c r="M967" s="98"/>
      <c r="N967" s="98"/>
      <c r="O967" s="98"/>
      <c r="P967" s="98"/>
      <c r="Q967" s="99"/>
      <c r="R967" s="99"/>
      <c r="S967" s="290" t="s">
        <v>105</v>
      </c>
      <c r="T967" s="290" t="s">
        <v>73</v>
      </c>
      <c r="U967" s="290" t="s">
        <v>99</v>
      </c>
      <c r="V967" s="290" t="s">
        <v>1984</v>
      </c>
      <c r="W967" s="100"/>
      <c r="X967" s="100"/>
      <c r="Y967" s="100"/>
      <c r="Z967" s="100"/>
      <c r="AA967" s="294">
        <v>7875.0</v>
      </c>
      <c r="AB967" s="294">
        <v>35437.0</v>
      </c>
      <c r="AC967" s="24" t="s">
        <v>2865</v>
      </c>
      <c r="AD967" s="195">
        <v>7440.0</v>
      </c>
      <c r="AE967" s="38"/>
      <c r="AF967" s="290" t="str">
        <f t="shared" si="1"/>
        <v>Tierra de Fuego, Argentina</v>
      </c>
      <c r="AG967" s="290">
        <f t="shared" si="2"/>
        <v>1</v>
      </c>
      <c r="AH967" s="295">
        <f t="shared" si="3"/>
        <v>0</v>
      </c>
      <c r="AI967" s="295">
        <f t="shared" si="4"/>
        <v>0</v>
      </c>
      <c r="AJ967" s="294">
        <f t="shared" si="5"/>
        <v>43312</v>
      </c>
      <c r="AK967" s="294">
        <f t="shared" si="6"/>
        <v>43312</v>
      </c>
      <c r="AL967" s="103"/>
      <c r="AM967" s="103"/>
    </row>
    <row r="968">
      <c r="A968" s="290">
        <v>967.0</v>
      </c>
      <c r="B968" s="291">
        <v>44712.0</v>
      </c>
      <c r="C968" s="195" t="str">
        <f t="shared" si="8"/>
        <v>52022</v>
      </c>
      <c r="D968" s="292" t="s">
        <v>2866</v>
      </c>
      <c r="E968" s="290" t="s">
        <v>2867</v>
      </c>
      <c r="F968" s="292" t="s">
        <v>2063</v>
      </c>
      <c r="G968" s="290" t="s">
        <v>40</v>
      </c>
      <c r="H968" s="290" t="s">
        <v>547</v>
      </c>
      <c r="I968" s="290" t="s">
        <v>643</v>
      </c>
      <c r="J968" s="293">
        <v>2.0</v>
      </c>
      <c r="K968" s="293">
        <v>2.0</v>
      </c>
      <c r="L968" s="98"/>
      <c r="M968" s="293">
        <v>1.0</v>
      </c>
      <c r="N968" s="98"/>
      <c r="O968" s="98"/>
      <c r="P968" s="98"/>
      <c r="Q968" s="99"/>
      <c r="R968" s="99"/>
      <c r="S968" s="290" t="s">
        <v>51</v>
      </c>
      <c r="T968" s="290" t="s">
        <v>83</v>
      </c>
      <c r="U968" s="290" t="s">
        <v>45</v>
      </c>
      <c r="V968" s="290" t="s">
        <v>1984</v>
      </c>
      <c r="W968" s="100"/>
      <c r="X968" s="100"/>
      <c r="Y968" s="100"/>
      <c r="Z968" s="100"/>
      <c r="AA968" s="294">
        <v>28350.0</v>
      </c>
      <c r="AB968" s="294">
        <v>89302.0</v>
      </c>
      <c r="AC968" s="24" t="s">
        <v>2868</v>
      </c>
      <c r="AD968" s="195">
        <v>7624.0</v>
      </c>
      <c r="AE968" s="38"/>
      <c r="AF968" s="290" t="str">
        <f t="shared" si="1"/>
        <v>Capital Federal, Argentina</v>
      </c>
      <c r="AG968" s="290">
        <f t="shared" si="2"/>
        <v>5</v>
      </c>
      <c r="AH968" s="295">
        <f t="shared" si="3"/>
        <v>0</v>
      </c>
      <c r="AI968" s="295">
        <f t="shared" si="4"/>
        <v>0</v>
      </c>
      <c r="AJ968" s="294">
        <f t="shared" si="5"/>
        <v>117652</v>
      </c>
      <c r="AK968" s="294">
        <f t="shared" si="6"/>
        <v>117652</v>
      </c>
      <c r="AL968" s="103"/>
      <c r="AM968" s="103"/>
    </row>
    <row r="969">
      <c r="A969" s="290">
        <v>968.0</v>
      </c>
      <c r="B969" s="291">
        <v>44712.0</v>
      </c>
      <c r="C969" s="195" t="str">
        <f t="shared" si="8"/>
        <v>52022</v>
      </c>
      <c r="D969" s="292" t="s">
        <v>2869</v>
      </c>
      <c r="E969" s="290" t="s">
        <v>2870</v>
      </c>
      <c r="F969" s="292" t="s">
        <v>2141</v>
      </c>
      <c r="G969" s="290" t="s">
        <v>40</v>
      </c>
      <c r="H969" s="290" t="s">
        <v>41</v>
      </c>
      <c r="I969" s="290" t="s">
        <v>643</v>
      </c>
      <c r="J969" s="293">
        <v>1.0</v>
      </c>
      <c r="K969" s="293">
        <v>1.0</v>
      </c>
      <c r="L969" s="98"/>
      <c r="M969" s="293">
        <v>1.0</v>
      </c>
      <c r="N969" s="98"/>
      <c r="O969" s="98"/>
      <c r="P969" s="98"/>
      <c r="Q969" s="99"/>
      <c r="R969" s="99"/>
      <c r="S969" s="290" t="s">
        <v>105</v>
      </c>
      <c r="T969" s="290" t="s">
        <v>66</v>
      </c>
      <c r="U969" s="290" t="s">
        <v>342</v>
      </c>
      <c r="V969" s="290" t="s">
        <v>1984</v>
      </c>
      <c r="W969" s="100"/>
      <c r="X969" s="100"/>
      <c r="Y969" s="100"/>
      <c r="Z969" s="100"/>
      <c r="AA969" s="294">
        <v>28875.0</v>
      </c>
      <c r="AB969" s="294">
        <v>115500.0</v>
      </c>
      <c r="AC969" s="24" t="s">
        <v>2871</v>
      </c>
      <c r="AD969" s="195">
        <v>7638.0</v>
      </c>
      <c r="AE969" s="38"/>
      <c r="AF969" s="290" t="str">
        <f t="shared" si="1"/>
        <v>Buenos Aires, Argentina</v>
      </c>
      <c r="AG969" s="290">
        <f t="shared" si="2"/>
        <v>3</v>
      </c>
      <c r="AH969" s="295">
        <f t="shared" si="3"/>
        <v>0</v>
      </c>
      <c r="AI969" s="295">
        <f t="shared" si="4"/>
        <v>0</v>
      </c>
      <c r="AJ969" s="294">
        <f t="shared" si="5"/>
        <v>144375</v>
      </c>
      <c r="AK969" s="294">
        <f t="shared" si="6"/>
        <v>144375</v>
      </c>
      <c r="AL969" s="103"/>
      <c r="AM969" s="103"/>
    </row>
    <row r="970">
      <c r="A970" s="290">
        <v>969.0</v>
      </c>
      <c r="B970" s="291">
        <v>44712.0</v>
      </c>
      <c r="C970" s="195" t="str">
        <f t="shared" si="8"/>
        <v>52022</v>
      </c>
      <c r="D970" s="292" t="s">
        <v>2836</v>
      </c>
      <c r="E970" s="290" t="s">
        <v>2837</v>
      </c>
      <c r="F970" s="292" t="s">
        <v>13</v>
      </c>
      <c r="G970" s="290" t="s">
        <v>40</v>
      </c>
      <c r="H970" s="290" t="s">
        <v>41</v>
      </c>
      <c r="I970" s="290" t="s">
        <v>643</v>
      </c>
      <c r="J970" s="98"/>
      <c r="K970" s="98"/>
      <c r="L970" s="98"/>
      <c r="M970" s="98"/>
      <c r="N970" s="293">
        <v>1.0</v>
      </c>
      <c r="O970" s="98"/>
      <c r="P970" s="98"/>
      <c r="Q970" s="99"/>
      <c r="R970" s="99"/>
      <c r="S970" s="290" t="s">
        <v>105</v>
      </c>
      <c r="T970" s="290" t="s">
        <v>66</v>
      </c>
      <c r="U970" s="290" t="s">
        <v>342</v>
      </c>
      <c r="V970" s="290" t="s">
        <v>1984</v>
      </c>
      <c r="W970" s="100"/>
      <c r="X970" s="100"/>
      <c r="Y970" s="100"/>
      <c r="Z970" s="100"/>
      <c r="AA970" s="294">
        <v>10500.0</v>
      </c>
      <c r="AB970" s="294">
        <v>42000.0</v>
      </c>
      <c r="AC970" s="24" t="s">
        <v>2872</v>
      </c>
      <c r="AD970" s="195">
        <v>7734.0</v>
      </c>
      <c r="AE970" s="38"/>
      <c r="AF970" s="290" t="str">
        <f t="shared" si="1"/>
        <v>Buenos Aires, Argentina</v>
      </c>
      <c r="AG970" s="290">
        <f t="shared" si="2"/>
        <v>1</v>
      </c>
      <c r="AH970" s="295">
        <f t="shared" si="3"/>
        <v>0</v>
      </c>
      <c r="AI970" s="295">
        <f t="shared" si="4"/>
        <v>0</v>
      </c>
      <c r="AJ970" s="294">
        <f t="shared" si="5"/>
        <v>52500</v>
      </c>
      <c r="AK970" s="294">
        <f t="shared" si="6"/>
        <v>52500</v>
      </c>
      <c r="AL970" s="103"/>
      <c r="AM970" s="103"/>
    </row>
    <row r="971">
      <c r="A971" s="290">
        <v>970.0</v>
      </c>
      <c r="B971" s="291">
        <v>44712.0</v>
      </c>
      <c r="C971" s="195" t="str">
        <f t="shared" si="8"/>
        <v>52022</v>
      </c>
      <c r="D971" s="292" t="s">
        <v>2836</v>
      </c>
      <c r="E971" s="290" t="s">
        <v>2837</v>
      </c>
      <c r="F971" s="292" t="s">
        <v>2873</v>
      </c>
      <c r="G971" s="290" t="s">
        <v>40</v>
      </c>
      <c r="H971" s="290" t="s">
        <v>41</v>
      </c>
      <c r="I971" s="290" t="s">
        <v>643</v>
      </c>
      <c r="J971" s="98"/>
      <c r="K971" s="98"/>
      <c r="L971" s="98"/>
      <c r="M971" s="98"/>
      <c r="N971" s="98"/>
      <c r="O971" s="98"/>
      <c r="P971" s="98"/>
      <c r="Q971" s="99"/>
      <c r="R971" s="99"/>
      <c r="S971" s="290" t="s">
        <v>105</v>
      </c>
      <c r="T971" s="290" t="s">
        <v>66</v>
      </c>
      <c r="U971" s="290" t="s">
        <v>342</v>
      </c>
      <c r="V971" s="290" t="s">
        <v>1984</v>
      </c>
      <c r="W971" s="294">
        <v>38500.0</v>
      </c>
      <c r="X971" s="294">
        <v>1071333.0</v>
      </c>
      <c r="Y971" s="100"/>
      <c r="Z971" s="100"/>
      <c r="AA971" s="294">
        <v>0.0</v>
      </c>
      <c r="AB971" s="294">
        <v>0.0</v>
      </c>
      <c r="AC971" s="24" t="s">
        <v>2874</v>
      </c>
      <c r="AD971" s="195">
        <v>7736.0</v>
      </c>
      <c r="AE971" s="38"/>
      <c r="AF971" s="290" t="str">
        <f t="shared" si="1"/>
        <v>Buenos Aires, Argentina</v>
      </c>
      <c r="AG971" s="290">
        <f t="shared" si="2"/>
        <v>0</v>
      </c>
      <c r="AH971" s="295">
        <f t="shared" si="3"/>
        <v>1109833</v>
      </c>
      <c r="AI971" s="295">
        <f t="shared" si="4"/>
        <v>0</v>
      </c>
      <c r="AJ971" s="294">
        <f t="shared" si="5"/>
        <v>0</v>
      </c>
      <c r="AK971" s="294">
        <f t="shared" si="6"/>
        <v>1109833</v>
      </c>
      <c r="AL971" s="103"/>
      <c r="AM971" s="103"/>
    </row>
    <row r="972">
      <c r="A972" s="256">
        <v>971.0</v>
      </c>
      <c r="B972" s="257">
        <v>44720.0</v>
      </c>
      <c r="C972" s="195" t="str">
        <f t="shared" si="8"/>
        <v>62022</v>
      </c>
      <c r="D972" s="258" t="s">
        <v>999</v>
      </c>
      <c r="E972" s="256" t="s">
        <v>1000</v>
      </c>
      <c r="F972" s="258" t="s">
        <v>1415</v>
      </c>
      <c r="G972" s="256" t="s">
        <v>64</v>
      </c>
      <c r="H972" s="256" t="s">
        <v>41</v>
      </c>
      <c r="I972" s="256" t="s">
        <v>643</v>
      </c>
      <c r="J972" s="260"/>
      <c r="K972" s="259">
        <v>1.0</v>
      </c>
      <c r="L972" s="260"/>
      <c r="M972" s="260"/>
      <c r="N972" s="260"/>
      <c r="O972" s="260"/>
      <c r="P972" s="260"/>
      <c r="Q972" s="261"/>
      <c r="R972" s="261"/>
      <c r="S972" s="256" t="s">
        <v>65</v>
      </c>
      <c r="T972" s="256" t="s">
        <v>66</v>
      </c>
      <c r="U972" s="256" t="s">
        <v>99</v>
      </c>
      <c r="V972" s="256" t="s">
        <v>1984</v>
      </c>
      <c r="W972" s="262"/>
      <c r="X972" s="262"/>
      <c r="Y972" s="262"/>
      <c r="Z972" s="262"/>
      <c r="AA972" s="263">
        <v>8363.0</v>
      </c>
      <c r="AB972" s="263">
        <v>37633.0</v>
      </c>
      <c r="AC972" s="24" t="s">
        <v>2875</v>
      </c>
      <c r="AD972" s="195">
        <v>7732.0</v>
      </c>
      <c r="AE972" s="38"/>
      <c r="AF972" s="256" t="str">
        <f t="shared" si="1"/>
        <v>Buenos Aires, Argentina</v>
      </c>
      <c r="AG972" s="256">
        <f t="shared" si="2"/>
        <v>1</v>
      </c>
      <c r="AH972" s="264">
        <f t="shared" si="3"/>
        <v>0</v>
      </c>
      <c r="AI972" s="264">
        <f t="shared" si="4"/>
        <v>0</v>
      </c>
      <c r="AJ972" s="263">
        <f t="shared" si="5"/>
        <v>45996</v>
      </c>
      <c r="AK972" s="263">
        <f t="shared" si="6"/>
        <v>45996</v>
      </c>
      <c r="AL972" s="265"/>
      <c r="AM972" s="265"/>
    </row>
    <row r="973">
      <c r="A973" s="256">
        <v>972.0</v>
      </c>
      <c r="B973" s="257">
        <v>44721.0</v>
      </c>
      <c r="C973" s="195" t="str">
        <f t="shared" si="8"/>
        <v>62022</v>
      </c>
      <c r="D973" s="258" t="s">
        <v>2852</v>
      </c>
      <c r="E973" s="256" t="s">
        <v>2853</v>
      </c>
      <c r="F973" s="258" t="s">
        <v>12</v>
      </c>
      <c r="G973" s="256" t="s">
        <v>64</v>
      </c>
      <c r="H973" s="256" t="s">
        <v>547</v>
      </c>
      <c r="I973" s="256" t="s">
        <v>643</v>
      </c>
      <c r="J973" s="260"/>
      <c r="K973" s="260"/>
      <c r="L973" s="260"/>
      <c r="M973" s="259">
        <v>1.0</v>
      </c>
      <c r="N973" s="260"/>
      <c r="O973" s="260"/>
      <c r="P973" s="260"/>
      <c r="Q973" s="261"/>
      <c r="R973" s="261"/>
      <c r="S973" s="256" t="s">
        <v>137</v>
      </c>
      <c r="T973" s="256" t="s">
        <v>66</v>
      </c>
      <c r="U973" s="256" t="s">
        <v>99</v>
      </c>
      <c r="V973" s="256" t="s">
        <v>1984</v>
      </c>
      <c r="W973" s="262"/>
      <c r="X973" s="262"/>
      <c r="Y973" s="262"/>
      <c r="Z973" s="262"/>
      <c r="AA973" s="263">
        <v>6300.0</v>
      </c>
      <c r="AB973" s="263">
        <v>25498.0</v>
      </c>
      <c r="AC973" s="24" t="s">
        <v>2876</v>
      </c>
      <c r="AD973" s="195">
        <v>7784.0</v>
      </c>
      <c r="AE973" s="38"/>
      <c r="AF973" s="256" t="str">
        <f t="shared" si="1"/>
        <v>Buenos Aires, Argentina</v>
      </c>
      <c r="AG973" s="256">
        <f t="shared" si="2"/>
        <v>1</v>
      </c>
      <c r="AH973" s="264">
        <f t="shared" si="3"/>
        <v>0</v>
      </c>
      <c r="AI973" s="264">
        <f t="shared" si="4"/>
        <v>0</v>
      </c>
      <c r="AJ973" s="263">
        <f t="shared" si="5"/>
        <v>31798</v>
      </c>
      <c r="AK973" s="263">
        <f t="shared" si="6"/>
        <v>31798</v>
      </c>
      <c r="AL973" s="265"/>
      <c r="AM973" s="265"/>
    </row>
    <row r="974">
      <c r="A974" s="256">
        <v>973.0</v>
      </c>
      <c r="B974" s="257">
        <v>44721.0</v>
      </c>
      <c r="C974" s="195" t="str">
        <f t="shared" si="8"/>
        <v>62022</v>
      </c>
      <c r="D974" s="258" t="s">
        <v>2877</v>
      </c>
      <c r="E974" s="256" t="s">
        <v>2878</v>
      </c>
      <c r="F974" s="258" t="s">
        <v>2237</v>
      </c>
      <c r="G974" s="256" t="s">
        <v>40</v>
      </c>
      <c r="H974" s="256" t="s">
        <v>41</v>
      </c>
      <c r="I974" s="256" t="s">
        <v>643</v>
      </c>
      <c r="J974" s="259">
        <v>1.0</v>
      </c>
      <c r="K974" s="259">
        <v>2.0</v>
      </c>
      <c r="L974" s="260"/>
      <c r="M974" s="259">
        <v>1.0</v>
      </c>
      <c r="N974" s="260"/>
      <c r="O974" s="260"/>
      <c r="P974" s="260"/>
      <c r="Q974" s="261"/>
      <c r="R974" s="261"/>
      <c r="S974" s="256" t="s">
        <v>65</v>
      </c>
      <c r="T974" s="256" t="s">
        <v>58</v>
      </c>
      <c r="U974" s="256" t="s">
        <v>45</v>
      </c>
      <c r="V974" s="256" t="s">
        <v>1984</v>
      </c>
      <c r="W974" s="262"/>
      <c r="X974" s="262"/>
      <c r="Y974" s="262"/>
      <c r="Z974" s="262"/>
      <c r="AA974" s="263">
        <v>39026.0</v>
      </c>
      <c r="AB974" s="263">
        <v>156104.0</v>
      </c>
      <c r="AC974" s="24" t="s">
        <v>2879</v>
      </c>
      <c r="AD974" s="195">
        <v>7510.0</v>
      </c>
      <c r="AE974" s="38"/>
      <c r="AF974" s="256" t="str">
        <f t="shared" si="1"/>
        <v>Córdoba, Argentina</v>
      </c>
      <c r="AG974" s="256">
        <f t="shared" si="2"/>
        <v>4</v>
      </c>
      <c r="AH974" s="264">
        <f t="shared" si="3"/>
        <v>0</v>
      </c>
      <c r="AI974" s="264">
        <f t="shared" si="4"/>
        <v>0</v>
      </c>
      <c r="AJ974" s="263">
        <f t="shared" si="5"/>
        <v>195130</v>
      </c>
      <c r="AK974" s="263">
        <f t="shared" si="6"/>
        <v>195130</v>
      </c>
      <c r="AL974" s="265"/>
      <c r="AM974" s="265"/>
    </row>
    <row r="975">
      <c r="A975" s="296">
        <v>974.0</v>
      </c>
      <c r="B975" s="257">
        <v>44722.0</v>
      </c>
      <c r="C975" s="195" t="str">
        <f t="shared" si="8"/>
        <v>62022</v>
      </c>
      <c r="D975" s="297" t="s">
        <v>2607</v>
      </c>
      <c r="E975" s="256" t="s">
        <v>2608</v>
      </c>
      <c r="F975" s="258" t="s">
        <v>1415</v>
      </c>
      <c r="G975" s="256" t="s">
        <v>64</v>
      </c>
      <c r="H975" s="256" t="s">
        <v>547</v>
      </c>
      <c r="I975" s="256" t="s">
        <v>643</v>
      </c>
      <c r="J975" s="260"/>
      <c r="K975" s="259">
        <v>1.0</v>
      </c>
      <c r="L975" s="260"/>
      <c r="M975" s="260"/>
      <c r="N975" s="260"/>
      <c r="O975" s="260"/>
      <c r="P975" s="260"/>
      <c r="Q975" s="261"/>
      <c r="R975" s="261"/>
      <c r="S975" s="256" t="s">
        <v>43</v>
      </c>
      <c r="T975" s="256" t="s">
        <v>2609</v>
      </c>
      <c r="U975" s="256" t="s">
        <v>99</v>
      </c>
      <c r="V975" s="256" t="s">
        <v>1984</v>
      </c>
      <c r="W975" s="262"/>
      <c r="X975" s="262"/>
      <c r="Y975" s="262"/>
      <c r="Z975" s="262"/>
      <c r="AA975" s="263">
        <v>5018.0</v>
      </c>
      <c r="AB975" s="263">
        <v>14050.0</v>
      </c>
      <c r="AC975" s="24" t="s">
        <v>2880</v>
      </c>
      <c r="AD975" s="195">
        <v>7754.0</v>
      </c>
      <c r="AE975" s="38"/>
      <c r="AF975" s="256" t="str">
        <f t="shared" si="1"/>
        <v>San Juan, Argentina</v>
      </c>
      <c r="AG975" s="256">
        <f t="shared" si="2"/>
        <v>1</v>
      </c>
      <c r="AH975" s="264">
        <f t="shared" si="3"/>
        <v>0</v>
      </c>
      <c r="AI975" s="264">
        <f t="shared" si="4"/>
        <v>0</v>
      </c>
      <c r="AJ975" s="263">
        <f t="shared" si="5"/>
        <v>19068</v>
      </c>
      <c r="AK975" s="263">
        <f t="shared" si="6"/>
        <v>19068</v>
      </c>
      <c r="AL975" s="265"/>
      <c r="AM975" s="265"/>
    </row>
    <row r="976">
      <c r="A976" s="256">
        <v>975.0</v>
      </c>
      <c r="B976" s="257">
        <v>44727.0</v>
      </c>
      <c r="C976" s="195" t="str">
        <f t="shared" si="8"/>
        <v>62022</v>
      </c>
      <c r="D976" s="258" t="s">
        <v>2881</v>
      </c>
      <c r="E976" s="256" t="s">
        <v>2882</v>
      </c>
      <c r="F976" s="258" t="s">
        <v>1423</v>
      </c>
      <c r="G976" s="256" t="s">
        <v>64</v>
      </c>
      <c r="H976" s="256" t="s">
        <v>41</v>
      </c>
      <c r="I976" s="256" t="s">
        <v>643</v>
      </c>
      <c r="J976" s="259">
        <v>1.0</v>
      </c>
      <c r="K976" s="260"/>
      <c r="L976" s="260"/>
      <c r="M976" s="260"/>
      <c r="N976" s="260"/>
      <c r="O976" s="260"/>
      <c r="P976" s="260"/>
      <c r="Q976" s="261"/>
      <c r="R976" s="261"/>
      <c r="S976" s="256" t="s">
        <v>72</v>
      </c>
      <c r="T976" s="256" t="s">
        <v>66</v>
      </c>
      <c r="U976" s="256" t="s">
        <v>99</v>
      </c>
      <c r="V976" s="256" t="s">
        <v>1984</v>
      </c>
      <c r="W976" s="262"/>
      <c r="X976" s="262"/>
      <c r="Y976" s="262"/>
      <c r="Z976" s="262"/>
      <c r="AA976" s="263">
        <v>11150.0</v>
      </c>
      <c r="AB976" s="263">
        <v>44600.0</v>
      </c>
      <c r="AC976" s="24" t="s">
        <v>2883</v>
      </c>
      <c r="AD976" s="195">
        <v>7810.0</v>
      </c>
      <c r="AE976" s="38"/>
      <c r="AF976" s="256" t="str">
        <f t="shared" si="1"/>
        <v>Buenos Aires, Argentina</v>
      </c>
      <c r="AG976" s="256">
        <f t="shared" si="2"/>
        <v>1</v>
      </c>
      <c r="AH976" s="264">
        <f t="shared" si="3"/>
        <v>0</v>
      </c>
      <c r="AI976" s="264">
        <f t="shared" si="4"/>
        <v>0</v>
      </c>
      <c r="AJ976" s="263">
        <f t="shared" si="5"/>
        <v>55750</v>
      </c>
      <c r="AK976" s="263">
        <f t="shared" si="6"/>
        <v>55750</v>
      </c>
      <c r="AL976" s="265"/>
      <c r="AM976" s="265"/>
    </row>
    <row r="977">
      <c r="A977" s="256">
        <v>976.0</v>
      </c>
      <c r="B977" s="257">
        <v>44734.0</v>
      </c>
      <c r="C977" s="195" t="str">
        <f t="shared" si="8"/>
        <v>62022</v>
      </c>
      <c r="D977" s="258" t="s">
        <v>2884</v>
      </c>
      <c r="E977" s="256" t="s">
        <v>2885</v>
      </c>
      <c r="F977" s="258" t="s">
        <v>2141</v>
      </c>
      <c r="G977" s="256" t="s">
        <v>40</v>
      </c>
      <c r="H977" s="256" t="s">
        <v>547</v>
      </c>
      <c r="I977" s="256" t="s">
        <v>643</v>
      </c>
      <c r="J977" s="259">
        <v>1.0</v>
      </c>
      <c r="K977" s="259">
        <v>1.0</v>
      </c>
      <c r="L977" s="260"/>
      <c r="M977" s="259">
        <v>1.0</v>
      </c>
      <c r="N977" s="260"/>
      <c r="O977" s="260"/>
      <c r="P977" s="260"/>
      <c r="Q977" s="261"/>
      <c r="R977" s="261"/>
      <c r="S977" s="256" t="s">
        <v>114</v>
      </c>
      <c r="T977" s="256" t="s">
        <v>66</v>
      </c>
      <c r="U977" s="256" t="s">
        <v>342</v>
      </c>
      <c r="V977" s="256" t="s">
        <v>1984</v>
      </c>
      <c r="W977" s="262"/>
      <c r="X977" s="262"/>
      <c r="Y977" s="262"/>
      <c r="Z977" s="262"/>
      <c r="AA977" s="263">
        <v>18398.0</v>
      </c>
      <c r="AB977" s="263">
        <v>63626.0</v>
      </c>
      <c r="AC977" s="24" t="s">
        <v>2886</v>
      </c>
      <c r="AD977" s="195">
        <v>7844.0</v>
      </c>
      <c r="AE977" s="38"/>
      <c r="AF977" s="256" t="str">
        <f t="shared" si="1"/>
        <v>Buenos Aires, Argentina</v>
      </c>
      <c r="AG977" s="256">
        <f t="shared" si="2"/>
        <v>3</v>
      </c>
      <c r="AH977" s="264">
        <f t="shared" si="3"/>
        <v>0</v>
      </c>
      <c r="AI977" s="264">
        <f t="shared" si="4"/>
        <v>0</v>
      </c>
      <c r="AJ977" s="263">
        <f t="shared" si="5"/>
        <v>82024</v>
      </c>
      <c r="AK977" s="263">
        <f t="shared" si="6"/>
        <v>82024</v>
      </c>
      <c r="AL977" s="265"/>
      <c r="AM977" s="265"/>
    </row>
    <row r="978">
      <c r="A978" s="256">
        <v>977.0</v>
      </c>
      <c r="B978" s="257">
        <v>44739.0</v>
      </c>
      <c r="C978" s="195" t="str">
        <f t="shared" si="8"/>
        <v>62022</v>
      </c>
      <c r="D978" s="258" t="s">
        <v>1350</v>
      </c>
      <c r="E978" s="256" t="s">
        <v>1746</v>
      </c>
      <c r="F978" s="258" t="s">
        <v>1474</v>
      </c>
      <c r="G978" s="256" t="s">
        <v>64</v>
      </c>
      <c r="H978" s="256" t="s">
        <v>41</v>
      </c>
      <c r="I978" s="256" t="s">
        <v>643</v>
      </c>
      <c r="J978" s="259">
        <v>3.0</v>
      </c>
      <c r="K978" s="260"/>
      <c r="L978" s="260"/>
      <c r="M978" s="260"/>
      <c r="N978" s="260"/>
      <c r="O978" s="260"/>
      <c r="P978" s="260"/>
      <c r="Q978" s="261"/>
      <c r="R978" s="261"/>
      <c r="S978" s="256" t="s">
        <v>114</v>
      </c>
      <c r="T978" s="256" t="s">
        <v>66</v>
      </c>
      <c r="U978" s="256" t="s">
        <v>99</v>
      </c>
      <c r="V978" s="256" t="s">
        <v>1984</v>
      </c>
      <c r="W978" s="262"/>
      <c r="X978" s="262"/>
      <c r="Y978" s="262"/>
      <c r="Z978" s="262"/>
      <c r="AA978" s="263">
        <v>33450.0</v>
      </c>
      <c r="AB978" s="263">
        <v>150525.0</v>
      </c>
      <c r="AC978" s="24" t="s">
        <v>2887</v>
      </c>
      <c r="AD978" s="195">
        <v>7824.0</v>
      </c>
      <c r="AE978" s="38"/>
      <c r="AF978" s="256" t="str">
        <f t="shared" si="1"/>
        <v>Buenos Aires, Argentina</v>
      </c>
      <c r="AG978" s="256">
        <f t="shared" si="2"/>
        <v>3</v>
      </c>
      <c r="AH978" s="264">
        <f t="shared" si="3"/>
        <v>0</v>
      </c>
      <c r="AI978" s="264">
        <f t="shared" si="4"/>
        <v>0</v>
      </c>
      <c r="AJ978" s="263">
        <f t="shared" si="5"/>
        <v>183975</v>
      </c>
      <c r="AK978" s="263">
        <f t="shared" si="6"/>
        <v>183975</v>
      </c>
      <c r="AL978" s="265"/>
      <c r="AM978" s="265"/>
    </row>
    <row r="979">
      <c r="A979" s="256">
        <v>978.0</v>
      </c>
      <c r="B979" s="257">
        <v>44739.0</v>
      </c>
      <c r="C979" s="195" t="str">
        <f t="shared" si="8"/>
        <v>62022</v>
      </c>
      <c r="D979" s="258" t="s">
        <v>2888</v>
      </c>
      <c r="E979" s="256" t="s">
        <v>2889</v>
      </c>
      <c r="F979" s="258" t="s">
        <v>2890</v>
      </c>
      <c r="G979" s="256" t="s">
        <v>40</v>
      </c>
      <c r="H979" s="256" t="s">
        <v>41</v>
      </c>
      <c r="I979" s="256" t="s">
        <v>643</v>
      </c>
      <c r="J979" s="259">
        <v>2.0</v>
      </c>
      <c r="K979" s="259">
        <v>4.0</v>
      </c>
      <c r="L979" s="260"/>
      <c r="M979" s="259">
        <v>1.0</v>
      </c>
      <c r="N979" s="259">
        <v>1.0</v>
      </c>
      <c r="O979" s="260"/>
      <c r="P979" s="259">
        <v>1.0</v>
      </c>
      <c r="Q979" s="261"/>
      <c r="R979" s="261"/>
      <c r="S979" s="256" t="s">
        <v>89</v>
      </c>
      <c r="T979" s="256" t="s">
        <v>83</v>
      </c>
      <c r="U979" s="256" t="s">
        <v>342</v>
      </c>
      <c r="V979" s="256" t="s">
        <v>1984</v>
      </c>
      <c r="W979" s="262"/>
      <c r="X979" s="262"/>
      <c r="Y979" s="262"/>
      <c r="Z979" s="262"/>
      <c r="AA979" s="263">
        <v>86415.0</v>
      </c>
      <c r="AB979" s="263">
        <v>345660.0</v>
      </c>
      <c r="AC979" s="24" t="s">
        <v>2891</v>
      </c>
      <c r="AD979" s="195">
        <v>7820.0</v>
      </c>
      <c r="AE979" s="38"/>
      <c r="AF979" s="256" t="str">
        <f t="shared" si="1"/>
        <v>Capital Federal, Argentina</v>
      </c>
      <c r="AG979" s="256">
        <f t="shared" si="2"/>
        <v>9</v>
      </c>
      <c r="AH979" s="264">
        <f t="shared" si="3"/>
        <v>0</v>
      </c>
      <c r="AI979" s="264">
        <f t="shared" si="4"/>
        <v>0</v>
      </c>
      <c r="AJ979" s="263">
        <f t="shared" si="5"/>
        <v>432075</v>
      </c>
      <c r="AK979" s="263">
        <f t="shared" si="6"/>
        <v>432075</v>
      </c>
      <c r="AL979" s="265"/>
      <c r="AM979" s="265"/>
    </row>
    <row r="980">
      <c r="A980" s="256">
        <v>979.0</v>
      </c>
      <c r="B980" s="257">
        <v>44739.0</v>
      </c>
      <c r="C980" s="195" t="str">
        <f t="shared" si="8"/>
        <v>62022</v>
      </c>
      <c r="D980" s="258" t="s">
        <v>2888</v>
      </c>
      <c r="E980" s="256" t="s">
        <v>2889</v>
      </c>
      <c r="F980" s="258" t="s">
        <v>2892</v>
      </c>
      <c r="G980" s="256" t="s">
        <v>40</v>
      </c>
      <c r="H980" s="256" t="s">
        <v>41</v>
      </c>
      <c r="I980" s="256" t="s">
        <v>643</v>
      </c>
      <c r="J980" s="260"/>
      <c r="K980" s="260"/>
      <c r="L980" s="260"/>
      <c r="M980" s="260"/>
      <c r="N980" s="260"/>
      <c r="O980" s="260"/>
      <c r="P980" s="260"/>
      <c r="Q980" s="261"/>
      <c r="R980" s="261"/>
      <c r="S980" s="256" t="s">
        <v>89</v>
      </c>
      <c r="T980" s="256" t="s">
        <v>83</v>
      </c>
      <c r="U980" s="256" t="s">
        <v>342</v>
      </c>
      <c r="V980" s="256" t="s">
        <v>1984</v>
      </c>
      <c r="W980" s="263">
        <v>16900.0</v>
      </c>
      <c r="X980" s="263">
        <v>67600.0</v>
      </c>
      <c r="Y980" s="262"/>
      <c r="Z980" s="262"/>
      <c r="AA980" s="262"/>
      <c r="AB980" s="262" t="s">
        <v>926</v>
      </c>
      <c r="AC980" s="24" t="s">
        <v>2893</v>
      </c>
      <c r="AD980" s="195">
        <v>7820.0</v>
      </c>
      <c r="AE980" s="38"/>
      <c r="AF980" s="256" t="str">
        <f t="shared" si="1"/>
        <v>Capital Federal, Argentina</v>
      </c>
      <c r="AG980" s="256">
        <f t="shared" si="2"/>
        <v>0</v>
      </c>
      <c r="AH980" s="264">
        <f t="shared" si="3"/>
        <v>84500</v>
      </c>
      <c r="AI980" s="264">
        <f t="shared" si="4"/>
        <v>0</v>
      </c>
      <c r="AJ980" s="263">
        <f t="shared" si="5"/>
        <v>0</v>
      </c>
      <c r="AK980" s="263">
        <f t="shared" si="6"/>
        <v>84500</v>
      </c>
      <c r="AL980" s="265"/>
      <c r="AM980" s="265"/>
    </row>
    <row r="981">
      <c r="A981" s="256">
        <v>980.0</v>
      </c>
      <c r="B981" s="257">
        <v>44740.0</v>
      </c>
      <c r="C981" s="195" t="str">
        <f t="shared" si="8"/>
        <v>62022</v>
      </c>
      <c r="D981" s="258" t="s">
        <v>2475</v>
      </c>
      <c r="E981" s="256" t="s">
        <v>2476</v>
      </c>
      <c r="F981" s="258" t="s">
        <v>1423</v>
      </c>
      <c r="G981" s="256" t="s">
        <v>64</v>
      </c>
      <c r="H981" s="256" t="s">
        <v>41</v>
      </c>
      <c r="I981" s="256" t="s">
        <v>643</v>
      </c>
      <c r="J981" s="259">
        <v>1.0</v>
      </c>
      <c r="K981" s="260"/>
      <c r="L981" s="260"/>
      <c r="M981" s="260"/>
      <c r="N981" s="260"/>
      <c r="O981" s="260"/>
      <c r="P981" s="260"/>
      <c r="Q981" s="261"/>
      <c r="R981" s="261"/>
      <c r="S981" s="256" t="s">
        <v>105</v>
      </c>
      <c r="T981" s="256" t="s">
        <v>66</v>
      </c>
      <c r="U981" s="256" t="s">
        <v>99</v>
      </c>
      <c r="V981" s="256" t="s">
        <v>1984</v>
      </c>
      <c r="W981" s="262"/>
      <c r="X981" s="262"/>
      <c r="Y981" s="262"/>
      <c r="Z981" s="262"/>
      <c r="AA981" s="263">
        <v>11150.0</v>
      </c>
      <c r="AB981" s="263">
        <v>44600.0</v>
      </c>
      <c r="AC981" s="24" t="s">
        <v>2894</v>
      </c>
      <c r="AD981" s="195">
        <v>7868.0</v>
      </c>
      <c r="AE981" s="38"/>
      <c r="AF981" s="256" t="str">
        <f t="shared" si="1"/>
        <v>Buenos Aires, Argentina</v>
      </c>
      <c r="AG981" s="256">
        <f t="shared" si="2"/>
        <v>1</v>
      </c>
      <c r="AH981" s="264">
        <f t="shared" si="3"/>
        <v>0</v>
      </c>
      <c r="AI981" s="264">
        <f t="shared" si="4"/>
        <v>0</v>
      </c>
      <c r="AJ981" s="263">
        <f t="shared" si="5"/>
        <v>55750</v>
      </c>
      <c r="AK981" s="263">
        <f t="shared" si="6"/>
        <v>55750</v>
      </c>
      <c r="AL981" s="265"/>
      <c r="AM981" s="265"/>
    </row>
    <row r="982">
      <c r="A982" s="256">
        <v>981.0</v>
      </c>
      <c r="B982" s="257">
        <v>44741.0</v>
      </c>
      <c r="C982" s="195" t="str">
        <f t="shared" si="8"/>
        <v>62022</v>
      </c>
      <c r="D982" s="258" t="s">
        <v>2048</v>
      </c>
      <c r="E982" s="256" t="s">
        <v>2049</v>
      </c>
      <c r="F982" s="258" t="s">
        <v>2895</v>
      </c>
      <c r="G982" s="256" t="s">
        <v>64</v>
      </c>
      <c r="H982" s="256" t="s">
        <v>41</v>
      </c>
      <c r="I982" s="256" t="s">
        <v>643</v>
      </c>
      <c r="J982" s="260"/>
      <c r="K982" s="259">
        <v>2.0</v>
      </c>
      <c r="L982" s="260"/>
      <c r="M982" s="260"/>
      <c r="N982" s="260"/>
      <c r="O982" s="260"/>
      <c r="P982" s="260"/>
      <c r="Q982" s="261"/>
      <c r="R982" s="261"/>
      <c r="S982" s="256" t="s">
        <v>98</v>
      </c>
      <c r="T982" s="256" t="s">
        <v>58</v>
      </c>
      <c r="U982" s="256" t="s">
        <v>99</v>
      </c>
      <c r="V982" s="256" t="s">
        <v>1984</v>
      </c>
      <c r="W982" s="262"/>
      <c r="X982" s="262"/>
      <c r="Y982" s="262"/>
      <c r="Z982" s="262"/>
      <c r="AA982" s="263">
        <v>16726.0</v>
      </c>
      <c r="AB982" s="263">
        <v>75267.0</v>
      </c>
      <c r="AC982" s="24" t="s">
        <v>2896</v>
      </c>
      <c r="AD982" s="195">
        <v>7828.0</v>
      </c>
      <c r="AE982" s="38"/>
      <c r="AF982" s="256" t="str">
        <f t="shared" si="1"/>
        <v>Córdoba, Argentina</v>
      </c>
      <c r="AG982" s="256">
        <f t="shared" si="2"/>
        <v>2</v>
      </c>
      <c r="AH982" s="264">
        <f t="shared" si="3"/>
        <v>0</v>
      </c>
      <c r="AI982" s="264">
        <f t="shared" si="4"/>
        <v>0</v>
      </c>
      <c r="AJ982" s="263">
        <f t="shared" si="5"/>
        <v>91993</v>
      </c>
      <c r="AK982" s="263">
        <f t="shared" si="6"/>
        <v>91993</v>
      </c>
      <c r="AL982" s="265"/>
      <c r="AM982" s="265"/>
    </row>
    <row r="983">
      <c r="A983" s="256">
        <v>982.0</v>
      </c>
      <c r="B983" s="257">
        <v>44741.0</v>
      </c>
      <c r="C983" s="195" t="str">
        <f t="shared" si="8"/>
        <v>62022</v>
      </c>
      <c r="D983" s="258" t="s">
        <v>1640</v>
      </c>
      <c r="E983" s="256" t="s">
        <v>2105</v>
      </c>
      <c r="F983" s="258" t="s">
        <v>1423</v>
      </c>
      <c r="G983" s="256" t="s">
        <v>64</v>
      </c>
      <c r="H983" s="256" t="s">
        <v>41</v>
      </c>
      <c r="I983" s="256" t="s">
        <v>643</v>
      </c>
      <c r="J983" s="259">
        <v>1.0</v>
      </c>
      <c r="K983" s="260"/>
      <c r="L983" s="260"/>
      <c r="M983" s="260"/>
      <c r="N983" s="260"/>
      <c r="O983" s="260"/>
      <c r="P983" s="260"/>
      <c r="Q983" s="261"/>
      <c r="R983" s="261"/>
      <c r="S983" s="256" t="s">
        <v>189</v>
      </c>
      <c r="T983" s="256" t="s">
        <v>66</v>
      </c>
      <c r="U983" s="256" t="s">
        <v>99</v>
      </c>
      <c r="V983" s="256" t="s">
        <v>1984</v>
      </c>
      <c r="W983" s="262"/>
      <c r="X983" s="262"/>
      <c r="Y983" s="262"/>
      <c r="Z983" s="262"/>
      <c r="AA983" s="263">
        <v>11150.0</v>
      </c>
      <c r="AB983" s="263">
        <v>50175.0</v>
      </c>
      <c r="AC983" s="24" t="s">
        <v>2897</v>
      </c>
      <c r="AD983" s="195">
        <v>7842.0</v>
      </c>
      <c r="AE983" s="38"/>
      <c r="AF983" s="256" t="str">
        <f t="shared" si="1"/>
        <v>Buenos Aires, Argentina</v>
      </c>
      <c r="AG983" s="256">
        <f t="shared" si="2"/>
        <v>1</v>
      </c>
      <c r="AH983" s="264">
        <f t="shared" si="3"/>
        <v>0</v>
      </c>
      <c r="AI983" s="264">
        <f t="shared" si="4"/>
        <v>0</v>
      </c>
      <c r="AJ983" s="263">
        <f t="shared" si="5"/>
        <v>61325</v>
      </c>
      <c r="AK983" s="263">
        <f t="shared" si="6"/>
        <v>61325</v>
      </c>
      <c r="AL983" s="265"/>
      <c r="AM983" s="265"/>
    </row>
    <row r="984">
      <c r="A984" s="256">
        <v>983.0</v>
      </c>
      <c r="B984" s="257">
        <v>44741.0</v>
      </c>
      <c r="C984" s="195" t="str">
        <f t="shared" si="8"/>
        <v>62022</v>
      </c>
      <c r="D984" s="258" t="s">
        <v>1783</v>
      </c>
      <c r="E984" s="256" t="s">
        <v>1784</v>
      </c>
      <c r="F984" s="258" t="s">
        <v>2898</v>
      </c>
      <c r="G984" s="256" t="s">
        <v>64</v>
      </c>
      <c r="H984" s="256" t="s">
        <v>41</v>
      </c>
      <c r="I984" s="256" t="s">
        <v>643</v>
      </c>
      <c r="J984" s="260"/>
      <c r="K984" s="260"/>
      <c r="L984" s="260"/>
      <c r="M984" s="260"/>
      <c r="N984" s="260"/>
      <c r="O984" s="260"/>
      <c r="P984" s="260"/>
      <c r="Q984" s="261"/>
      <c r="R984" s="261"/>
      <c r="S984" s="256" t="s">
        <v>65</v>
      </c>
      <c r="T984" s="256" t="s">
        <v>66</v>
      </c>
      <c r="U984" s="256" t="s">
        <v>99</v>
      </c>
      <c r="V984" s="256" t="s">
        <v>1984</v>
      </c>
      <c r="W984" s="263">
        <v>1950.0</v>
      </c>
      <c r="X984" s="263">
        <v>0.0</v>
      </c>
      <c r="Y984" s="262"/>
      <c r="Z984" s="262"/>
      <c r="AA984" s="263">
        <v>0.0</v>
      </c>
      <c r="AB984" s="263">
        <v>0.0</v>
      </c>
      <c r="AC984" s="24" t="s">
        <v>2899</v>
      </c>
      <c r="AD984" s="195">
        <v>7748.0</v>
      </c>
      <c r="AE984" s="38"/>
      <c r="AF984" s="256" t="str">
        <f t="shared" si="1"/>
        <v>Buenos Aires, Argentina</v>
      </c>
      <c r="AG984" s="256">
        <f t="shared" si="2"/>
        <v>0</v>
      </c>
      <c r="AH984" s="264">
        <f t="shared" si="3"/>
        <v>1950</v>
      </c>
      <c r="AI984" s="264">
        <f t="shared" si="4"/>
        <v>0</v>
      </c>
      <c r="AJ984" s="263">
        <f t="shared" si="5"/>
        <v>0</v>
      </c>
      <c r="AK984" s="263">
        <f t="shared" si="6"/>
        <v>1950</v>
      </c>
      <c r="AL984" s="265"/>
      <c r="AM984" s="265"/>
    </row>
    <row r="985">
      <c r="A985" s="256">
        <v>984.0</v>
      </c>
      <c r="B985" s="257">
        <v>44742.0</v>
      </c>
      <c r="C985" s="195" t="str">
        <f t="shared" si="8"/>
        <v>62022</v>
      </c>
      <c r="D985" s="258" t="s">
        <v>1961</v>
      </c>
      <c r="E985" s="256" t="s">
        <v>1962</v>
      </c>
      <c r="F985" s="258" t="s">
        <v>1357</v>
      </c>
      <c r="G985" s="256" t="s">
        <v>64</v>
      </c>
      <c r="H985" s="256" t="s">
        <v>227</v>
      </c>
      <c r="I985" s="256" t="s">
        <v>643</v>
      </c>
      <c r="J985" s="260"/>
      <c r="K985" s="260"/>
      <c r="L985" s="260"/>
      <c r="M985" s="260"/>
      <c r="N985" s="260"/>
      <c r="O985" s="260"/>
      <c r="P985" s="259">
        <v>1.0</v>
      </c>
      <c r="Q985" s="261"/>
      <c r="R985" s="261"/>
      <c r="S985" s="256" t="s">
        <v>89</v>
      </c>
      <c r="T985" s="256" t="s">
        <v>83</v>
      </c>
      <c r="U985" s="256" t="s">
        <v>99</v>
      </c>
      <c r="V985" s="256" t="s">
        <v>1984</v>
      </c>
      <c r="W985" s="262"/>
      <c r="X985" s="262"/>
      <c r="Y985" s="262"/>
      <c r="Z985" s="262"/>
      <c r="AA985" s="263">
        <v>12544.0</v>
      </c>
      <c r="AB985" s="263">
        <v>70560.0</v>
      </c>
      <c r="AC985" s="24" t="s">
        <v>2900</v>
      </c>
      <c r="AD985" s="195">
        <v>7930.0</v>
      </c>
      <c r="AE985" s="38"/>
      <c r="AF985" s="256" t="str">
        <f t="shared" si="1"/>
        <v>Capital Federal, Argentina</v>
      </c>
      <c r="AG985" s="256">
        <f t="shared" si="2"/>
        <v>1</v>
      </c>
      <c r="AH985" s="264">
        <f t="shared" si="3"/>
        <v>0</v>
      </c>
      <c r="AI985" s="264">
        <f t="shared" si="4"/>
        <v>0</v>
      </c>
      <c r="AJ985" s="263">
        <f t="shared" si="5"/>
        <v>83104</v>
      </c>
      <c r="AK985" s="263">
        <f t="shared" si="6"/>
        <v>83104</v>
      </c>
      <c r="AL985" s="265"/>
      <c r="AM985" s="265"/>
    </row>
    <row r="986">
      <c r="A986" s="256">
        <v>985.0</v>
      </c>
      <c r="B986" s="257">
        <v>44742.0</v>
      </c>
      <c r="C986" s="195" t="str">
        <f t="shared" si="8"/>
        <v>62022</v>
      </c>
      <c r="D986" s="258" t="s">
        <v>1961</v>
      </c>
      <c r="E986" s="256" t="s">
        <v>1962</v>
      </c>
      <c r="F986" s="258" t="s">
        <v>2832</v>
      </c>
      <c r="G986" s="256" t="s">
        <v>64</v>
      </c>
      <c r="H986" s="256" t="s">
        <v>227</v>
      </c>
      <c r="I986" s="256" t="s">
        <v>643</v>
      </c>
      <c r="J986" s="260"/>
      <c r="K986" s="260"/>
      <c r="L986" s="260"/>
      <c r="M986" s="260"/>
      <c r="N986" s="260"/>
      <c r="O986" s="260"/>
      <c r="P986" s="260"/>
      <c r="Q986" s="261"/>
      <c r="R986" s="261"/>
      <c r="S986" s="256" t="s">
        <v>89</v>
      </c>
      <c r="T986" s="256" t="s">
        <v>83</v>
      </c>
      <c r="U986" s="256" t="s">
        <v>99</v>
      </c>
      <c r="V986" s="256" t="s">
        <v>1984</v>
      </c>
      <c r="W986" s="263">
        <v>13000.0</v>
      </c>
      <c r="X986" s="263">
        <v>73125.0</v>
      </c>
      <c r="Y986" s="262"/>
      <c r="Z986" s="262"/>
      <c r="AA986" s="262"/>
      <c r="AB986" s="262" t="s">
        <v>926</v>
      </c>
      <c r="AC986" s="24" t="s">
        <v>2901</v>
      </c>
      <c r="AD986" s="195">
        <v>7928.0</v>
      </c>
      <c r="AE986" s="38"/>
      <c r="AF986" s="256" t="str">
        <f t="shared" si="1"/>
        <v>Capital Federal, Argentina</v>
      </c>
      <c r="AG986" s="256">
        <f t="shared" si="2"/>
        <v>0</v>
      </c>
      <c r="AH986" s="264">
        <f t="shared" si="3"/>
        <v>86125</v>
      </c>
      <c r="AI986" s="264">
        <f t="shared" si="4"/>
        <v>0</v>
      </c>
      <c r="AJ986" s="263">
        <f t="shared" si="5"/>
        <v>0</v>
      </c>
      <c r="AK986" s="263">
        <f t="shared" si="6"/>
        <v>86125</v>
      </c>
      <c r="AL986" s="265"/>
      <c r="AM986" s="265"/>
    </row>
    <row r="987">
      <c r="A987" s="256">
        <v>986.0</v>
      </c>
      <c r="B987" s="257">
        <v>44742.0</v>
      </c>
      <c r="C987" s="195" t="str">
        <f t="shared" si="8"/>
        <v>62022</v>
      </c>
      <c r="D987" s="258" t="s">
        <v>1995</v>
      </c>
      <c r="E987" s="256" t="s">
        <v>1996</v>
      </c>
      <c r="F987" s="258" t="s">
        <v>1423</v>
      </c>
      <c r="G987" s="256" t="s">
        <v>64</v>
      </c>
      <c r="H987" s="256" t="s">
        <v>41</v>
      </c>
      <c r="I987" s="256" t="s">
        <v>643</v>
      </c>
      <c r="J987" s="259">
        <v>1.0</v>
      </c>
      <c r="K987" s="260"/>
      <c r="L987" s="260"/>
      <c r="M987" s="260"/>
      <c r="N987" s="260"/>
      <c r="O987" s="260"/>
      <c r="P987" s="260"/>
      <c r="Q987" s="261"/>
      <c r="R987" s="261"/>
      <c r="S987" s="256" t="s">
        <v>98</v>
      </c>
      <c r="T987" s="256" t="s">
        <v>66</v>
      </c>
      <c r="U987" s="256" t="s">
        <v>99</v>
      </c>
      <c r="V987" s="256" t="s">
        <v>1984</v>
      </c>
      <c r="W987" s="262"/>
      <c r="X987" s="262"/>
      <c r="Y987" s="262"/>
      <c r="Z987" s="262"/>
      <c r="AA987" s="263">
        <v>11150.0</v>
      </c>
      <c r="AB987" s="263">
        <v>50175.0</v>
      </c>
      <c r="AC987" s="24" t="s">
        <v>2902</v>
      </c>
      <c r="AD987" s="195">
        <v>7848.0</v>
      </c>
      <c r="AE987" s="38"/>
      <c r="AF987" s="256" t="str">
        <f t="shared" si="1"/>
        <v>Buenos Aires, Argentina</v>
      </c>
      <c r="AG987" s="256">
        <f t="shared" si="2"/>
        <v>1</v>
      </c>
      <c r="AH987" s="264">
        <f t="shared" si="3"/>
        <v>0</v>
      </c>
      <c r="AI987" s="264">
        <f t="shared" si="4"/>
        <v>0</v>
      </c>
      <c r="AJ987" s="263">
        <f t="shared" si="5"/>
        <v>61325</v>
      </c>
      <c r="AK987" s="263">
        <f t="shared" si="6"/>
        <v>61325</v>
      </c>
      <c r="AL987" s="265"/>
      <c r="AM987" s="265"/>
    </row>
    <row r="988">
      <c r="A988" s="256">
        <v>987.0</v>
      </c>
      <c r="B988" s="257">
        <v>44742.0</v>
      </c>
      <c r="C988" s="195" t="str">
        <f t="shared" si="8"/>
        <v>62022</v>
      </c>
      <c r="D988" s="258" t="s">
        <v>1931</v>
      </c>
      <c r="E988" s="256" t="s">
        <v>1932</v>
      </c>
      <c r="F988" s="258" t="s">
        <v>1511</v>
      </c>
      <c r="G988" s="256" t="s">
        <v>64</v>
      </c>
      <c r="H988" s="256" t="s">
        <v>41</v>
      </c>
      <c r="I988" s="256" t="s">
        <v>643</v>
      </c>
      <c r="J988" s="259">
        <v>2.0</v>
      </c>
      <c r="K988" s="259">
        <v>2.0</v>
      </c>
      <c r="L988" s="260"/>
      <c r="M988" s="260"/>
      <c r="N988" s="260"/>
      <c r="O988" s="260"/>
      <c r="P988" s="260"/>
      <c r="Q988" s="261"/>
      <c r="R988" s="261"/>
      <c r="S988" s="256" t="s">
        <v>43</v>
      </c>
      <c r="T988" s="256" t="s">
        <v>497</v>
      </c>
      <c r="U988" s="256" t="s">
        <v>99</v>
      </c>
      <c r="V988" s="256" t="s">
        <v>1984</v>
      </c>
      <c r="W988" s="262"/>
      <c r="X988" s="262"/>
      <c r="Y988" s="262"/>
      <c r="Z988" s="262"/>
      <c r="AA988" s="263">
        <v>39026.0</v>
      </c>
      <c r="AB988" s="263">
        <v>156104.0</v>
      </c>
      <c r="AC988" s="24" t="s">
        <v>2903</v>
      </c>
      <c r="AD988" s="195">
        <v>7908.0</v>
      </c>
      <c r="AE988" s="38"/>
      <c r="AF988" s="256" t="str">
        <f t="shared" si="1"/>
        <v>Tucumán, Argentina</v>
      </c>
      <c r="AG988" s="256">
        <f t="shared" si="2"/>
        <v>4</v>
      </c>
      <c r="AH988" s="264">
        <f t="shared" si="3"/>
        <v>0</v>
      </c>
      <c r="AI988" s="264">
        <f t="shared" si="4"/>
        <v>0</v>
      </c>
      <c r="AJ988" s="263">
        <f t="shared" si="5"/>
        <v>195130</v>
      </c>
      <c r="AK988" s="263">
        <f t="shared" si="6"/>
        <v>195130</v>
      </c>
      <c r="AL988" s="265"/>
      <c r="AM988" s="265"/>
    </row>
    <row r="989">
      <c r="A989" s="256">
        <v>988.0</v>
      </c>
      <c r="B989" s="257">
        <v>44742.0</v>
      </c>
      <c r="C989" s="195" t="str">
        <f t="shared" si="8"/>
        <v>62022</v>
      </c>
      <c r="D989" s="258" t="s">
        <v>2904</v>
      </c>
      <c r="E989" s="256" t="s">
        <v>2905</v>
      </c>
      <c r="F989" s="258" t="s">
        <v>1423</v>
      </c>
      <c r="G989" s="256" t="s">
        <v>40</v>
      </c>
      <c r="H989" s="256" t="s">
        <v>41</v>
      </c>
      <c r="I989" s="256" t="s">
        <v>643</v>
      </c>
      <c r="J989" s="259">
        <v>1.0</v>
      </c>
      <c r="K989" s="260"/>
      <c r="L989" s="260"/>
      <c r="M989" s="260"/>
      <c r="N989" s="260"/>
      <c r="O989" s="260"/>
      <c r="P989" s="260"/>
      <c r="Q989" s="261"/>
      <c r="R989" s="261"/>
      <c r="S989" s="256" t="s">
        <v>114</v>
      </c>
      <c r="T989" s="256" t="s">
        <v>66</v>
      </c>
      <c r="U989" s="256" t="s">
        <v>342</v>
      </c>
      <c r="V989" s="256" t="s">
        <v>1984</v>
      </c>
      <c r="W989" s="262"/>
      <c r="X989" s="262"/>
      <c r="Y989" s="262"/>
      <c r="Z989" s="262"/>
      <c r="AA989" s="263">
        <v>11150.0</v>
      </c>
      <c r="AB989" s="263">
        <v>50175.0</v>
      </c>
      <c r="AC989" s="24" t="s">
        <v>2906</v>
      </c>
      <c r="AD989" s="195">
        <v>7600.0</v>
      </c>
      <c r="AE989" s="38"/>
      <c r="AF989" s="256" t="str">
        <f t="shared" si="1"/>
        <v>Buenos Aires, Argentina</v>
      </c>
      <c r="AG989" s="256">
        <f t="shared" si="2"/>
        <v>1</v>
      </c>
      <c r="AH989" s="264">
        <f t="shared" si="3"/>
        <v>0</v>
      </c>
      <c r="AI989" s="264">
        <f t="shared" si="4"/>
        <v>0</v>
      </c>
      <c r="AJ989" s="263">
        <f t="shared" si="5"/>
        <v>61325</v>
      </c>
      <c r="AK989" s="263">
        <f t="shared" si="6"/>
        <v>61325</v>
      </c>
      <c r="AL989" s="265"/>
      <c r="AM989" s="265"/>
    </row>
    <row r="990">
      <c r="A990" s="256">
        <v>989.0</v>
      </c>
      <c r="B990" s="257">
        <v>44742.0</v>
      </c>
      <c r="C990" s="195" t="str">
        <f t="shared" si="8"/>
        <v>62022</v>
      </c>
      <c r="D990" s="258" t="s">
        <v>2907</v>
      </c>
      <c r="E990" s="256" t="s">
        <v>2908</v>
      </c>
      <c r="F990" s="258" t="s">
        <v>1415</v>
      </c>
      <c r="G990" s="256" t="s">
        <v>64</v>
      </c>
      <c r="H990" s="256" t="s">
        <v>41</v>
      </c>
      <c r="I990" s="256" t="s">
        <v>643</v>
      </c>
      <c r="J990" s="260"/>
      <c r="K990" s="259">
        <v>1.0</v>
      </c>
      <c r="L990" s="260"/>
      <c r="M990" s="260"/>
      <c r="N990" s="260"/>
      <c r="O990" s="260"/>
      <c r="P990" s="260"/>
      <c r="Q990" s="261"/>
      <c r="R990" s="261"/>
      <c r="S990" s="256" t="s">
        <v>189</v>
      </c>
      <c r="T990" s="256" t="s">
        <v>66</v>
      </c>
      <c r="U990" s="256" t="s">
        <v>99</v>
      </c>
      <c r="V990" s="256" t="s">
        <v>1984</v>
      </c>
      <c r="W990" s="262"/>
      <c r="X990" s="262"/>
      <c r="Y990" s="262"/>
      <c r="Z990" s="262"/>
      <c r="AA990" s="263">
        <v>8363.0</v>
      </c>
      <c r="AB990" s="263">
        <v>37633.0</v>
      </c>
      <c r="AC990" s="24" t="s">
        <v>2909</v>
      </c>
      <c r="AD990" s="195">
        <v>7940.0</v>
      </c>
      <c r="AE990" s="38"/>
      <c r="AF990" s="256" t="str">
        <f t="shared" si="1"/>
        <v>Buenos Aires, Argentina</v>
      </c>
      <c r="AG990" s="256">
        <f t="shared" si="2"/>
        <v>1</v>
      </c>
      <c r="AH990" s="264">
        <f t="shared" si="3"/>
        <v>0</v>
      </c>
      <c r="AI990" s="264">
        <f t="shared" si="4"/>
        <v>0</v>
      </c>
      <c r="AJ990" s="263">
        <f t="shared" si="5"/>
        <v>45996</v>
      </c>
      <c r="AK990" s="263">
        <f t="shared" si="6"/>
        <v>45996</v>
      </c>
      <c r="AL990" s="265"/>
      <c r="AM990" s="265"/>
    </row>
    <row r="991">
      <c r="A991" s="256">
        <v>990.0</v>
      </c>
      <c r="B991" s="257">
        <v>44742.0</v>
      </c>
      <c r="C991" s="195" t="str">
        <f t="shared" si="8"/>
        <v>62022</v>
      </c>
      <c r="D991" s="258" t="s">
        <v>2910</v>
      </c>
      <c r="E991" s="256" t="s">
        <v>2911</v>
      </c>
      <c r="F991" s="258" t="s">
        <v>2141</v>
      </c>
      <c r="G991" s="256" t="s">
        <v>40</v>
      </c>
      <c r="H991" s="256" t="s">
        <v>41</v>
      </c>
      <c r="I991" s="256" t="s">
        <v>643</v>
      </c>
      <c r="J991" s="259">
        <v>1.0</v>
      </c>
      <c r="K991" s="259">
        <v>1.0</v>
      </c>
      <c r="L991" s="260"/>
      <c r="M991" s="259">
        <v>1.0</v>
      </c>
      <c r="N991" s="260"/>
      <c r="O991" s="260"/>
      <c r="P991" s="260"/>
      <c r="Q991" s="261"/>
      <c r="R991" s="261"/>
      <c r="S991" s="256" t="s">
        <v>114</v>
      </c>
      <c r="T991" s="256" t="s">
        <v>66</v>
      </c>
      <c r="U991" s="256" t="s">
        <v>45</v>
      </c>
      <c r="V991" s="256" t="s">
        <v>1984</v>
      </c>
      <c r="W991" s="262"/>
      <c r="X991" s="262"/>
      <c r="Y991" s="262"/>
      <c r="Z991" s="262"/>
      <c r="AA991" s="263">
        <v>30663.0</v>
      </c>
      <c r="AB991" s="263">
        <v>122562.0</v>
      </c>
      <c r="AC991" s="24" t="s">
        <v>2912</v>
      </c>
      <c r="AD991" s="195">
        <v>7940.0</v>
      </c>
      <c r="AE991" s="38"/>
      <c r="AF991" s="256" t="str">
        <f t="shared" si="1"/>
        <v>Buenos Aires, Argentina</v>
      </c>
      <c r="AG991" s="256">
        <f t="shared" si="2"/>
        <v>3</v>
      </c>
      <c r="AH991" s="264">
        <f t="shared" si="3"/>
        <v>0</v>
      </c>
      <c r="AI991" s="264">
        <f t="shared" si="4"/>
        <v>0</v>
      </c>
      <c r="AJ991" s="263">
        <f t="shared" si="5"/>
        <v>153225</v>
      </c>
      <c r="AK991" s="263">
        <f t="shared" si="6"/>
        <v>153225</v>
      </c>
      <c r="AL991" s="265"/>
      <c r="AM991" s="265"/>
    </row>
    <row r="992">
      <c r="A992" s="256">
        <v>991.0</v>
      </c>
      <c r="B992" s="257">
        <v>44742.0</v>
      </c>
      <c r="C992" s="195" t="str">
        <f t="shared" si="8"/>
        <v>62022</v>
      </c>
      <c r="D992" s="258" t="s">
        <v>2913</v>
      </c>
      <c r="E992" s="256" t="s">
        <v>2914</v>
      </c>
      <c r="F992" s="258" t="s">
        <v>2838</v>
      </c>
      <c r="G992" s="256" t="s">
        <v>40</v>
      </c>
      <c r="H992" s="256" t="s">
        <v>41</v>
      </c>
      <c r="I992" s="256" t="s">
        <v>643</v>
      </c>
      <c r="J992" s="259">
        <v>1.0</v>
      </c>
      <c r="K992" s="259">
        <v>1.0</v>
      </c>
      <c r="L992" s="260"/>
      <c r="M992" s="259">
        <v>1.0</v>
      </c>
      <c r="N992" s="260"/>
      <c r="O992" s="260"/>
      <c r="P992" s="259">
        <v>1.0</v>
      </c>
      <c r="Q992" s="261"/>
      <c r="R992" s="261"/>
      <c r="S992" s="256" t="s">
        <v>65</v>
      </c>
      <c r="T992" s="256" t="s">
        <v>66</v>
      </c>
      <c r="U992" s="256" t="s">
        <v>342</v>
      </c>
      <c r="V992" s="256" t="s">
        <v>1984</v>
      </c>
      <c r="W992" s="262"/>
      <c r="X992" s="262"/>
      <c r="Y992" s="262"/>
      <c r="Z992" s="262"/>
      <c r="AA992" s="263">
        <v>39026.0</v>
      </c>
      <c r="AB992" s="263">
        <v>156104.0</v>
      </c>
      <c r="AC992" s="24" t="s">
        <v>2915</v>
      </c>
      <c r="AD992" s="195">
        <v>7878.0</v>
      </c>
      <c r="AE992" s="38"/>
      <c r="AF992" s="256" t="str">
        <f t="shared" si="1"/>
        <v>Buenos Aires, Argentina</v>
      </c>
      <c r="AG992" s="256">
        <f t="shared" si="2"/>
        <v>4</v>
      </c>
      <c r="AH992" s="264">
        <f t="shared" si="3"/>
        <v>0</v>
      </c>
      <c r="AI992" s="264">
        <f t="shared" si="4"/>
        <v>0</v>
      </c>
      <c r="AJ992" s="263">
        <f t="shared" si="5"/>
        <v>195130</v>
      </c>
      <c r="AK992" s="263">
        <f t="shared" si="6"/>
        <v>195130</v>
      </c>
      <c r="AL992" s="265"/>
      <c r="AM992" s="265"/>
    </row>
    <row r="993">
      <c r="A993" s="234">
        <v>992.0</v>
      </c>
      <c r="B993" s="235">
        <v>44747.0</v>
      </c>
      <c r="C993" s="195" t="str">
        <f t="shared" si="8"/>
        <v>72022</v>
      </c>
      <c r="D993" s="236" t="s">
        <v>2916</v>
      </c>
      <c r="E993" s="234" t="s">
        <v>2917</v>
      </c>
      <c r="F993" s="236" t="s">
        <v>2918</v>
      </c>
      <c r="G993" s="234" t="s">
        <v>64</v>
      </c>
      <c r="H993" s="234" t="s">
        <v>41</v>
      </c>
      <c r="I993" s="234" t="s">
        <v>643</v>
      </c>
      <c r="J993" s="237"/>
      <c r="K993" s="237"/>
      <c r="L993" s="237"/>
      <c r="M993" s="237"/>
      <c r="N993" s="237"/>
      <c r="O993" s="237"/>
      <c r="P993" s="237"/>
      <c r="Q993" s="239"/>
      <c r="R993" s="239"/>
      <c r="S993" s="234" t="s">
        <v>98</v>
      </c>
      <c r="T993" s="234" t="s">
        <v>66</v>
      </c>
      <c r="U993" s="234" t="s">
        <v>99</v>
      </c>
      <c r="V993" s="234" t="s">
        <v>1984</v>
      </c>
      <c r="W993" s="240"/>
      <c r="X993" s="240"/>
      <c r="Y993" s="240"/>
      <c r="Z993" s="240"/>
      <c r="AA993" s="241">
        <v>0.0</v>
      </c>
      <c r="AB993" s="241">
        <v>47200.0</v>
      </c>
      <c r="AC993" s="24" t="s">
        <v>2919</v>
      </c>
      <c r="AD993" s="195">
        <v>7968.0</v>
      </c>
      <c r="AE993" s="38"/>
      <c r="AF993" s="234" t="str">
        <f t="shared" si="1"/>
        <v>Buenos Aires, Argentina</v>
      </c>
      <c r="AG993" s="234">
        <f t="shared" si="2"/>
        <v>0</v>
      </c>
      <c r="AH993" s="242">
        <f t="shared" si="3"/>
        <v>0</v>
      </c>
      <c r="AI993" s="242">
        <f t="shared" si="4"/>
        <v>0</v>
      </c>
      <c r="AJ993" s="241">
        <f t="shared" si="5"/>
        <v>47200</v>
      </c>
      <c r="AK993" s="241">
        <f t="shared" si="6"/>
        <v>47200</v>
      </c>
      <c r="AL993" s="243"/>
      <c r="AM993" s="243"/>
    </row>
    <row r="994">
      <c r="A994" s="234">
        <v>993.0</v>
      </c>
      <c r="B994" s="235">
        <v>44754.0</v>
      </c>
      <c r="C994" s="195" t="str">
        <f t="shared" si="8"/>
        <v>72022</v>
      </c>
      <c r="D994" s="236" t="s">
        <v>2920</v>
      </c>
      <c r="E994" s="234" t="s">
        <v>2921</v>
      </c>
      <c r="F994" s="236" t="s">
        <v>1463</v>
      </c>
      <c r="G994" s="234" t="s">
        <v>40</v>
      </c>
      <c r="H994" s="234" t="s">
        <v>41</v>
      </c>
      <c r="I994" s="234" t="s">
        <v>42</v>
      </c>
      <c r="J994" s="238">
        <v>1.0</v>
      </c>
      <c r="K994" s="238">
        <v>2.0</v>
      </c>
      <c r="L994" s="237"/>
      <c r="M994" s="237"/>
      <c r="N994" s="237"/>
      <c r="O994" s="237"/>
      <c r="P994" s="237"/>
      <c r="Q994" s="239"/>
      <c r="R994" s="239"/>
      <c r="S994" s="234" t="s">
        <v>137</v>
      </c>
      <c r="T994" s="234" t="s">
        <v>972</v>
      </c>
      <c r="U994" s="234" t="s">
        <v>45</v>
      </c>
      <c r="V994" s="234" t="s">
        <v>2922</v>
      </c>
      <c r="W994" s="240"/>
      <c r="X994" s="240"/>
      <c r="Y994" s="240"/>
      <c r="Z994" s="240"/>
      <c r="AA994" s="241">
        <v>29500.0</v>
      </c>
      <c r="AB994" s="241">
        <v>118000.0</v>
      </c>
      <c r="AC994" s="24" t="s">
        <v>2923</v>
      </c>
      <c r="AD994" s="195">
        <v>7926.0</v>
      </c>
      <c r="AE994" s="38"/>
      <c r="AF994" s="234" t="str">
        <f t="shared" si="1"/>
        <v>Río Negro, Argentina</v>
      </c>
      <c r="AG994" s="234">
        <f t="shared" si="2"/>
        <v>3</v>
      </c>
      <c r="AH994" s="242">
        <f t="shared" si="3"/>
        <v>0</v>
      </c>
      <c r="AI994" s="242">
        <f t="shared" si="4"/>
        <v>0</v>
      </c>
      <c r="AJ994" s="241">
        <f t="shared" si="5"/>
        <v>147500</v>
      </c>
      <c r="AK994" s="241">
        <f t="shared" si="6"/>
        <v>147500</v>
      </c>
      <c r="AL994" s="243"/>
      <c r="AM994" s="243"/>
    </row>
    <row r="995">
      <c r="A995" s="234">
        <v>994.0</v>
      </c>
      <c r="B995" s="235">
        <v>44754.0</v>
      </c>
      <c r="C995" s="195" t="s">
        <v>2924</v>
      </c>
      <c r="D995" s="236" t="s">
        <v>2493</v>
      </c>
      <c r="E995" s="234" t="s">
        <v>1925</v>
      </c>
      <c r="F995" s="236" t="s">
        <v>2925</v>
      </c>
      <c r="G995" s="234" t="s">
        <v>64</v>
      </c>
      <c r="H995" s="234" t="s">
        <v>41</v>
      </c>
      <c r="I995" s="234" t="s">
        <v>643</v>
      </c>
      <c r="J995" s="237"/>
      <c r="K995" s="237"/>
      <c r="L995" s="237"/>
      <c r="M995" s="237"/>
      <c r="N995" s="237"/>
      <c r="O995" s="237"/>
      <c r="P995" s="237"/>
      <c r="Q995" s="239"/>
      <c r="R995" s="239"/>
      <c r="S995" s="234" t="s">
        <v>65</v>
      </c>
      <c r="T995" s="234" t="s">
        <v>66</v>
      </c>
      <c r="U995" s="234" t="s">
        <v>99</v>
      </c>
      <c r="V995" s="234" t="s">
        <v>1984</v>
      </c>
      <c r="W995" s="240"/>
      <c r="X995" s="240"/>
      <c r="Y995" s="240"/>
      <c r="Z995" s="240"/>
      <c r="AA995" s="241">
        <v>0.0</v>
      </c>
      <c r="AB995" s="241">
        <v>78470.0</v>
      </c>
      <c r="AC995" s="24" t="s">
        <v>2926</v>
      </c>
      <c r="AD995" s="195">
        <v>8060.0</v>
      </c>
      <c r="AE995" s="38"/>
      <c r="AF995" s="234" t="str">
        <f t="shared" si="1"/>
        <v>Buenos Aires, Argentina</v>
      </c>
      <c r="AG995" s="234">
        <f t="shared" si="2"/>
        <v>0</v>
      </c>
      <c r="AH995" s="242">
        <f t="shared" si="3"/>
        <v>0</v>
      </c>
      <c r="AI995" s="242">
        <f t="shared" si="4"/>
        <v>0</v>
      </c>
      <c r="AJ995" s="241">
        <f t="shared" si="5"/>
        <v>78470</v>
      </c>
      <c r="AK995" s="241">
        <f t="shared" si="6"/>
        <v>78470</v>
      </c>
      <c r="AL995" s="243"/>
      <c r="AM995" s="243"/>
    </row>
    <row r="996">
      <c r="A996" s="234">
        <v>995.0</v>
      </c>
      <c r="B996" s="235">
        <v>44760.0</v>
      </c>
      <c r="C996" s="195" t="str">
        <f t="shared" ref="C996:C1268" si="9">IF(B996&lt;&gt;"",CONCATENATE(MONTH(B996),YEAR(B996)),0)</f>
        <v>72022</v>
      </c>
      <c r="D996" s="236" t="s">
        <v>2733</v>
      </c>
      <c r="E996" s="234" t="s">
        <v>2195</v>
      </c>
      <c r="F996" s="236" t="s">
        <v>2927</v>
      </c>
      <c r="G996" s="234" t="s">
        <v>64</v>
      </c>
      <c r="H996" s="234" t="s">
        <v>227</v>
      </c>
      <c r="I996" s="234" t="s">
        <v>643</v>
      </c>
      <c r="J996" s="237"/>
      <c r="K996" s="237"/>
      <c r="L996" s="237"/>
      <c r="M996" s="237"/>
      <c r="N996" s="237"/>
      <c r="O996" s="237"/>
      <c r="P996" s="237"/>
      <c r="Q996" s="239"/>
      <c r="R996" s="239"/>
      <c r="S996" s="234" t="s">
        <v>65</v>
      </c>
      <c r="T996" s="234" t="s">
        <v>83</v>
      </c>
      <c r="U996" s="234" t="s">
        <v>99</v>
      </c>
      <c r="V996" s="234" t="s">
        <v>1984</v>
      </c>
      <c r="W996" s="240"/>
      <c r="X996" s="240"/>
      <c r="Y996" s="240"/>
      <c r="Z996" s="240"/>
      <c r="AA996" s="241">
        <v>0.0</v>
      </c>
      <c r="AB996" s="241">
        <v>134520.0</v>
      </c>
      <c r="AC996" s="24" t="s">
        <v>2928</v>
      </c>
      <c r="AD996" s="195">
        <v>8072.0</v>
      </c>
      <c r="AE996" s="38"/>
      <c r="AF996" s="234" t="str">
        <f t="shared" si="1"/>
        <v>Capital Federal, Argentina</v>
      </c>
      <c r="AG996" s="234">
        <f t="shared" si="2"/>
        <v>0</v>
      </c>
      <c r="AH996" s="242">
        <f t="shared" si="3"/>
        <v>0</v>
      </c>
      <c r="AI996" s="242">
        <f t="shared" si="4"/>
        <v>0</v>
      </c>
      <c r="AJ996" s="241">
        <f t="shared" si="5"/>
        <v>134520</v>
      </c>
      <c r="AK996" s="241">
        <f t="shared" si="6"/>
        <v>134520</v>
      </c>
      <c r="AL996" s="243"/>
      <c r="AM996" s="243"/>
    </row>
    <row r="997">
      <c r="A997" s="234">
        <v>996.0</v>
      </c>
      <c r="B997" s="235">
        <v>44763.0</v>
      </c>
      <c r="C997" s="195" t="str">
        <f t="shared" si="9"/>
        <v>72022</v>
      </c>
      <c r="D997" s="236" t="s">
        <v>1976</v>
      </c>
      <c r="E997" s="234" t="s">
        <v>1977</v>
      </c>
      <c r="F997" s="236" t="s">
        <v>1592</v>
      </c>
      <c r="G997" s="234" t="s">
        <v>64</v>
      </c>
      <c r="H997" s="234" t="s">
        <v>41</v>
      </c>
      <c r="I997" s="234" t="s">
        <v>643</v>
      </c>
      <c r="J997" s="238">
        <v>1.0</v>
      </c>
      <c r="K997" s="238">
        <v>1.0</v>
      </c>
      <c r="L997" s="237"/>
      <c r="M997" s="237"/>
      <c r="N997" s="237"/>
      <c r="O997" s="237"/>
      <c r="P997" s="237"/>
      <c r="Q997" s="239"/>
      <c r="R997" s="239"/>
      <c r="S997" s="234" t="s">
        <v>98</v>
      </c>
      <c r="T997" s="234" t="s">
        <v>83</v>
      </c>
      <c r="U997" s="234" t="s">
        <v>99</v>
      </c>
      <c r="V997" s="234" t="s">
        <v>1984</v>
      </c>
      <c r="W997" s="240"/>
      <c r="X997" s="240"/>
      <c r="Y997" s="240"/>
      <c r="Z997" s="240"/>
      <c r="AA997" s="241">
        <v>20650.0</v>
      </c>
      <c r="AB997" s="241">
        <v>82600.0</v>
      </c>
      <c r="AC997" s="24" t="s">
        <v>2929</v>
      </c>
      <c r="AD997" s="195">
        <v>8134.0</v>
      </c>
      <c r="AE997" s="38"/>
      <c r="AF997" s="234" t="str">
        <f t="shared" si="1"/>
        <v>Capital Federal, Argentina</v>
      </c>
      <c r="AG997" s="234">
        <f t="shared" si="2"/>
        <v>2</v>
      </c>
      <c r="AH997" s="242">
        <f t="shared" si="3"/>
        <v>0</v>
      </c>
      <c r="AI997" s="242">
        <f t="shared" si="4"/>
        <v>0</v>
      </c>
      <c r="AJ997" s="241">
        <f t="shared" si="5"/>
        <v>103250</v>
      </c>
      <c r="AK997" s="241">
        <f t="shared" si="6"/>
        <v>103250</v>
      </c>
      <c r="AL997" s="243"/>
      <c r="AM997" s="243"/>
    </row>
    <row r="998">
      <c r="A998" s="234">
        <v>997.0</v>
      </c>
      <c r="B998" s="235">
        <v>44764.0</v>
      </c>
      <c r="C998" s="195" t="str">
        <f t="shared" si="9"/>
        <v>72022</v>
      </c>
      <c r="D998" s="236" t="s">
        <v>1582</v>
      </c>
      <c r="E998" s="234" t="s">
        <v>2930</v>
      </c>
      <c r="F998" s="236" t="s">
        <v>2925</v>
      </c>
      <c r="G998" s="234" t="s">
        <v>64</v>
      </c>
      <c r="H998" s="234" t="s">
        <v>41</v>
      </c>
      <c r="I998" s="234" t="s">
        <v>643</v>
      </c>
      <c r="J998" s="237"/>
      <c r="K998" s="237"/>
      <c r="L998" s="237"/>
      <c r="M998" s="237"/>
      <c r="N998" s="237"/>
      <c r="O998" s="237"/>
      <c r="P998" s="237"/>
      <c r="Q998" s="239"/>
      <c r="R998" s="239"/>
      <c r="S998" s="234" t="s">
        <v>65</v>
      </c>
      <c r="T998" s="234" t="s">
        <v>83</v>
      </c>
      <c r="U998" s="234" t="s">
        <v>99</v>
      </c>
      <c r="V998" s="234" t="s">
        <v>1984</v>
      </c>
      <c r="W998" s="240"/>
      <c r="X998" s="240"/>
      <c r="Y998" s="240"/>
      <c r="Z998" s="240"/>
      <c r="AA998" s="241">
        <v>0.0</v>
      </c>
      <c r="AB998" s="241">
        <v>47200.0</v>
      </c>
      <c r="AC998" s="24" t="s">
        <v>2931</v>
      </c>
      <c r="AD998" s="195">
        <v>7964.0</v>
      </c>
      <c r="AE998" s="38"/>
      <c r="AF998" s="234" t="str">
        <f t="shared" si="1"/>
        <v>Capital Federal, Argentina</v>
      </c>
      <c r="AG998" s="234">
        <f t="shared" si="2"/>
        <v>0</v>
      </c>
      <c r="AH998" s="242">
        <f t="shared" si="3"/>
        <v>0</v>
      </c>
      <c r="AI998" s="242">
        <f t="shared" si="4"/>
        <v>0</v>
      </c>
      <c r="AJ998" s="241">
        <f t="shared" si="5"/>
        <v>47200</v>
      </c>
      <c r="AK998" s="241">
        <f t="shared" si="6"/>
        <v>47200</v>
      </c>
      <c r="AL998" s="243"/>
      <c r="AM998" s="243"/>
    </row>
    <row r="999">
      <c r="A999" s="234">
        <v>998.0</v>
      </c>
      <c r="B999" s="235">
        <v>44765.0</v>
      </c>
      <c r="C999" s="195" t="str">
        <f t="shared" si="9"/>
        <v>72022</v>
      </c>
      <c r="D999" s="236" t="s">
        <v>2493</v>
      </c>
      <c r="E999" s="234" t="s">
        <v>1925</v>
      </c>
      <c r="F999" s="236" t="s">
        <v>2932</v>
      </c>
      <c r="G999" s="234" t="s">
        <v>64</v>
      </c>
      <c r="H999" s="234" t="s">
        <v>41</v>
      </c>
      <c r="I999" s="234" t="s">
        <v>643</v>
      </c>
      <c r="J999" s="237"/>
      <c r="K999" s="237"/>
      <c r="L999" s="237"/>
      <c r="M999" s="237"/>
      <c r="N999" s="237"/>
      <c r="O999" s="237"/>
      <c r="P999" s="237"/>
      <c r="Q999" s="239"/>
      <c r="R999" s="239"/>
      <c r="S999" s="234" t="s">
        <v>65</v>
      </c>
      <c r="T999" s="234" t="s">
        <v>83</v>
      </c>
      <c r="U999" s="234" t="s">
        <v>99</v>
      </c>
      <c r="V999" s="234" t="s">
        <v>1984</v>
      </c>
      <c r="W999" s="240"/>
      <c r="X999" s="240"/>
      <c r="Y999" s="240"/>
      <c r="Z999" s="240"/>
      <c r="AA999" s="241">
        <v>0.0</v>
      </c>
      <c r="AB999" s="241">
        <v>99120.0</v>
      </c>
      <c r="AC999" s="24" t="s">
        <v>2933</v>
      </c>
      <c r="AD999" s="195">
        <v>8064.0</v>
      </c>
      <c r="AE999" s="38"/>
      <c r="AF999" s="234" t="str">
        <f t="shared" si="1"/>
        <v>Capital Federal, Argentina</v>
      </c>
      <c r="AG999" s="234">
        <f t="shared" si="2"/>
        <v>0</v>
      </c>
      <c r="AH999" s="242">
        <f t="shared" si="3"/>
        <v>0</v>
      </c>
      <c r="AI999" s="242">
        <f t="shared" si="4"/>
        <v>0</v>
      </c>
      <c r="AJ999" s="241">
        <f t="shared" si="5"/>
        <v>99120</v>
      </c>
      <c r="AK999" s="241">
        <f t="shared" si="6"/>
        <v>99120</v>
      </c>
      <c r="AL999" s="243"/>
      <c r="AM999" s="243"/>
    </row>
    <row r="1000">
      <c r="A1000" s="234">
        <v>999.0</v>
      </c>
      <c r="B1000" s="235">
        <v>44769.0</v>
      </c>
      <c r="C1000" s="195" t="str">
        <f t="shared" si="9"/>
        <v>72022</v>
      </c>
      <c r="D1000" s="236" t="s">
        <v>2934</v>
      </c>
      <c r="E1000" s="234" t="s">
        <v>2243</v>
      </c>
      <c r="F1000" s="236" t="s">
        <v>1423</v>
      </c>
      <c r="G1000" s="234" t="s">
        <v>64</v>
      </c>
      <c r="H1000" s="234" t="s">
        <v>41</v>
      </c>
      <c r="I1000" s="234" t="s">
        <v>643</v>
      </c>
      <c r="J1000" s="238">
        <v>1.0</v>
      </c>
      <c r="K1000" s="237"/>
      <c r="L1000" s="237"/>
      <c r="M1000" s="237"/>
      <c r="N1000" s="237"/>
      <c r="O1000" s="237"/>
      <c r="P1000" s="237"/>
      <c r="Q1000" s="239"/>
      <c r="R1000" s="239"/>
      <c r="S1000" s="234" t="s">
        <v>65</v>
      </c>
      <c r="T1000" s="234" t="s">
        <v>66</v>
      </c>
      <c r="U1000" s="234" t="s">
        <v>99</v>
      </c>
      <c r="V1000" s="234" t="s">
        <v>2935</v>
      </c>
      <c r="W1000" s="240"/>
      <c r="X1000" s="240"/>
      <c r="Y1000" s="240"/>
      <c r="Z1000" s="240"/>
      <c r="AA1000" s="241">
        <v>11800.0</v>
      </c>
      <c r="AB1000" s="241">
        <v>47200.0</v>
      </c>
      <c r="AC1000" s="24" t="s">
        <v>2936</v>
      </c>
      <c r="AD1000" s="195">
        <v>7998.0</v>
      </c>
      <c r="AE1000" s="38"/>
      <c r="AF1000" s="234" t="str">
        <f t="shared" si="1"/>
        <v>Buenos Aires, Argentina</v>
      </c>
      <c r="AG1000" s="234">
        <f t="shared" si="2"/>
        <v>1</v>
      </c>
      <c r="AH1000" s="242">
        <f t="shared" si="3"/>
        <v>0</v>
      </c>
      <c r="AI1000" s="242">
        <f t="shared" si="4"/>
        <v>0</v>
      </c>
      <c r="AJ1000" s="241">
        <f t="shared" si="5"/>
        <v>59000</v>
      </c>
      <c r="AK1000" s="241">
        <f t="shared" si="6"/>
        <v>59000</v>
      </c>
      <c r="AL1000" s="243"/>
      <c r="AM1000" s="243"/>
    </row>
    <row r="1001">
      <c r="A1001" s="234">
        <v>1000.0</v>
      </c>
      <c r="B1001" s="235">
        <v>44770.0</v>
      </c>
      <c r="C1001" s="195" t="str">
        <f t="shared" si="9"/>
        <v>72022</v>
      </c>
      <c r="D1001" s="236" t="s">
        <v>2937</v>
      </c>
      <c r="E1001" s="234" t="s">
        <v>2309</v>
      </c>
      <c r="F1001" s="236" t="s">
        <v>2938</v>
      </c>
      <c r="G1001" s="234" t="s">
        <v>64</v>
      </c>
      <c r="H1001" s="234" t="s">
        <v>41</v>
      </c>
      <c r="I1001" s="234" t="s">
        <v>643</v>
      </c>
      <c r="J1001" s="237"/>
      <c r="K1001" s="237"/>
      <c r="L1001" s="237"/>
      <c r="M1001" s="237"/>
      <c r="N1001" s="238">
        <v>1.0</v>
      </c>
      <c r="O1001" s="237"/>
      <c r="P1001" s="238">
        <v>1.0</v>
      </c>
      <c r="Q1001" s="239"/>
      <c r="R1001" s="239"/>
      <c r="S1001" s="234" t="s">
        <v>276</v>
      </c>
      <c r="T1001" s="234" t="s">
        <v>879</v>
      </c>
      <c r="U1001" s="234" t="s">
        <v>99</v>
      </c>
      <c r="V1001" s="234" t="s">
        <v>2935</v>
      </c>
      <c r="W1001" s="240"/>
      <c r="X1001" s="240"/>
      <c r="Y1001" s="240"/>
      <c r="Z1001" s="240"/>
      <c r="AA1001" s="241">
        <v>20650.0</v>
      </c>
      <c r="AB1001" s="241">
        <v>87025.0</v>
      </c>
      <c r="AC1001" s="24" t="s">
        <v>2939</v>
      </c>
      <c r="AD1001" s="195">
        <v>8126.0</v>
      </c>
      <c r="AE1001" s="38"/>
      <c r="AF1001" s="234" t="str">
        <f t="shared" si="1"/>
        <v>Salta, Argentina</v>
      </c>
      <c r="AG1001" s="234">
        <f t="shared" si="2"/>
        <v>2</v>
      </c>
      <c r="AH1001" s="242">
        <f t="shared" si="3"/>
        <v>0</v>
      </c>
      <c r="AI1001" s="242">
        <f t="shared" si="4"/>
        <v>0</v>
      </c>
      <c r="AJ1001" s="241">
        <f t="shared" si="5"/>
        <v>107675</v>
      </c>
      <c r="AK1001" s="241">
        <f t="shared" si="6"/>
        <v>107675</v>
      </c>
      <c r="AL1001" s="243"/>
      <c r="AM1001" s="243"/>
    </row>
    <row r="1002">
      <c r="A1002" s="234">
        <v>1001.0</v>
      </c>
      <c r="B1002" s="235">
        <v>44770.0</v>
      </c>
      <c r="C1002" s="195" t="str">
        <f t="shared" si="9"/>
        <v>72022</v>
      </c>
      <c r="D1002" s="236" t="s">
        <v>2937</v>
      </c>
      <c r="E1002" s="234" t="s">
        <v>2309</v>
      </c>
      <c r="F1002" s="236" t="s">
        <v>2940</v>
      </c>
      <c r="G1002" s="234" t="s">
        <v>64</v>
      </c>
      <c r="H1002" s="234" t="s">
        <v>41</v>
      </c>
      <c r="I1002" s="234" t="s">
        <v>643</v>
      </c>
      <c r="J1002" s="237"/>
      <c r="K1002" s="237"/>
      <c r="L1002" s="237"/>
      <c r="M1002" s="237"/>
      <c r="N1002" s="237"/>
      <c r="O1002" s="237"/>
      <c r="P1002" s="237"/>
      <c r="Q1002" s="239"/>
      <c r="R1002" s="239"/>
      <c r="S1002" s="234" t="s">
        <v>276</v>
      </c>
      <c r="T1002" s="234" t="s">
        <v>879</v>
      </c>
      <c r="U1002" s="234" t="s">
        <v>99</v>
      </c>
      <c r="V1002" s="234" t="s">
        <v>2935</v>
      </c>
      <c r="W1002" s="241">
        <v>16900.0</v>
      </c>
      <c r="X1002" s="241">
        <v>76050.0</v>
      </c>
      <c r="Y1002" s="240"/>
      <c r="Z1002" s="240"/>
      <c r="AA1002" s="240"/>
      <c r="AB1002" s="240" t="s">
        <v>926</v>
      </c>
      <c r="AC1002" s="24" t="s">
        <v>2941</v>
      </c>
      <c r="AD1002" s="195">
        <v>8194.0</v>
      </c>
      <c r="AE1002" s="38"/>
      <c r="AF1002" s="234" t="str">
        <f t="shared" si="1"/>
        <v>Salta, Argentina</v>
      </c>
      <c r="AG1002" s="234">
        <f t="shared" si="2"/>
        <v>0</v>
      </c>
      <c r="AH1002" s="242">
        <f t="shared" si="3"/>
        <v>92950</v>
      </c>
      <c r="AI1002" s="242">
        <f t="shared" si="4"/>
        <v>0</v>
      </c>
      <c r="AJ1002" s="241">
        <f t="shared" si="5"/>
        <v>0</v>
      </c>
      <c r="AK1002" s="241">
        <f t="shared" si="6"/>
        <v>92950</v>
      </c>
      <c r="AL1002" s="243"/>
      <c r="AM1002" s="243"/>
    </row>
    <row r="1003">
      <c r="A1003" s="234">
        <v>1002.0</v>
      </c>
      <c r="B1003" s="235">
        <v>44770.0</v>
      </c>
      <c r="C1003" s="195" t="str">
        <f t="shared" si="9"/>
        <v>72022</v>
      </c>
      <c r="D1003" s="236" t="s">
        <v>2942</v>
      </c>
      <c r="E1003" s="234" t="s">
        <v>2943</v>
      </c>
      <c r="F1003" s="236" t="s">
        <v>2944</v>
      </c>
      <c r="G1003" s="234" t="s">
        <v>40</v>
      </c>
      <c r="H1003" s="234" t="s">
        <v>547</v>
      </c>
      <c r="I1003" s="234" t="s">
        <v>643</v>
      </c>
      <c r="J1003" s="238">
        <v>1.0</v>
      </c>
      <c r="K1003" s="237"/>
      <c r="L1003" s="237"/>
      <c r="M1003" s="237"/>
      <c r="N1003" s="237"/>
      <c r="O1003" s="237"/>
      <c r="P1003" s="238">
        <v>1.0</v>
      </c>
      <c r="Q1003" s="239"/>
      <c r="R1003" s="239"/>
      <c r="S1003" s="234" t="s">
        <v>72</v>
      </c>
      <c r="T1003" s="234" t="s">
        <v>66</v>
      </c>
      <c r="U1003" s="234" t="s">
        <v>163</v>
      </c>
      <c r="V1003" s="234" t="s">
        <v>2945</v>
      </c>
      <c r="W1003" s="240"/>
      <c r="X1003" s="240"/>
      <c r="Y1003" s="240"/>
      <c r="Z1003" s="240"/>
      <c r="AA1003" s="241">
        <v>12390.0</v>
      </c>
      <c r="AB1003" s="241">
        <v>39028.0</v>
      </c>
      <c r="AC1003" s="24" t="s">
        <v>2946</v>
      </c>
      <c r="AD1003" s="195">
        <v>7994.0</v>
      </c>
      <c r="AE1003" s="38"/>
      <c r="AF1003" s="234" t="str">
        <f t="shared" si="1"/>
        <v>Buenos Aires, Argentina</v>
      </c>
      <c r="AG1003" s="234">
        <f t="shared" si="2"/>
        <v>2</v>
      </c>
      <c r="AH1003" s="242">
        <f t="shared" si="3"/>
        <v>0</v>
      </c>
      <c r="AI1003" s="242">
        <f t="shared" si="4"/>
        <v>0</v>
      </c>
      <c r="AJ1003" s="241">
        <f t="shared" si="5"/>
        <v>51418</v>
      </c>
      <c r="AK1003" s="241">
        <f t="shared" si="6"/>
        <v>51418</v>
      </c>
      <c r="AL1003" s="243"/>
      <c r="AM1003" s="243"/>
    </row>
    <row r="1004">
      <c r="A1004" s="234">
        <v>1003.0</v>
      </c>
      <c r="B1004" s="235">
        <v>44770.0</v>
      </c>
      <c r="C1004" s="195" t="str">
        <f t="shared" si="9"/>
        <v>72022</v>
      </c>
      <c r="D1004" s="236" t="s">
        <v>2942</v>
      </c>
      <c r="E1004" s="234" t="s">
        <v>2947</v>
      </c>
      <c r="F1004" s="236" t="s">
        <v>2948</v>
      </c>
      <c r="G1004" s="234" t="s">
        <v>40</v>
      </c>
      <c r="H1004" s="234" t="s">
        <v>547</v>
      </c>
      <c r="I1004" s="234" t="s">
        <v>643</v>
      </c>
      <c r="J1004" s="237"/>
      <c r="K1004" s="237"/>
      <c r="L1004" s="237"/>
      <c r="M1004" s="237"/>
      <c r="N1004" s="237"/>
      <c r="O1004" s="237"/>
      <c r="P1004" s="237"/>
      <c r="Q1004" s="239"/>
      <c r="R1004" s="239"/>
      <c r="S1004" s="234" t="s">
        <v>72</v>
      </c>
      <c r="T1004" s="234" t="s">
        <v>66</v>
      </c>
      <c r="U1004" s="234" t="s">
        <v>163</v>
      </c>
      <c r="V1004" s="234" t="s">
        <v>2945</v>
      </c>
      <c r="W1004" s="241">
        <v>9295.0</v>
      </c>
      <c r="X1004" s="241">
        <v>29280.0</v>
      </c>
      <c r="Y1004" s="240"/>
      <c r="Z1004" s="240"/>
      <c r="AA1004" s="240"/>
      <c r="AB1004" s="240" t="s">
        <v>926</v>
      </c>
      <c r="AC1004" s="24" t="s">
        <v>2949</v>
      </c>
      <c r="AD1004" s="195">
        <v>7998.0</v>
      </c>
      <c r="AE1004" s="38"/>
      <c r="AF1004" s="234" t="str">
        <f t="shared" si="1"/>
        <v>Buenos Aires, Argentina</v>
      </c>
      <c r="AG1004" s="234">
        <f t="shared" si="2"/>
        <v>0</v>
      </c>
      <c r="AH1004" s="242">
        <f t="shared" si="3"/>
        <v>38575</v>
      </c>
      <c r="AI1004" s="242">
        <f t="shared" si="4"/>
        <v>0</v>
      </c>
      <c r="AJ1004" s="241">
        <f t="shared" si="5"/>
        <v>0</v>
      </c>
      <c r="AK1004" s="241">
        <f t="shared" si="6"/>
        <v>38575</v>
      </c>
      <c r="AL1004" s="243"/>
      <c r="AM1004" s="243"/>
    </row>
    <row r="1005">
      <c r="A1005" s="234">
        <v>1004.0</v>
      </c>
      <c r="B1005" s="235">
        <v>44770.0</v>
      </c>
      <c r="C1005" s="195" t="str">
        <f t="shared" si="9"/>
        <v>72022</v>
      </c>
      <c r="D1005" s="236" t="s">
        <v>2950</v>
      </c>
      <c r="E1005" s="234" t="s">
        <v>1778</v>
      </c>
      <c r="F1005" s="236" t="s">
        <v>1423</v>
      </c>
      <c r="G1005" s="234" t="s">
        <v>64</v>
      </c>
      <c r="H1005" s="234" t="s">
        <v>41</v>
      </c>
      <c r="I1005" s="234" t="s">
        <v>643</v>
      </c>
      <c r="J1005" s="238">
        <v>1.0</v>
      </c>
      <c r="K1005" s="237"/>
      <c r="L1005" s="237"/>
      <c r="M1005" s="237"/>
      <c r="N1005" s="237"/>
      <c r="O1005" s="237"/>
      <c r="P1005" s="237"/>
      <c r="Q1005" s="239"/>
      <c r="R1005" s="239"/>
      <c r="S1005" s="234" t="s">
        <v>114</v>
      </c>
      <c r="T1005" s="234" t="s">
        <v>83</v>
      </c>
      <c r="U1005" s="234" t="s">
        <v>99</v>
      </c>
      <c r="V1005" s="234" t="s">
        <v>1984</v>
      </c>
      <c r="W1005" s="240"/>
      <c r="X1005" s="240"/>
      <c r="Y1005" s="240"/>
      <c r="Z1005" s="240"/>
      <c r="AA1005" s="241">
        <v>11800.0</v>
      </c>
      <c r="AB1005" s="241">
        <v>47200.0</v>
      </c>
      <c r="AC1005" s="24" t="s">
        <v>2951</v>
      </c>
      <c r="AD1005" s="195">
        <v>8132.0</v>
      </c>
      <c r="AE1005" s="38"/>
      <c r="AF1005" s="234" t="str">
        <f t="shared" si="1"/>
        <v>Capital Federal, Argentina</v>
      </c>
      <c r="AG1005" s="234">
        <f t="shared" si="2"/>
        <v>1</v>
      </c>
      <c r="AH1005" s="242">
        <f t="shared" si="3"/>
        <v>0</v>
      </c>
      <c r="AI1005" s="242">
        <f t="shared" si="4"/>
        <v>0</v>
      </c>
      <c r="AJ1005" s="241">
        <f t="shared" si="5"/>
        <v>59000</v>
      </c>
      <c r="AK1005" s="241">
        <f t="shared" si="6"/>
        <v>59000</v>
      </c>
      <c r="AL1005" s="243"/>
      <c r="AM1005" s="243"/>
    </row>
    <row r="1006">
      <c r="A1006" s="234">
        <v>1005.0</v>
      </c>
      <c r="B1006" s="235">
        <v>44771.0</v>
      </c>
      <c r="C1006" s="195" t="str">
        <f t="shared" si="9"/>
        <v>72022</v>
      </c>
      <c r="D1006" s="236" t="s">
        <v>2611</v>
      </c>
      <c r="E1006" s="234" t="s">
        <v>2612</v>
      </c>
      <c r="F1006" s="236" t="s">
        <v>1357</v>
      </c>
      <c r="G1006" s="234" t="s">
        <v>64</v>
      </c>
      <c r="H1006" s="234" t="s">
        <v>41</v>
      </c>
      <c r="I1006" s="234" t="s">
        <v>643</v>
      </c>
      <c r="J1006" s="237"/>
      <c r="K1006" s="237"/>
      <c r="L1006" s="237"/>
      <c r="M1006" s="237"/>
      <c r="N1006" s="237"/>
      <c r="O1006" s="237"/>
      <c r="P1006" s="238">
        <v>1.0</v>
      </c>
      <c r="Q1006" s="239"/>
      <c r="R1006" s="239"/>
      <c r="S1006" s="234" t="s">
        <v>98</v>
      </c>
      <c r="T1006" s="234" t="s">
        <v>2609</v>
      </c>
      <c r="U1006" s="234" t="s">
        <v>99</v>
      </c>
      <c r="V1006" s="234" t="s">
        <v>1984</v>
      </c>
      <c r="W1006" s="240"/>
      <c r="X1006" s="240"/>
      <c r="Y1006" s="240"/>
      <c r="Z1006" s="240"/>
      <c r="AA1006" s="241">
        <v>8850.0</v>
      </c>
      <c r="AB1006" s="241">
        <v>39825.0</v>
      </c>
      <c r="AC1006" s="24" t="s">
        <v>2952</v>
      </c>
      <c r="AD1006" s="195">
        <v>8202.0</v>
      </c>
      <c r="AE1006" s="38"/>
      <c r="AF1006" s="234" t="str">
        <f t="shared" si="1"/>
        <v>San Juan, Argentina</v>
      </c>
      <c r="AG1006" s="234">
        <f t="shared" si="2"/>
        <v>1</v>
      </c>
      <c r="AH1006" s="242">
        <f t="shared" si="3"/>
        <v>0</v>
      </c>
      <c r="AI1006" s="242">
        <f t="shared" si="4"/>
        <v>0</v>
      </c>
      <c r="AJ1006" s="241">
        <f t="shared" si="5"/>
        <v>48675</v>
      </c>
      <c r="AK1006" s="241">
        <f t="shared" si="6"/>
        <v>48675</v>
      </c>
      <c r="AL1006" s="243"/>
      <c r="AM1006" s="243"/>
    </row>
    <row r="1007">
      <c r="A1007" s="234">
        <v>1006.0</v>
      </c>
      <c r="B1007" s="235">
        <v>44771.0</v>
      </c>
      <c r="C1007" s="195" t="str">
        <f t="shared" si="9"/>
        <v>72022</v>
      </c>
      <c r="D1007" s="236" t="s">
        <v>2953</v>
      </c>
      <c r="E1007" s="234" t="s">
        <v>2954</v>
      </c>
      <c r="F1007" s="236" t="s">
        <v>1507</v>
      </c>
      <c r="G1007" s="234" t="s">
        <v>64</v>
      </c>
      <c r="H1007" s="234" t="s">
        <v>41</v>
      </c>
      <c r="I1007" s="234" t="s">
        <v>643</v>
      </c>
      <c r="J1007" s="237"/>
      <c r="K1007" s="237"/>
      <c r="L1007" s="238">
        <v>1.0</v>
      </c>
      <c r="M1007" s="237"/>
      <c r="N1007" s="237"/>
      <c r="O1007" s="237"/>
      <c r="P1007" s="237"/>
      <c r="Q1007" s="239"/>
      <c r="R1007" s="239"/>
      <c r="S1007" s="234" t="s">
        <v>137</v>
      </c>
      <c r="T1007" s="234" t="s">
        <v>66</v>
      </c>
      <c r="U1007" s="234" t="s">
        <v>99</v>
      </c>
      <c r="V1007" s="234" t="s">
        <v>1984</v>
      </c>
      <c r="W1007" s="240"/>
      <c r="X1007" s="240"/>
      <c r="Y1007" s="240"/>
      <c r="Z1007" s="240"/>
      <c r="AA1007" s="241">
        <v>5900.0</v>
      </c>
      <c r="AB1007" s="241">
        <v>23600.0</v>
      </c>
      <c r="AC1007" s="24" t="s">
        <v>2955</v>
      </c>
      <c r="AD1007" s="195">
        <v>7892.0</v>
      </c>
      <c r="AE1007" s="38"/>
      <c r="AF1007" s="234" t="str">
        <f t="shared" si="1"/>
        <v>Buenos Aires, Argentina</v>
      </c>
      <c r="AG1007" s="234">
        <f t="shared" si="2"/>
        <v>1</v>
      </c>
      <c r="AH1007" s="242">
        <f t="shared" si="3"/>
        <v>0</v>
      </c>
      <c r="AI1007" s="242">
        <f t="shared" si="4"/>
        <v>0</v>
      </c>
      <c r="AJ1007" s="241">
        <f t="shared" si="5"/>
        <v>29500</v>
      </c>
      <c r="AK1007" s="241">
        <f t="shared" si="6"/>
        <v>29500</v>
      </c>
      <c r="AL1007" s="243"/>
      <c r="AM1007" s="243"/>
    </row>
    <row r="1008">
      <c r="A1008" s="234">
        <v>1007.0</v>
      </c>
      <c r="B1008" s="235">
        <v>44771.0</v>
      </c>
      <c r="C1008" s="195" t="str">
        <f t="shared" si="9"/>
        <v>72022</v>
      </c>
      <c r="D1008" s="236" t="s">
        <v>2956</v>
      </c>
      <c r="E1008" s="234" t="s">
        <v>2957</v>
      </c>
      <c r="F1008" s="236" t="s">
        <v>2958</v>
      </c>
      <c r="G1008" s="234" t="s">
        <v>40</v>
      </c>
      <c r="H1008" s="234" t="s">
        <v>41</v>
      </c>
      <c r="I1008" s="234" t="s">
        <v>42</v>
      </c>
      <c r="J1008" s="238">
        <v>5.0</v>
      </c>
      <c r="K1008" s="238">
        <v>3.0</v>
      </c>
      <c r="L1008" s="237"/>
      <c r="M1008" s="238">
        <v>1.0</v>
      </c>
      <c r="N1008" s="238">
        <v>1.0</v>
      </c>
      <c r="O1008" s="237"/>
      <c r="P1008" s="237"/>
      <c r="Q1008" s="239"/>
      <c r="R1008" s="239"/>
      <c r="S1008" s="234" t="s">
        <v>98</v>
      </c>
      <c r="T1008" s="234" t="s">
        <v>66</v>
      </c>
      <c r="U1008" s="234" t="s">
        <v>1027</v>
      </c>
      <c r="V1008" s="234" t="s">
        <v>2862</v>
      </c>
      <c r="W1008" s="240"/>
      <c r="X1008" s="240"/>
      <c r="Y1008" s="240"/>
      <c r="Z1008" s="240"/>
      <c r="AA1008" s="241">
        <v>109710.0</v>
      </c>
      <c r="AB1008" s="241">
        <v>493695.0</v>
      </c>
      <c r="AC1008" s="24" t="s">
        <v>2959</v>
      </c>
      <c r="AD1008" s="195">
        <v>7976.0</v>
      </c>
      <c r="AE1008" s="38"/>
      <c r="AF1008" s="234" t="str">
        <f t="shared" si="1"/>
        <v>Buenos Aires, Argentina</v>
      </c>
      <c r="AG1008" s="234">
        <f t="shared" si="2"/>
        <v>10</v>
      </c>
      <c r="AH1008" s="242">
        <f t="shared" si="3"/>
        <v>0</v>
      </c>
      <c r="AI1008" s="242">
        <f t="shared" si="4"/>
        <v>0</v>
      </c>
      <c r="AJ1008" s="241">
        <f t="shared" si="5"/>
        <v>603405</v>
      </c>
      <c r="AK1008" s="241">
        <f t="shared" si="6"/>
        <v>603405</v>
      </c>
      <c r="AL1008" s="243"/>
      <c r="AM1008" s="243"/>
    </row>
    <row r="1009">
      <c r="A1009" s="234">
        <v>1008.0</v>
      </c>
      <c r="B1009" s="235">
        <v>44771.0</v>
      </c>
      <c r="C1009" s="195" t="str">
        <f t="shared" si="9"/>
        <v>72022</v>
      </c>
      <c r="D1009" s="236" t="s">
        <v>2153</v>
      </c>
      <c r="E1009" s="234" t="s">
        <v>2154</v>
      </c>
      <c r="F1009" s="236" t="s">
        <v>13</v>
      </c>
      <c r="G1009" s="234" t="s">
        <v>64</v>
      </c>
      <c r="H1009" s="234" t="s">
        <v>41</v>
      </c>
      <c r="I1009" s="234" t="s">
        <v>643</v>
      </c>
      <c r="J1009" s="237"/>
      <c r="K1009" s="237"/>
      <c r="L1009" s="237"/>
      <c r="M1009" s="237"/>
      <c r="N1009" s="238">
        <v>1.0</v>
      </c>
      <c r="O1009" s="237"/>
      <c r="P1009" s="237"/>
      <c r="Q1009" s="239"/>
      <c r="R1009" s="239"/>
      <c r="S1009" s="234" t="s">
        <v>65</v>
      </c>
      <c r="T1009" s="234" t="s">
        <v>66</v>
      </c>
      <c r="U1009" s="234" t="s">
        <v>99</v>
      </c>
      <c r="V1009" s="234" t="s">
        <v>2935</v>
      </c>
      <c r="W1009" s="240"/>
      <c r="X1009" s="240"/>
      <c r="Y1009" s="240"/>
      <c r="Z1009" s="240"/>
      <c r="AA1009" s="241">
        <v>10620.0</v>
      </c>
      <c r="AB1009" s="241">
        <v>47790.0</v>
      </c>
      <c r="AC1009" s="24" t="s">
        <v>2960</v>
      </c>
      <c r="AD1009" s="195">
        <v>8236.0</v>
      </c>
      <c r="AE1009" s="38"/>
      <c r="AF1009" s="234" t="str">
        <f t="shared" si="1"/>
        <v>Buenos Aires, Argentina</v>
      </c>
      <c r="AG1009" s="234">
        <f t="shared" si="2"/>
        <v>1</v>
      </c>
      <c r="AH1009" s="242">
        <f t="shared" si="3"/>
        <v>0</v>
      </c>
      <c r="AI1009" s="242">
        <f t="shared" si="4"/>
        <v>0</v>
      </c>
      <c r="AJ1009" s="241">
        <f t="shared" si="5"/>
        <v>58410</v>
      </c>
      <c r="AK1009" s="241">
        <f t="shared" si="6"/>
        <v>58410</v>
      </c>
      <c r="AL1009" s="243"/>
      <c r="AM1009" s="243"/>
    </row>
    <row r="1010">
      <c r="A1010" s="234">
        <v>1009.0</v>
      </c>
      <c r="B1010" s="235">
        <v>44771.0</v>
      </c>
      <c r="C1010" s="195" t="str">
        <f t="shared" si="9"/>
        <v>72022</v>
      </c>
      <c r="D1010" s="236" t="s">
        <v>2153</v>
      </c>
      <c r="E1010" s="234" t="s">
        <v>2154</v>
      </c>
      <c r="F1010" s="236" t="s">
        <v>2961</v>
      </c>
      <c r="G1010" s="234" t="s">
        <v>64</v>
      </c>
      <c r="H1010" s="234" t="s">
        <v>41</v>
      </c>
      <c r="I1010" s="234" t="s">
        <v>643</v>
      </c>
      <c r="J1010" s="237"/>
      <c r="K1010" s="237"/>
      <c r="L1010" s="237"/>
      <c r="M1010" s="237"/>
      <c r="N1010" s="237"/>
      <c r="O1010" s="237"/>
      <c r="P1010" s="237"/>
      <c r="Q1010" s="239"/>
      <c r="R1010" s="239"/>
      <c r="S1010" s="234" t="s">
        <v>65</v>
      </c>
      <c r="T1010" s="234" t="s">
        <v>66</v>
      </c>
      <c r="U1010" s="234" t="s">
        <v>99</v>
      </c>
      <c r="V1010" s="234" t="s">
        <v>2935</v>
      </c>
      <c r="W1010" s="241">
        <v>7605.0</v>
      </c>
      <c r="X1010" s="241">
        <v>34222.0</v>
      </c>
      <c r="Y1010" s="240"/>
      <c r="Z1010" s="240"/>
      <c r="AA1010" s="240"/>
      <c r="AB1010" s="240" t="s">
        <v>926</v>
      </c>
      <c r="AC1010" s="24" t="s">
        <v>2962</v>
      </c>
      <c r="AD1010" s="195">
        <v>8240.0</v>
      </c>
      <c r="AE1010" s="38"/>
      <c r="AF1010" s="234" t="str">
        <f t="shared" si="1"/>
        <v>Buenos Aires, Argentina</v>
      </c>
      <c r="AG1010" s="234">
        <f t="shared" si="2"/>
        <v>0</v>
      </c>
      <c r="AH1010" s="242">
        <f t="shared" si="3"/>
        <v>41827</v>
      </c>
      <c r="AI1010" s="242">
        <f t="shared" si="4"/>
        <v>0</v>
      </c>
      <c r="AJ1010" s="241">
        <f t="shared" si="5"/>
        <v>0</v>
      </c>
      <c r="AK1010" s="241">
        <f t="shared" si="6"/>
        <v>41827</v>
      </c>
      <c r="AL1010" s="243"/>
      <c r="AM1010" s="243"/>
    </row>
    <row r="1011">
      <c r="A1011" s="234">
        <v>1010.0</v>
      </c>
      <c r="B1011" s="235">
        <v>44771.0</v>
      </c>
      <c r="C1011" s="195" t="str">
        <f t="shared" si="9"/>
        <v>72022</v>
      </c>
      <c r="D1011" s="236" t="s">
        <v>2611</v>
      </c>
      <c r="E1011" s="234" t="s">
        <v>2612</v>
      </c>
      <c r="F1011" s="236" t="s">
        <v>2832</v>
      </c>
      <c r="G1011" s="234" t="s">
        <v>64</v>
      </c>
      <c r="H1011" s="234" t="s">
        <v>41</v>
      </c>
      <c r="I1011" s="234" t="s">
        <v>643</v>
      </c>
      <c r="J1011" s="237"/>
      <c r="K1011" s="237"/>
      <c r="L1011" s="237"/>
      <c r="M1011" s="237"/>
      <c r="N1011" s="237"/>
      <c r="O1011" s="237"/>
      <c r="P1011" s="237"/>
      <c r="Q1011" s="239"/>
      <c r="R1011" s="239"/>
      <c r="S1011" s="234" t="s">
        <v>98</v>
      </c>
      <c r="T1011" s="234" t="s">
        <v>2609</v>
      </c>
      <c r="U1011" s="234" t="s">
        <v>99</v>
      </c>
      <c r="V1011" s="234" t="s">
        <v>1984</v>
      </c>
      <c r="W1011" s="241">
        <v>16900.0</v>
      </c>
      <c r="X1011" s="241">
        <v>76050.0</v>
      </c>
      <c r="Y1011" s="240"/>
      <c r="Z1011" s="240"/>
      <c r="AA1011" s="240"/>
      <c r="AB1011" s="240" t="s">
        <v>926</v>
      </c>
      <c r="AC1011" s="24" t="s">
        <v>2963</v>
      </c>
      <c r="AD1011" s="195">
        <v>7746.0</v>
      </c>
      <c r="AE1011" s="38"/>
      <c r="AF1011" s="234" t="str">
        <f t="shared" si="1"/>
        <v>San Juan, Argentina</v>
      </c>
      <c r="AG1011" s="234">
        <f t="shared" si="2"/>
        <v>0</v>
      </c>
      <c r="AH1011" s="242">
        <f t="shared" si="3"/>
        <v>92950</v>
      </c>
      <c r="AI1011" s="242">
        <f t="shared" si="4"/>
        <v>0</v>
      </c>
      <c r="AJ1011" s="241">
        <f t="shared" si="5"/>
        <v>0</v>
      </c>
      <c r="AK1011" s="241">
        <f t="shared" si="6"/>
        <v>92950</v>
      </c>
      <c r="AL1011" s="243"/>
      <c r="AM1011" s="243"/>
    </row>
    <row r="1012">
      <c r="A1012" s="234">
        <v>1011.0</v>
      </c>
      <c r="B1012" s="235">
        <v>44771.0</v>
      </c>
      <c r="C1012" s="195" t="str">
        <f t="shared" si="9"/>
        <v>72022</v>
      </c>
      <c r="D1012" s="236" t="s">
        <v>2619</v>
      </c>
      <c r="E1012" s="234" t="s">
        <v>2620</v>
      </c>
      <c r="F1012" s="236" t="s">
        <v>1459</v>
      </c>
      <c r="G1012" s="234" t="s">
        <v>64</v>
      </c>
      <c r="H1012" s="234" t="s">
        <v>41</v>
      </c>
      <c r="I1012" s="234" t="s">
        <v>643</v>
      </c>
      <c r="J1012" s="237"/>
      <c r="K1012" s="238">
        <v>3.0</v>
      </c>
      <c r="L1012" s="237"/>
      <c r="M1012" s="237"/>
      <c r="N1012" s="237"/>
      <c r="O1012" s="237"/>
      <c r="P1012" s="237"/>
      <c r="Q1012" s="239"/>
      <c r="R1012" s="239"/>
      <c r="S1012" s="234" t="s">
        <v>105</v>
      </c>
      <c r="T1012" s="234" t="s">
        <v>66</v>
      </c>
      <c r="U1012" s="234" t="s">
        <v>99</v>
      </c>
      <c r="V1012" s="234" t="s">
        <v>2935</v>
      </c>
      <c r="W1012" s="240"/>
      <c r="X1012" s="240"/>
      <c r="Y1012" s="240"/>
      <c r="Z1012" s="240"/>
      <c r="AA1012" s="241">
        <v>26550.0</v>
      </c>
      <c r="AB1012" s="241">
        <v>106200.0</v>
      </c>
      <c r="AC1012" s="24" t="s">
        <v>2964</v>
      </c>
      <c r="AD1012" s="195">
        <v>8276.0</v>
      </c>
      <c r="AE1012" s="38"/>
      <c r="AF1012" s="234" t="str">
        <f t="shared" si="1"/>
        <v>Buenos Aires, Argentina</v>
      </c>
      <c r="AG1012" s="234">
        <f t="shared" si="2"/>
        <v>3</v>
      </c>
      <c r="AH1012" s="242">
        <f t="shared" si="3"/>
        <v>0</v>
      </c>
      <c r="AI1012" s="242">
        <f t="shared" si="4"/>
        <v>0</v>
      </c>
      <c r="AJ1012" s="241">
        <f t="shared" si="5"/>
        <v>132750</v>
      </c>
      <c r="AK1012" s="241">
        <f t="shared" si="6"/>
        <v>132750</v>
      </c>
      <c r="AL1012" s="243"/>
      <c r="AM1012" s="243"/>
    </row>
    <row r="1013">
      <c r="A1013" s="234">
        <v>1012.0</v>
      </c>
      <c r="B1013" s="235">
        <v>44771.0</v>
      </c>
      <c r="C1013" s="195" t="str">
        <f t="shared" si="9"/>
        <v>72022</v>
      </c>
      <c r="D1013" s="236" t="s">
        <v>2619</v>
      </c>
      <c r="E1013" s="234" t="s">
        <v>2620</v>
      </c>
      <c r="F1013" s="236" t="s">
        <v>2965</v>
      </c>
      <c r="G1013" s="234" t="s">
        <v>64</v>
      </c>
      <c r="H1013" s="234" t="s">
        <v>41</v>
      </c>
      <c r="I1013" s="234" t="s">
        <v>643</v>
      </c>
      <c r="J1013" s="237"/>
      <c r="K1013" s="238">
        <v>16.0</v>
      </c>
      <c r="L1013" s="237"/>
      <c r="M1013" s="237"/>
      <c r="N1013" s="237"/>
      <c r="O1013" s="237"/>
      <c r="P1013" s="237"/>
      <c r="Q1013" s="239"/>
      <c r="R1013" s="239"/>
      <c r="S1013" s="234" t="s">
        <v>105</v>
      </c>
      <c r="T1013" s="234" t="s">
        <v>66</v>
      </c>
      <c r="U1013" s="234" t="s">
        <v>99</v>
      </c>
      <c r="V1013" s="234" t="s">
        <v>2935</v>
      </c>
      <c r="W1013" s="240"/>
      <c r="X1013" s="240"/>
      <c r="Y1013" s="240"/>
      <c r="Z1013" s="240"/>
      <c r="AA1013" s="241">
        <v>141600.0</v>
      </c>
      <c r="AB1013" s="241">
        <v>566400.0</v>
      </c>
      <c r="AC1013" s="24" t="s">
        <v>2966</v>
      </c>
      <c r="AD1013" s="195">
        <v>8282.0</v>
      </c>
      <c r="AE1013" s="38"/>
      <c r="AF1013" s="234" t="str">
        <f t="shared" si="1"/>
        <v>Buenos Aires, Argentina</v>
      </c>
      <c r="AG1013" s="234">
        <f t="shared" si="2"/>
        <v>16</v>
      </c>
      <c r="AH1013" s="242">
        <f t="shared" si="3"/>
        <v>0</v>
      </c>
      <c r="AI1013" s="242">
        <f t="shared" si="4"/>
        <v>0</v>
      </c>
      <c r="AJ1013" s="241">
        <f t="shared" si="5"/>
        <v>708000</v>
      </c>
      <c r="AK1013" s="241">
        <f t="shared" si="6"/>
        <v>708000</v>
      </c>
      <c r="AL1013" s="243"/>
      <c r="AM1013" s="243"/>
    </row>
    <row r="1014">
      <c r="A1014" s="234">
        <v>1013.0</v>
      </c>
      <c r="B1014" s="235">
        <v>44771.0</v>
      </c>
      <c r="C1014" s="195" t="str">
        <f t="shared" si="9"/>
        <v>72022</v>
      </c>
      <c r="D1014" s="236" t="s">
        <v>1968</v>
      </c>
      <c r="E1014" s="234" t="s">
        <v>1969</v>
      </c>
      <c r="F1014" s="236" t="s">
        <v>2918</v>
      </c>
      <c r="G1014" s="234" t="s">
        <v>64</v>
      </c>
      <c r="H1014" s="234" t="s">
        <v>41</v>
      </c>
      <c r="I1014" s="234" t="s">
        <v>643</v>
      </c>
      <c r="J1014" s="237"/>
      <c r="K1014" s="237"/>
      <c r="L1014" s="237"/>
      <c r="M1014" s="237"/>
      <c r="N1014" s="237"/>
      <c r="O1014" s="237"/>
      <c r="P1014" s="237"/>
      <c r="Q1014" s="239"/>
      <c r="R1014" s="239"/>
      <c r="S1014" s="234" t="s">
        <v>105</v>
      </c>
      <c r="T1014" s="234" t="s">
        <v>66</v>
      </c>
      <c r="U1014" s="234" t="s">
        <v>99</v>
      </c>
      <c r="V1014" s="234" t="s">
        <v>2935</v>
      </c>
      <c r="W1014" s="240"/>
      <c r="X1014" s="240"/>
      <c r="Y1014" s="240"/>
      <c r="Z1014" s="240"/>
      <c r="AA1014" s="241">
        <v>0.0</v>
      </c>
      <c r="AB1014" s="241">
        <v>17700.0</v>
      </c>
      <c r="AC1014" s="24" t="s">
        <v>2967</v>
      </c>
      <c r="AD1014" s="195">
        <v>8290.0</v>
      </c>
      <c r="AE1014" s="38"/>
      <c r="AF1014" s="234" t="str">
        <f t="shared" si="1"/>
        <v>Buenos Aires, Argentina</v>
      </c>
      <c r="AG1014" s="234">
        <f t="shared" si="2"/>
        <v>0</v>
      </c>
      <c r="AH1014" s="242">
        <f t="shared" si="3"/>
        <v>0</v>
      </c>
      <c r="AI1014" s="242">
        <f t="shared" si="4"/>
        <v>0</v>
      </c>
      <c r="AJ1014" s="241">
        <f t="shared" si="5"/>
        <v>17700</v>
      </c>
      <c r="AK1014" s="241">
        <f t="shared" si="6"/>
        <v>17700</v>
      </c>
      <c r="AL1014" s="243"/>
      <c r="AM1014" s="243"/>
    </row>
    <row r="1015">
      <c r="A1015" s="234">
        <v>1014.0</v>
      </c>
      <c r="B1015" s="235">
        <v>44771.0</v>
      </c>
      <c r="C1015" s="195" t="str">
        <f t="shared" si="9"/>
        <v>72022</v>
      </c>
      <c r="D1015" s="236" t="s">
        <v>2968</v>
      </c>
      <c r="E1015" s="234" t="s">
        <v>2969</v>
      </c>
      <c r="F1015" s="236" t="s">
        <v>2056</v>
      </c>
      <c r="G1015" s="234" t="s">
        <v>40</v>
      </c>
      <c r="H1015" s="234" t="s">
        <v>547</v>
      </c>
      <c r="I1015" s="234" t="s">
        <v>42</v>
      </c>
      <c r="J1015" s="238">
        <v>1.0</v>
      </c>
      <c r="K1015" s="237"/>
      <c r="L1015" s="237"/>
      <c r="M1015" s="238">
        <v>1.0</v>
      </c>
      <c r="N1015" s="237"/>
      <c r="O1015" s="237"/>
      <c r="P1015" s="237"/>
      <c r="Q1015" s="239"/>
      <c r="R1015" s="239"/>
      <c r="S1015" s="234" t="s">
        <v>167</v>
      </c>
      <c r="T1015" s="234" t="s">
        <v>66</v>
      </c>
      <c r="U1015" s="234" t="s">
        <v>45</v>
      </c>
      <c r="V1015" s="234" t="s">
        <v>2862</v>
      </c>
      <c r="W1015" s="240"/>
      <c r="X1015" s="240"/>
      <c r="Y1015" s="240"/>
      <c r="Z1015" s="240"/>
      <c r="AA1015" s="241">
        <v>14160.0</v>
      </c>
      <c r="AB1015" s="241">
        <v>70092.0</v>
      </c>
      <c r="AC1015" s="24" t="s">
        <v>2970</v>
      </c>
      <c r="AD1015" s="195">
        <v>8112.0</v>
      </c>
      <c r="AE1015" s="38"/>
      <c r="AF1015" s="234" t="str">
        <f t="shared" si="1"/>
        <v>Buenos Aires, Argentina</v>
      </c>
      <c r="AG1015" s="234">
        <f t="shared" si="2"/>
        <v>2</v>
      </c>
      <c r="AH1015" s="242">
        <f t="shared" si="3"/>
        <v>0</v>
      </c>
      <c r="AI1015" s="242">
        <f t="shared" si="4"/>
        <v>0</v>
      </c>
      <c r="AJ1015" s="241">
        <f t="shared" si="5"/>
        <v>84252</v>
      </c>
      <c r="AK1015" s="241">
        <f t="shared" si="6"/>
        <v>84252</v>
      </c>
      <c r="AL1015" s="243"/>
      <c r="AM1015" s="243"/>
    </row>
    <row r="1016">
      <c r="A1016" s="234">
        <v>1015.0</v>
      </c>
      <c r="B1016" s="235">
        <v>44771.0</v>
      </c>
      <c r="C1016" s="195" t="str">
        <f t="shared" si="9"/>
        <v>72022</v>
      </c>
      <c r="D1016" s="236" t="s">
        <v>2971</v>
      </c>
      <c r="E1016" s="234" t="s">
        <v>2972</v>
      </c>
      <c r="F1016" s="236" t="s">
        <v>2973</v>
      </c>
      <c r="G1016" s="234" t="s">
        <v>64</v>
      </c>
      <c r="H1016" s="234" t="s">
        <v>41</v>
      </c>
      <c r="I1016" s="234" t="s">
        <v>643</v>
      </c>
      <c r="J1016" s="238">
        <v>1.0</v>
      </c>
      <c r="K1016" s="237"/>
      <c r="L1016" s="237"/>
      <c r="M1016" s="237"/>
      <c r="N1016" s="237"/>
      <c r="O1016" s="237"/>
      <c r="P1016" s="237"/>
      <c r="Q1016" s="239"/>
      <c r="R1016" s="239"/>
      <c r="S1016" s="234" t="s">
        <v>89</v>
      </c>
      <c r="T1016" s="234" t="s">
        <v>66</v>
      </c>
      <c r="U1016" s="234" t="s">
        <v>99</v>
      </c>
      <c r="V1016" s="234" t="s">
        <v>1984</v>
      </c>
      <c r="W1016" s="240"/>
      <c r="X1016" s="240"/>
      <c r="Y1016" s="240"/>
      <c r="Z1016" s="240"/>
      <c r="AA1016" s="241">
        <v>11800.0</v>
      </c>
      <c r="AB1016" s="241">
        <v>47200.0</v>
      </c>
      <c r="AC1016" s="24" t="s">
        <v>2974</v>
      </c>
      <c r="AD1016" s="195">
        <v>8296.0</v>
      </c>
      <c r="AE1016" s="38"/>
      <c r="AF1016" s="234" t="str">
        <f t="shared" si="1"/>
        <v>Buenos Aires, Argentina</v>
      </c>
      <c r="AG1016" s="234">
        <f t="shared" si="2"/>
        <v>1</v>
      </c>
      <c r="AH1016" s="242">
        <f t="shared" si="3"/>
        <v>0</v>
      </c>
      <c r="AI1016" s="242">
        <f t="shared" si="4"/>
        <v>0</v>
      </c>
      <c r="AJ1016" s="241">
        <f t="shared" si="5"/>
        <v>59000</v>
      </c>
      <c r="AK1016" s="241">
        <f t="shared" si="6"/>
        <v>59000</v>
      </c>
      <c r="AL1016" s="243"/>
      <c r="AM1016" s="243"/>
    </row>
    <row r="1017">
      <c r="A1017" s="234">
        <v>1016.0</v>
      </c>
      <c r="B1017" s="235">
        <v>44771.0</v>
      </c>
      <c r="C1017" s="195" t="str">
        <f t="shared" si="9"/>
        <v>72022</v>
      </c>
      <c r="D1017" s="236" t="s">
        <v>2975</v>
      </c>
      <c r="E1017" s="234" t="s">
        <v>2976</v>
      </c>
      <c r="F1017" s="236" t="s">
        <v>2977</v>
      </c>
      <c r="G1017" s="234" t="s">
        <v>40</v>
      </c>
      <c r="H1017" s="234" t="s">
        <v>41</v>
      </c>
      <c r="I1017" s="234" t="s">
        <v>42</v>
      </c>
      <c r="J1017" s="238">
        <v>1.0</v>
      </c>
      <c r="K1017" s="238">
        <v>2.0</v>
      </c>
      <c r="L1017" s="237"/>
      <c r="M1017" s="238">
        <v>1.0</v>
      </c>
      <c r="N1017" s="238">
        <v>1.0</v>
      </c>
      <c r="O1017" s="237"/>
      <c r="P1017" s="237"/>
      <c r="Q1017" s="239"/>
      <c r="R1017" s="239"/>
      <c r="S1017" s="234" t="s">
        <v>98</v>
      </c>
      <c r="T1017" s="234" t="s">
        <v>83</v>
      </c>
      <c r="U1017" s="234" t="s">
        <v>45</v>
      </c>
      <c r="V1017" s="234" t="s">
        <v>2862</v>
      </c>
      <c r="W1017" s="240"/>
      <c r="X1017" s="240"/>
      <c r="Y1017" s="240"/>
      <c r="Z1017" s="240"/>
      <c r="AA1017" s="241">
        <v>53100.0</v>
      </c>
      <c r="AB1017" s="241">
        <v>212400.0</v>
      </c>
      <c r="AC1017" s="24" t="s">
        <v>2978</v>
      </c>
      <c r="AD1017" s="195">
        <v>7962.0</v>
      </c>
      <c r="AE1017" s="38"/>
      <c r="AF1017" s="234" t="str">
        <f t="shared" si="1"/>
        <v>Capital Federal, Argentina</v>
      </c>
      <c r="AG1017" s="234">
        <f t="shared" si="2"/>
        <v>5</v>
      </c>
      <c r="AH1017" s="242">
        <f t="shared" si="3"/>
        <v>0</v>
      </c>
      <c r="AI1017" s="242">
        <f t="shared" si="4"/>
        <v>0</v>
      </c>
      <c r="AJ1017" s="241">
        <f t="shared" si="5"/>
        <v>265500</v>
      </c>
      <c r="AK1017" s="241">
        <f t="shared" si="6"/>
        <v>265500</v>
      </c>
      <c r="AL1017" s="243"/>
      <c r="AM1017" s="243"/>
    </row>
    <row r="1018">
      <c r="A1018" s="234">
        <v>1017.0</v>
      </c>
      <c r="B1018" s="235">
        <v>44771.0</v>
      </c>
      <c r="C1018" s="195" t="str">
        <f t="shared" si="9"/>
        <v>72022</v>
      </c>
      <c r="D1018" s="236" t="s">
        <v>2979</v>
      </c>
      <c r="E1018" s="234" t="s">
        <v>2980</v>
      </c>
      <c r="F1018" s="236" t="s">
        <v>2981</v>
      </c>
      <c r="G1018" s="234" t="s">
        <v>40</v>
      </c>
      <c r="H1018" s="234" t="s">
        <v>41</v>
      </c>
      <c r="I1018" s="234" t="s">
        <v>643</v>
      </c>
      <c r="J1018" s="238">
        <v>1.0</v>
      </c>
      <c r="K1018" s="238">
        <v>1.0</v>
      </c>
      <c r="L1018" s="237"/>
      <c r="M1018" s="237"/>
      <c r="N1018" s="238">
        <v>1.0</v>
      </c>
      <c r="O1018" s="237"/>
      <c r="P1018" s="237"/>
      <c r="Q1018" s="239"/>
      <c r="R1018" s="239"/>
      <c r="S1018" s="234" t="s">
        <v>72</v>
      </c>
      <c r="T1018" s="234" t="s">
        <v>83</v>
      </c>
      <c r="U1018" s="234" t="s">
        <v>45</v>
      </c>
      <c r="V1018" s="234" t="s">
        <v>2935</v>
      </c>
      <c r="W1018" s="240"/>
      <c r="X1018" s="240"/>
      <c r="Y1018" s="240"/>
      <c r="Z1018" s="240"/>
      <c r="AA1018" s="241">
        <v>32450.0</v>
      </c>
      <c r="AB1018" s="241">
        <v>129800.0</v>
      </c>
      <c r="AC1018" s="24" t="s">
        <v>2982</v>
      </c>
      <c r="AD1018" s="195">
        <v>8178.0</v>
      </c>
      <c r="AE1018" s="38"/>
      <c r="AF1018" s="234" t="str">
        <f t="shared" si="1"/>
        <v>Capital Federal, Argentina</v>
      </c>
      <c r="AG1018" s="234">
        <f t="shared" si="2"/>
        <v>3</v>
      </c>
      <c r="AH1018" s="242">
        <f t="shared" si="3"/>
        <v>0</v>
      </c>
      <c r="AI1018" s="242">
        <f t="shared" si="4"/>
        <v>0</v>
      </c>
      <c r="AJ1018" s="241">
        <f t="shared" si="5"/>
        <v>162250</v>
      </c>
      <c r="AK1018" s="241">
        <f t="shared" si="6"/>
        <v>162250</v>
      </c>
      <c r="AL1018" s="243"/>
      <c r="AM1018" s="243"/>
    </row>
    <row r="1019">
      <c r="A1019" s="298">
        <v>1018.0</v>
      </c>
      <c r="B1019" s="299">
        <v>44775.0</v>
      </c>
      <c r="C1019" s="195" t="str">
        <f t="shared" si="9"/>
        <v>82022</v>
      </c>
      <c r="D1019" s="300" t="s">
        <v>2772</v>
      </c>
      <c r="E1019" s="298" t="s">
        <v>2773</v>
      </c>
      <c r="F1019" s="300" t="s">
        <v>2983</v>
      </c>
      <c r="G1019" s="298" t="s">
        <v>64</v>
      </c>
      <c r="H1019" s="298" t="s">
        <v>41</v>
      </c>
      <c r="I1019" s="298" t="s">
        <v>643</v>
      </c>
      <c r="J1019" s="301"/>
      <c r="K1019" s="301"/>
      <c r="L1019" s="301"/>
      <c r="M1019" s="301"/>
      <c r="N1019" s="301"/>
      <c r="O1019" s="301"/>
      <c r="P1019" s="301"/>
      <c r="Q1019" s="302"/>
      <c r="R1019" s="302"/>
      <c r="S1019" s="298" t="s">
        <v>51</v>
      </c>
      <c r="T1019" s="298" t="s">
        <v>66</v>
      </c>
      <c r="U1019" s="298" t="s">
        <v>99</v>
      </c>
      <c r="V1019" s="298" t="s">
        <v>1984</v>
      </c>
      <c r="W1019" s="303"/>
      <c r="X1019" s="303"/>
      <c r="Y1019" s="303"/>
      <c r="Z1019" s="303"/>
      <c r="AA1019" s="304">
        <v>0.0</v>
      </c>
      <c r="AB1019" s="304">
        <v>36259.0</v>
      </c>
      <c r="AC1019" s="24" t="s">
        <v>2984</v>
      </c>
      <c r="AD1019" s="195">
        <v>8246.0</v>
      </c>
      <c r="AE1019" s="38"/>
      <c r="AF1019" s="298" t="str">
        <f t="shared" si="1"/>
        <v>Buenos Aires, Argentina</v>
      </c>
      <c r="AG1019" s="298">
        <f t="shared" si="2"/>
        <v>0</v>
      </c>
      <c r="AH1019" s="305">
        <f t="shared" si="3"/>
        <v>0</v>
      </c>
      <c r="AI1019" s="305">
        <f t="shared" si="4"/>
        <v>0</v>
      </c>
      <c r="AJ1019" s="304">
        <f t="shared" si="5"/>
        <v>36259</v>
      </c>
      <c r="AK1019" s="304">
        <f t="shared" si="6"/>
        <v>36259</v>
      </c>
      <c r="AL1019" s="306"/>
      <c r="AM1019" s="306"/>
    </row>
    <row r="1020">
      <c r="A1020" s="298">
        <v>1019.0</v>
      </c>
      <c r="B1020" s="299">
        <v>44783.0</v>
      </c>
      <c r="C1020" s="195" t="str">
        <f t="shared" si="9"/>
        <v>82022</v>
      </c>
      <c r="D1020" s="300" t="s">
        <v>2985</v>
      </c>
      <c r="E1020" s="298" t="s">
        <v>2986</v>
      </c>
      <c r="F1020" s="300" t="s">
        <v>2918</v>
      </c>
      <c r="G1020" s="298" t="s">
        <v>64</v>
      </c>
      <c r="H1020" s="298" t="s">
        <v>547</v>
      </c>
      <c r="I1020" s="298" t="s">
        <v>643</v>
      </c>
      <c r="J1020" s="301"/>
      <c r="K1020" s="301"/>
      <c r="L1020" s="301"/>
      <c r="M1020" s="301"/>
      <c r="N1020" s="301"/>
      <c r="O1020" s="301"/>
      <c r="P1020" s="301"/>
      <c r="Q1020" s="302"/>
      <c r="R1020" s="302"/>
      <c r="S1020" s="298" t="s">
        <v>105</v>
      </c>
      <c r="T1020" s="298" t="s">
        <v>83</v>
      </c>
      <c r="U1020" s="298" t="s">
        <v>99</v>
      </c>
      <c r="V1020" s="298" t="s">
        <v>1984</v>
      </c>
      <c r="W1020" s="303"/>
      <c r="X1020" s="303"/>
      <c r="Y1020" s="303"/>
      <c r="Z1020" s="303"/>
      <c r="AA1020" s="304">
        <v>0.0</v>
      </c>
      <c r="AB1020" s="304">
        <v>27972.0</v>
      </c>
      <c r="AC1020" s="24" t="s">
        <v>2987</v>
      </c>
      <c r="AD1020" s="195">
        <v>8234.0</v>
      </c>
      <c r="AE1020" s="38"/>
      <c r="AF1020" s="298" t="str">
        <f t="shared" si="1"/>
        <v>Capital Federal, Argentina</v>
      </c>
      <c r="AG1020" s="298">
        <f t="shared" si="2"/>
        <v>0</v>
      </c>
      <c r="AH1020" s="305">
        <f t="shared" si="3"/>
        <v>0</v>
      </c>
      <c r="AI1020" s="305">
        <f t="shared" si="4"/>
        <v>0</v>
      </c>
      <c r="AJ1020" s="304">
        <f t="shared" si="5"/>
        <v>27972</v>
      </c>
      <c r="AK1020" s="304">
        <f t="shared" si="6"/>
        <v>27972</v>
      </c>
      <c r="AL1020" s="306"/>
      <c r="AM1020" s="306"/>
    </row>
    <row r="1021">
      <c r="A1021" s="298">
        <v>1020.0</v>
      </c>
      <c r="B1021" s="299">
        <v>44791.0</v>
      </c>
      <c r="C1021" s="195" t="str">
        <f t="shared" si="9"/>
        <v>82022</v>
      </c>
      <c r="D1021" s="300" t="s">
        <v>2084</v>
      </c>
      <c r="E1021" s="298" t="s">
        <v>2085</v>
      </c>
      <c r="F1021" s="300" t="s">
        <v>1423</v>
      </c>
      <c r="G1021" s="298" t="s">
        <v>64</v>
      </c>
      <c r="H1021" s="298" t="s">
        <v>41</v>
      </c>
      <c r="I1021" s="298" t="s">
        <v>643</v>
      </c>
      <c r="J1021" s="307">
        <v>1.0</v>
      </c>
      <c r="K1021" s="301"/>
      <c r="L1021" s="301"/>
      <c r="M1021" s="301"/>
      <c r="N1021" s="301"/>
      <c r="O1021" s="301"/>
      <c r="P1021" s="301"/>
      <c r="Q1021" s="302"/>
      <c r="R1021" s="302"/>
      <c r="S1021" s="298" t="s">
        <v>167</v>
      </c>
      <c r="T1021" s="298" t="s">
        <v>83</v>
      </c>
      <c r="U1021" s="298" t="s">
        <v>99</v>
      </c>
      <c r="V1021" s="298" t="s">
        <v>1984</v>
      </c>
      <c r="W1021" s="303"/>
      <c r="X1021" s="303"/>
      <c r="Y1021" s="303"/>
      <c r="Z1021" s="303"/>
      <c r="AA1021" s="304">
        <v>12950.0</v>
      </c>
      <c r="AB1021" s="304">
        <v>51800.0</v>
      </c>
      <c r="AC1021" s="24" t="s">
        <v>2988</v>
      </c>
      <c r="AD1021" s="195">
        <v>8380.0</v>
      </c>
      <c r="AE1021" s="38"/>
      <c r="AF1021" s="298" t="str">
        <f t="shared" si="1"/>
        <v>Capital Federal, Argentina</v>
      </c>
      <c r="AG1021" s="298">
        <f t="shared" si="2"/>
        <v>1</v>
      </c>
      <c r="AH1021" s="305">
        <f t="shared" si="3"/>
        <v>0</v>
      </c>
      <c r="AI1021" s="305">
        <f t="shared" si="4"/>
        <v>0</v>
      </c>
      <c r="AJ1021" s="304">
        <f t="shared" si="5"/>
        <v>64750</v>
      </c>
      <c r="AK1021" s="304">
        <f t="shared" si="6"/>
        <v>64750</v>
      </c>
      <c r="AL1021" s="306"/>
      <c r="AM1021" s="306"/>
    </row>
    <row r="1022">
      <c r="A1022" s="298">
        <v>1021.0</v>
      </c>
      <c r="B1022" s="299">
        <v>44797.0</v>
      </c>
      <c r="C1022" s="195" t="str">
        <f t="shared" si="9"/>
        <v>82022</v>
      </c>
      <c r="D1022" s="300" t="s">
        <v>2989</v>
      </c>
      <c r="E1022" s="298" t="s">
        <v>2990</v>
      </c>
      <c r="F1022" s="300" t="s">
        <v>2991</v>
      </c>
      <c r="G1022" s="298" t="s">
        <v>40</v>
      </c>
      <c r="H1022" s="298" t="s">
        <v>41</v>
      </c>
      <c r="I1022" s="298" t="s">
        <v>42</v>
      </c>
      <c r="J1022" s="307">
        <v>1.0</v>
      </c>
      <c r="K1022" s="307">
        <v>4.0</v>
      </c>
      <c r="L1022" s="301"/>
      <c r="M1022" s="307">
        <v>1.0</v>
      </c>
      <c r="N1022" s="301"/>
      <c r="O1022" s="301"/>
      <c r="P1022" s="301"/>
      <c r="Q1022" s="302"/>
      <c r="R1022" s="302"/>
      <c r="S1022" s="298" t="s">
        <v>72</v>
      </c>
      <c r="T1022" s="298" t="s">
        <v>66</v>
      </c>
      <c r="U1022" s="298" t="s">
        <v>45</v>
      </c>
      <c r="V1022" s="298" t="s">
        <v>2922</v>
      </c>
      <c r="W1022" s="303"/>
      <c r="X1022" s="303"/>
      <c r="Y1022" s="303"/>
      <c r="Z1022" s="303"/>
      <c r="AA1022" s="304">
        <v>64748.0</v>
      </c>
      <c r="AB1022" s="304">
        <v>258992.0</v>
      </c>
      <c r="AC1022" s="24" t="s">
        <v>2992</v>
      </c>
      <c r="AD1022" s="195">
        <v>8410.0</v>
      </c>
      <c r="AE1022" s="38"/>
      <c r="AF1022" s="298" t="str">
        <f t="shared" si="1"/>
        <v>Buenos Aires, Argentina</v>
      </c>
      <c r="AG1022" s="298">
        <f t="shared" si="2"/>
        <v>6</v>
      </c>
      <c r="AH1022" s="305">
        <f t="shared" si="3"/>
        <v>0</v>
      </c>
      <c r="AI1022" s="305">
        <f t="shared" si="4"/>
        <v>0</v>
      </c>
      <c r="AJ1022" s="304">
        <f t="shared" si="5"/>
        <v>323740</v>
      </c>
      <c r="AK1022" s="304">
        <f t="shared" si="6"/>
        <v>323740</v>
      </c>
      <c r="AL1022" s="306"/>
      <c r="AM1022" s="306"/>
    </row>
    <row r="1023">
      <c r="A1023" s="298">
        <v>1022.0</v>
      </c>
      <c r="B1023" s="299">
        <v>44797.0</v>
      </c>
      <c r="C1023" s="195" t="str">
        <f t="shared" si="9"/>
        <v>82022</v>
      </c>
      <c r="D1023" s="300" t="s">
        <v>2993</v>
      </c>
      <c r="E1023" s="298" t="s">
        <v>2847</v>
      </c>
      <c r="F1023" s="300" t="s">
        <v>1423</v>
      </c>
      <c r="G1023" s="298" t="s">
        <v>64</v>
      </c>
      <c r="H1023" s="298" t="s">
        <v>547</v>
      </c>
      <c r="I1023" s="298" t="s">
        <v>643</v>
      </c>
      <c r="J1023" s="307">
        <v>1.0</v>
      </c>
      <c r="K1023" s="301"/>
      <c r="L1023" s="301"/>
      <c r="M1023" s="301"/>
      <c r="N1023" s="301"/>
      <c r="O1023" s="301"/>
      <c r="P1023" s="301"/>
      <c r="Q1023" s="302"/>
      <c r="R1023" s="302"/>
      <c r="S1023" s="298" t="s">
        <v>114</v>
      </c>
      <c r="T1023" s="298" t="s">
        <v>83</v>
      </c>
      <c r="U1023" s="298" t="s">
        <v>99</v>
      </c>
      <c r="V1023" s="298" t="s">
        <v>1984</v>
      </c>
      <c r="W1023" s="303"/>
      <c r="X1023" s="303"/>
      <c r="Y1023" s="303"/>
      <c r="Z1023" s="303"/>
      <c r="AA1023" s="304">
        <v>7770.0</v>
      </c>
      <c r="AB1023" s="304">
        <v>31080.0</v>
      </c>
      <c r="AC1023" s="24" t="s">
        <v>2994</v>
      </c>
      <c r="AD1023" s="195">
        <v>8404.0</v>
      </c>
      <c r="AE1023" s="38"/>
      <c r="AF1023" s="298" t="str">
        <f t="shared" si="1"/>
        <v>Capital Federal, Argentina</v>
      </c>
      <c r="AG1023" s="298">
        <f t="shared" si="2"/>
        <v>1</v>
      </c>
      <c r="AH1023" s="305">
        <f t="shared" si="3"/>
        <v>0</v>
      </c>
      <c r="AI1023" s="305">
        <f t="shared" si="4"/>
        <v>0</v>
      </c>
      <c r="AJ1023" s="304">
        <f t="shared" si="5"/>
        <v>38850</v>
      </c>
      <c r="AK1023" s="304">
        <f t="shared" si="6"/>
        <v>38850</v>
      </c>
      <c r="AL1023" s="306"/>
      <c r="AM1023" s="306"/>
    </row>
    <row r="1024">
      <c r="A1024" s="298">
        <v>1023.0</v>
      </c>
      <c r="B1024" s="299">
        <v>44797.0</v>
      </c>
      <c r="C1024" s="195" t="str">
        <f t="shared" si="9"/>
        <v>82022</v>
      </c>
      <c r="D1024" s="300" t="s">
        <v>2291</v>
      </c>
      <c r="E1024" s="298" t="s">
        <v>2995</v>
      </c>
      <c r="F1024" s="300" t="s">
        <v>1412</v>
      </c>
      <c r="G1024" s="298" t="s">
        <v>64</v>
      </c>
      <c r="H1024" s="298" t="s">
        <v>41</v>
      </c>
      <c r="I1024" s="298" t="s">
        <v>643</v>
      </c>
      <c r="J1024" s="307">
        <v>2.0</v>
      </c>
      <c r="K1024" s="301"/>
      <c r="L1024" s="301"/>
      <c r="M1024" s="301"/>
      <c r="N1024" s="301"/>
      <c r="O1024" s="301"/>
      <c r="P1024" s="301"/>
      <c r="Q1024" s="302"/>
      <c r="R1024" s="302"/>
      <c r="S1024" s="298" t="s">
        <v>43</v>
      </c>
      <c r="T1024" s="298" t="s">
        <v>83</v>
      </c>
      <c r="U1024" s="298" t="s">
        <v>99</v>
      </c>
      <c r="V1024" s="298" t="s">
        <v>1984</v>
      </c>
      <c r="W1024" s="303"/>
      <c r="X1024" s="303"/>
      <c r="Y1024" s="303"/>
      <c r="Z1024" s="303"/>
      <c r="AA1024" s="304">
        <v>25900.0</v>
      </c>
      <c r="AB1024" s="304">
        <v>103600.0</v>
      </c>
      <c r="AC1024" s="24" t="s">
        <v>2996</v>
      </c>
      <c r="AD1024" s="195">
        <v>8382.0</v>
      </c>
      <c r="AE1024" s="38"/>
      <c r="AF1024" s="298" t="str">
        <f t="shared" si="1"/>
        <v>Capital Federal, Argentina</v>
      </c>
      <c r="AG1024" s="298">
        <f t="shared" si="2"/>
        <v>2</v>
      </c>
      <c r="AH1024" s="305">
        <f t="shared" si="3"/>
        <v>0</v>
      </c>
      <c r="AI1024" s="305">
        <f t="shared" si="4"/>
        <v>0</v>
      </c>
      <c r="AJ1024" s="304">
        <f t="shared" si="5"/>
        <v>129500</v>
      </c>
      <c r="AK1024" s="304">
        <f t="shared" si="6"/>
        <v>129500</v>
      </c>
      <c r="AL1024" s="306"/>
      <c r="AM1024" s="306"/>
    </row>
    <row r="1025">
      <c r="A1025" s="298">
        <v>1024.0</v>
      </c>
      <c r="B1025" s="299">
        <v>44797.0</v>
      </c>
      <c r="C1025" s="195" t="str">
        <f t="shared" si="9"/>
        <v>82022</v>
      </c>
      <c r="D1025" s="300" t="s">
        <v>2688</v>
      </c>
      <c r="E1025" s="298" t="s">
        <v>2689</v>
      </c>
      <c r="F1025" s="300" t="s">
        <v>2997</v>
      </c>
      <c r="G1025" s="298" t="s">
        <v>64</v>
      </c>
      <c r="H1025" s="298" t="s">
        <v>41</v>
      </c>
      <c r="I1025" s="298" t="s">
        <v>643</v>
      </c>
      <c r="J1025" s="301"/>
      <c r="K1025" s="301"/>
      <c r="L1025" s="301"/>
      <c r="M1025" s="301"/>
      <c r="N1025" s="301"/>
      <c r="O1025" s="301"/>
      <c r="P1025" s="301"/>
      <c r="Q1025" s="302"/>
      <c r="R1025" s="302"/>
      <c r="S1025" s="298" t="s">
        <v>65</v>
      </c>
      <c r="T1025" s="298" t="s">
        <v>58</v>
      </c>
      <c r="U1025" s="298" t="s">
        <v>99</v>
      </c>
      <c r="V1025" s="298" t="s">
        <v>1984</v>
      </c>
      <c r="W1025" s="303"/>
      <c r="X1025" s="303"/>
      <c r="Y1025" s="303"/>
      <c r="Z1025" s="303"/>
      <c r="AA1025" s="304">
        <v>0.0</v>
      </c>
      <c r="AB1025" s="304">
        <v>103600.0</v>
      </c>
      <c r="AC1025" s="24" t="s">
        <v>2998</v>
      </c>
      <c r="AD1025" s="195">
        <v>8412.0</v>
      </c>
      <c r="AE1025" s="38"/>
      <c r="AF1025" s="298" t="str">
        <f t="shared" si="1"/>
        <v>Córdoba, Argentina</v>
      </c>
      <c r="AG1025" s="298">
        <f t="shared" si="2"/>
        <v>0</v>
      </c>
      <c r="AH1025" s="305">
        <f t="shared" si="3"/>
        <v>0</v>
      </c>
      <c r="AI1025" s="305">
        <f t="shared" si="4"/>
        <v>0</v>
      </c>
      <c r="AJ1025" s="304">
        <f t="shared" si="5"/>
        <v>103600</v>
      </c>
      <c r="AK1025" s="304">
        <f t="shared" si="6"/>
        <v>103600</v>
      </c>
      <c r="AL1025" s="306"/>
      <c r="AM1025" s="306"/>
    </row>
    <row r="1026">
      <c r="A1026" s="298">
        <v>1025.0</v>
      </c>
      <c r="B1026" s="299">
        <v>44797.0</v>
      </c>
      <c r="C1026" s="195" t="str">
        <f t="shared" si="9"/>
        <v>82022</v>
      </c>
      <c r="D1026" s="300" t="s">
        <v>2688</v>
      </c>
      <c r="E1026" s="298" t="s">
        <v>2689</v>
      </c>
      <c r="F1026" s="300" t="s">
        <v>2999</v>
      </c>
      <c r="G1026" s="298" t="s">
        <v>64</v>
      </c>
      <c r="H1026" s="298" t="s">
        <v>41</v>
      </c>
      <c r="I1026" s="298" t="s">
        <v>643</v>
      </c>
      <c r="J1026" s="301"/>
      <c r="K1026" s="301"/>
      <c r="L1026" s="301"/>
      <c r="M1026" s="301"/>
      <c r="N1026" s="301"/>
      <c r="O1026" s="301"/>
      <c r="P1026" s="301"/>
      <c r="Q1026" s="302"/>
      <c r="R1026" s="302"/>
      <c r="S1026" s="298" t="s">
        <v>65</v>
      </c>
      <c r="T1026" s="298" t="s">
        <v>58</v>
      </c>
      <c r="U1026" s="298" t="s">
        <v>99</v>
      </c>
      <c r="V1026" s="298" t="s">
        <v>1984</v>
      </c>
      <c r="W1026" s="303"/>
      <c r="X1026" s="303"/>
      <c r="Y1026" s="303"/>
      <c r="Z1026" s="303"/>
      <c r="AA1026" s="304">
        <v>0.0</v>
      </c>
      <c r="AB1026" s="304">
        <v>84147.0</v>
      </c>
      <c r="AC1026" s="24" t="s">
        <v>3000</v>
      </c>
      <c r="AD1026" s="195">
        <v>8058.0</v>
      </c>
      <c r="AE1026" s="38"/>
      <c r="AF1026" s="298" t="str">
        <f t="shared" si="1"/>
        <v>Córdoba, Argentina</v>
      </c>
      <c r="AG1026" s="298">
        <f t="shared" si="2"/>
        <v>0</v>
      </c>
      <c r="AH1026" s="305">
        <f t="shared" si="3"/>
        <v>0</v>
      </c>
      <c r="AI1026" s="305">
        <f t="shared" si="4"/>
        <v>0</v>
      </c>
      <c r="AJ1026" s="304">
        <f t="shared" si="5"/>
        <v>84147</v>
      </c>
      <c r="AK1026" s="304">
        <f t="shared" si="6"/>
        <v>84147</v>
      </c>
      <c r="AL1026" s="306"/>
      <c r="AM1026" s="306"/>
    </row>
    <row r="1027">
      <c r="A1027" s="298">
        <v>1026.0</v>
      </c>
      <c r="B1027" s="299">
        <v>44803.0</v>
      </c>
      <c r="C1027" s="195" t="str">
        <f t="shared" si="9"/>
        <v>82022</v>
      </c>
      <c r="D1027" s="300" t="s">
        <v>1783</v>
      </c>
      <c r="E1027" s="298" t="s">
        <v>1784</v>
      </c>
      <c r="F1027" s="300" t="s">
        <v>1412</v>
      </c>
      <c r="G1027" s="298" t="s">
        <v>64</v>
      </c>
      <c r="H1027" s="298" t="s">
        <v>41</v>
      </c>
      <c r="I1027" s="298" t="s">
        <v>643</v>
      </c>
      <c r="J1027" s="307">
        <v>2.0</v>
      </c>
      <c r="K1027" s="301"/>
      <c r="L1027" s="301"/>
      <c r="M1027" s="301"/>
      <c r="N1027" s="301"/>
      <c r="O1027" s="301"/>
      <c r="P1027" s="301"/>
      <c r="Q1027" s="302"/>
      <c r="R1027" s="302"/>
      <c r="S1027" s="298" t="s">
        <v>65</v>
      </c>
      <c r="T1027" s="298" t="s">
        <v>66</v>
      </c>
      <c r="U1027" s="298" t="s">
        <v>99</v>
      </c>
      <c r="V1027" s="298" t="s">
        <v>1984</v>
      </c>
      <c r="W1027" s="303"/>
      <c r="X1027" s="303"/>
      <c r="Y1027" s="303"/>
      <c r="Z1027" s="303"/>
      <c r="AA1027" s="304">
        <v>23310.0</v>
      </c>
      <c r="AB1027" s="304">
        <v>93240.0</v>
      </c>
      <c r="AC1027" s="24" t="s">
        <v>3001</v>
      </c>
      <c r="AD1027" s="195">
        <v>8374.0</v>
      </c>
      <c r="AE1027" s="38"/>
      <c r="AF1027" s="298" t="str">
        <f t="shared" si="1"/>
        <v>Buenos Aires, Argentina</v>
      </c>
      <c r="AG1027" s="298">
        <f t="shared" si="2"/>
        <v>2</v>
      </c>
      <c r="AH1027" s="305">
        <f t="shared" si="3"/>
        <v>0</v>
      </c>
      <c r="AI1027" s="305">
        <f t="shared" si="4"/>
        <v>0</v>
      </c>
      <c r="AJ1027" s="304">
        <f t="shared" si="5"/>
        <v>116550</v>
      </c>
      <c r="AK1027" s="304">
        <f t="shared" si="6"/>
        <v>116550</v>
      </c>
      <c r="AL1027" s="306"/>
      <c r="AM1027" s="306"/>
    </row>
    <row r="1028">
      <c r="A1028" s="298">
        <v>1027.0</v>
      </c>
      <c r="B1028" s="299">
        <v>44803.0</v>
      </c>
      <c r="C1028" s="195" t="str">
        <f t="shared" si="9"/>
        <v>82022</v>
      </c>
      <c r="D1028" s="300" t="s">
        <v>2590</v>
      </c>
      <c r="E1028" s="298" t="s">
        <v>2591</v>
      </c>
      <c r="F1028" s="300" t="s">
        <v>1592</v>
      </c>
      <c r="G1028" s="298" t="s">
        <v>64</v>
      </c>
      <c r="H1028" s="298" t="s">
        <v>41</v>
      </c>
      <c r="I1028" s="298" t="s">
        <v>643</v>
      </c>
      <c r="J1028" s="307">
        <v>1.0</v>
      </c>
      <c r="K1028" s="307">
        <v>1.0</v>
      </c>
      <c r="L1028" s="301"/>
      <c r="M1028" s="301"/>
      <c r="N1028" s="301"/>
      <c r="O1028" s="301"/>
      <c r="P1028" s="301"/>
      <c r="Q1028" s="302"/>
      <c r="R1028" s="302"/>
      <c r="S1028" s="298" t="s">
        <v>137</v>
      </c>
      <c r="T1028" s="298" t="s">
        <v>66</v>
      </c>
      <c r="U1028" s="298" t="s">
        <v>99</v>
      </c>
      <c r="V1028" s="298" t="s">
        <v>1984</v>
      </c>
      <c r="W1028" s="303"/>
      <c r="X1028" s="303"/>
      <c r="Y1028" s="303"/>
      <c r="Z1028" s="303"/>
      <c r="AA1028" s="304">
        <v>22662.0</v>
      </c>
      <c r="AB1028" s="304">
        <v>67048.0</v>
      </c>
      <c r="AC1028" s="24" t="s">
        <v>3002</v>
      </c>
      <c r="AD1028" s="195">
        <v>8444.0</v>
      </c>
      <c r="AE1028" s="38"/>
      <c r="AF1028" s="298" t="str">
        <f t="shared" si="1"/>
        <v>Buenos Aires, Argentina</v>
      </c>
      <c r="AG1028" s="298">
        <f t="shared" si="2"/>
        <v>2</v>
      </c>
      <c r="AH1028" s="305">
        <f t="shared" si="3"/>
        <v>0</v>
      </c>
      <c r="AI1028" s="305">
        <f t="shared" si="4"/>
        <v>0</v>
      </c>
      <c r="AJ1028" s="304">
        <f t="shared" si="5"/>
        <v>89710</v>
      </c>
      <c r="AK1028" s="304">
        <f t="shared" si="6"/>
        <v>89710</v>
      </c>
      <c r="AL1028" s="306"/>
      <c r="AM1028" s="306"/>
    </row>
    <row r="1029">
      <c r="A1029" s="298">
        <v>1028.0</v>
      </c>
      <c r="B1029" s="299">
        <v>44803.0</v>
      </c>
      <c r="C1029" s="195" t="str">
        <f t="shared" si="9"/>
        <v>82022</v>
      </c>
      <c r="D1029" s="300" t="s">
        <v>3003</v>
      </c>
      <c r="E1029" s="298" t="s">
        <v>3004</v>
      </c>
      <c r="F1029" s="300" t="s">
        <v>1415</v>
      </c>
      <c r="G1029" s="298" t="s">
        <v>64</v>
      </c>
      <c r="H1029" s="298" t="s">
        <v>41</v>
      </c>
      <c r="I1029" s="298" t="s">
        <v>643</v>
      </c>
      <c r="J1029" s="301"/>
      <c r="K1029" s="307">
        <v>1.0</v>
      </c>
      <c r="L1029" s="301"/>
      <c r="M1029" s="301"/>
      <c r="N1029" s="301"/>
      <c r="O1029" s="301"/>
      <c r="P1029" s="301"/>
      <c r="Q1029" s="302"/>
      <c r="R1029" s="302"/>
      <c r="S1029" s="298" t="s">
        <v>43</v>
      </c>
      <c r="T1029" s="298" t="s">
        <v>3005</v>
      </c>
      <c r="U1029" s="298" t="s">
        <v>99</v>
      </c>
      <c r="V1029" s="298" t="s">
        <v>1984</v>
      </c>
      <c r="W1029" s="303"/>
      <c r="X1029" s="303"/>
      <c r="Y1029" s="303"/>
      <c r="Z1029" s="303"/>
      <c r="AA1029" s="304">
        <v>9712.0</v>
      </c>
      <c r="AB1029" s="304">
        <v>38848.0</v>
      </c>
      <c r="AC1029" s="24" t="s">
        <v>3006</v>
      </c>
      <c r="AD1029" s="195">
        <v>8446.0</v>
      </c>
      <c r="AE1029" s="38"/>
      <c r="AF1029" s="298" t="str">
        <f t="shared" si="1"/>
        <v>Santa Cruz, Argentina</v>
      </c>
      <c r="AG1029" s="298">
        <f t="shared" si="2"/>
        <v>1</v>
      </c>
      <c r="AH1029" s="305">
        <f t="shared" si="3"/>
        <v>0</v>
      </c>
      <c r="AI1029" s="305">
        <f t="shared" si="4"/>
        <v>0</v>
      </c>
      <c r="AJ1029" s="304">
        <f t="shared" si="5"/>
        <v>48560</v>
      </c>
      <c r="AK1029" s="304">
        <f t="shared" si="6"/>
        <v>48560</v>
      </c>
      <c r="AL1029" s="306"/>
      <c r="AM1029" s="306"/>
    </row>
    <row r="1030">
      <c r="A1030" s="298">
        <v>1029.0</v>
      </c>
      <c r="B1030" s="299">
        <v>44804.0</v>
      </c>
      <c r="C1030" s="195" t="str">
        <f t="shared" si="9"/>
        <v>82022</v>
      </c>
      <c r="D1030" s="300" t="s">
        <v>3007</v>
      </c>
      <c r="E1030" s="298" t="s">
        <v>3008</v>
      </c>
      <c r="F1030" s="300" t="s">
        <v>1878</v>
      </c>
      <c r="G1030" s="298" t="s">
        <v>64</v>
      </c>
      <c r="H1030" s="298" t="s">
        <v>41</v>
      </c>
      <c r="I1030" s="298" t="s">
        <v>643</v>
      </c>
      <c r="J1030" s="301"/>
      <c r="K1030" s="301"/>
      <c r="L1030" s="301"/>
      <c r="M1030" s="301"/>
      <c r="N1030" s="307">
        <v>1.0</v>
      </c>
      <c r="O1030" s="301"/>
      <c r="P1030" s="301"/>
      <c r="Q1030" s="302"/>
      <c r="R1030" s="302"/>
      <c r="S1030" s="298" t="s">
        <v>51</v>
      </c>
      <c r="T1030" s="298" t="s">
        <v>66</v>
      </c>
      <c r="U1030" s="298" t="s">
        <v>99</v>
      </c>
      <c r="V1030" s="298" t="s">
        <v>2935</v>
      </c>
      <c r="W1030" s="303"/>
      <c r="X1030" s="303"/>
      <c r="Y1030" s="303"/>
      <c r="Z1030" s="303"/>
      <c r="AA1030" s="304">
        <v>12950.0</v>
      </c>
      <c r="AB1030" s="304">
        <v>64750.0</v>
      </c>
      <c r="AC1030" s="24" t="s">
        <v>3009</v>
      </c>
      <c r="AD1030" s="195">
        <v>7396.0</v>
      </c>
      <c r="AE1030" s="38"/>
      <c r="AF1030" s="298" t="str">
        <f t="shared" si="1"/>
        <v>Buenos Aires, Argentina</v>
      </c>
      <c r="AG1030" s="298">
        <f t="shared" si="2"/>
        <v>1</v>
      </c>
      <c r="AH1030" s="305">
        <f t="shared" si="3"/>
        <v>0</v>
      </c>
      <c r="AI1030" s="305">
        <f t="shared" si="4"/>
        <v>0</v>
      </c>
      <c r="AJ1030" s="304">
        <f t="shared" si="5"/>
        <v>77700</v>
      </c>
      <c r="AK1030" s="304">
        <f t="shared" si="6"/>
        <v>77700</v>
      </c>
      <c r="AL1030" s="306"/>
      <c r="AM1030" s="306"/>
    </row>
    <row r="1031">
      <c r="A1031" s="298">
        <v>1030.0</v>
      </c>
      <c r="B1031" s="299">
        <v>44804.0</v>
      </c>
      <c r="C1031" s="195" t="str">
        <f t="shared" si="9"/>
        <v>82022</v>
      </c>
      <c r="D1031" s="300" t="s">
        <v>3007</v>
      </c>
      <c r="E1031" s="298" t="s">
        <v>3008</v>
      </c>
      <c r="F1031" s="300" t="s">
        <v>3010</v>
      </c>
      <c r="G1031" s="298" t="s">
        <v>64</v>
      </c>
      <c r="H1031" s="298" t="s">
        <v>41</v>
      </c>
      <c r="I1031" s="298" t="s">
        <v>643</v>
      </c>
      <c r="J1031" s="301"/>
      <c r="K1031" s="301"/>
      <c r="L1031" s="301"/>
      <c r="M1031" s="301"/>
      <c r="N1031" s="301"/>
      <c r="O1031" s="301"/>
      <c r="P1031" s="301"/>
      <c r="Q1031" s="302"/>
      <c r="R1031" s="302"/>
      <c r="S1031" s="298" t="s">
        <v>51</v>
      </c>
      <c r="T1031" s="298" t="s">
        <v>66</v>
      </c>
      <c r="U1031" s="298" t="s">
        <v>99</v>
      </c>
      <c r="V1031" s="298" t="s">
        <v>2935</v>
      </c>
      <c r="W1031" s="304">
        <v>46500.0</v>
      </c>
      <c r="X1031" s="304">
        <v>1676000.0</v>
      </c>
      <c r="Y1031" s="303"/>
      <c r="Z1031" s="303"/>
      <c r="AA1031" s="304">
        <v>0.0</v>
      </c>
      <c r="AB1031" s="304">
        <v>0.0</v>
      </c>
      <c r="AC1031" s="24" t="s">
        <v>3011</v>
      </c>
      <c r="AD1031" s="195">
        <v>8478.0</v>
      </c>
      <c r="AE1031" s="38"/>
      <c r="AF1031" s="298" t="str">
        <f t="shared" si="1"/>
        <v>Buenos Aires, Argentina</v>
      </c>
      <c r="AG1031" s="298">
        <f t="shared" si="2"/>
        <v>0</v>
      </c>
      <c r="AH1031" s="305">
        <f t="shared" si="3"/>
        <v>1722500</v>
      </c>
      <c r="AI1031" s="305">
        <f t="shared" si="4"/>
        <v>0</v>
      </c>
      <c r="AJ1031" s="304">
        <f t="shared" si="5"/>
        <v>0</v>
      </c>
      <c r="AK1031" s="304">
        <f t="shared" si="6"/>
        <v>1722500</v>
      </c>
      <c r="AL1031" s="306"/>
      <c r="AM1031" s="306"/>
    </row>
    <row r="1032">
      <c r="A1032" s="298">
        <v>1031.0</v>
      </c>
      <c r="B1032" s="299">
        <v>44804.0</v>
      </c>
      <c r="C1032" s="195" t="str">
        <f t="shared" si="9"/>
        <v>82022</v>
      </c>
      <c r="D1032" s="300" t="s">
        <v>1328</v>
      </c>
      <c r="E1032" s="298" t="s">
        <v>1962</v>
      </c>
      <c r="F1032" s="300" t="s">
        <v>1412</v>
      </c>
      <c r="G1032" s="298" t="s">
        <v>64</v>
      </c>
      <c r="H1032" s="298" t="s">
        <v>227</v>
      </c>
      <c r="I1032" s="298" t="s">
        <v>643</v>
      </c>
      <c r="J1032" s="307">
        <v>2.0</v>
      </c>
      <c r="K1032" s="301"/>
      <c r="L1032" s="301"/>
      <c r="M1032" s="301"/>
      <c r="N1032" s="301"/>
      <c r="O1032" s="301"/>
      <c r="P1032" s="301"/>
      <c r="Q1032" s="302"/>
      <c r="R1032" s="302"/>
      <c r="S1032" s="298" t="s">
        <v>89</v>
      </c>
      <c r="T1032" s="298" t="s">
        <v>83</v>
      </c>
      <c r="U1032" s="298" t="s">
        <v>99</v>
      </c>
      <c r="V1032" s="298" t="s">
        <v>1984</v>
      </c>
      <c r="W1032" s="303"/>
      <c r="X1032" s="303"/>
      <c r="Y1032" s="303"/>
      <c r="Z1032" s="303"/>
      <c r="AA1032" s="304">
        <v>38850.0</v>
      </c>
      <c r="AB1032" s="304">
        <v>233099.0</v>
      </c>
      <c r="AC1032" s="24" t="s">
        <v>3012</v>
      </c>
      <c r="AD1032" s="195">
        <v>8436.0</v>
      </c>
      <c r="AE1032" s="38"/>
      <c r="AF1032" s="298" t="str">
        <f t="shared" si="1"/>
        <v>Capital Federal, Argentina</v>
      </c>
      <c r="AG1032" s="298">
        <f t="shared" si="2"/>
        <v>2</v>
      </c>
      <c r="AH1032" s="305">
        <f t="shared" si="3"/>
        <v>0</v>
      </c>
      <c r="AI1032" s="305">
        <f t="shared" si="4"/>
        <v>0</v>
      </c>
      <c r="AJ1032" s="304">
        <f t="shared" si="5"/>
        <v>271949</v>
      </c>
      <c r="AK1032" s="304">
        <f t="shared" si="6"/>
        <v>271949</v>
      </c>
      <c r="AL1032" s="306"/>
      <c r="AM1032" s="306"/>
    </row>
    <row r="1033">
      <c r="A1033" s="298">
        <v>1032.0</v>
      </c>
      <c r="B1033" s="299">
        <v>44804.0</v>
      </c>
      <c r="C1033" s="195" t="str">
        <f t="shared" si="9"/>
        <v>82022</v>
      </c>
      <c r="D1033" s="300" t="s">
        <v>3013</v>
      </c>
      <c r="E1033" s="298" t="s">
        <v>3014</v>
      </c>
      <c r="F1033" s="300" t="s">
        <v>2983</v>
      </c>
      <c r="G1033" s="298" t="s">
        <v>64</v>
      </c>
      <c r="H1033" s="298" t="s">
        <v>41</v>
      </c>
      <c r="I1033" s="298" t="s">
        <v>643</v>
      </c>
      <c r="J1033" s="301"/>
      <c r="K1033" s="301"/>
      <c r="L1033" s="301"/>
      <c r="M1033" s="301"/>
      <c r="N1033" s="301"/>
      <c r="O1033" s="301"/>
      <c r="P1033" s="301"/>
      <c r="Q1033" s="302"/>
      <c r="R1033" s="302"/>
      <c r="S1033" s="298" t="s">
        <v>65</v>
      </c>
      <c r="T1033" s="298" t="s">
        <v>66</v>
      </c>
      <c r="U1033" s="298" t="s">
        <v>99</v>
      </c>
      <c r="V1033" s="298" t="s">
        <v>1984</v>
      </c>
      <c r="W1033" s="303"/>
      <c r="X1033" s="303"/>
      <c r="Y1033" s="303"/>
      <c r="Z1033" s="303"/>
      <c r="AA1033" s="304">
        <v>0.0</v>
      </c>
      <c r="AB1033" s="304">
        <v>34965.0</v>
      </c>
      <c r="AC1033" s="24" t="s">
        <v>3015</v>
      </c>
      <c r="AD1033" s="195">
        <v>8400.0</v>
      </c>
      <c r="AE1033" s="38"/>
      <c r="AF1033" s="298" t="str">
        <f t="shared" si="1"/>
        <v>Buenos Aires, Argentina</v>
      </c>
      <c r="AG1033" s="298">
        <f t="shared" si="2"/>
        <v>0</v>
      </c>
      <c r="AH1033" s="305">
        <f t="shared" si="3"/>
        <v>0</v>
      </c>
      <c r="AI1033" s="305">
        <f t="shared" si="4"/>
        <v>0</v>
      </c>
      <c r="AJ1033" s="304">
        <f t="shared" si="5"/>
        <v>34965</v>
      </c>
      <c r="AK1033" s="304">
        <f t="shared" si="6"/>
        <v>34965</v>
      </c>
      <c r="AL1033" s="306"/>
      <c r="AM1033" s="306"/>
    </row>
    <row r="1034">
      <c r="A1034" s="298">
        <v>1033.0</v>
      </c>
      <c r="B1034" s="299">
        <v>44804.0</v>
      </c>
      <c r="C1034" s="195" t="str">
        <f t="shared" si="9"/>
        <v>82022</v>
      </c>
      <c r="D1034" s="300" t="s">
        <v>530</v>
      </c>
      <c r="E1034" s="298" t="s">
        <v>531</v>
      </c>
      <c r="F1034" s="300" t="s">
        <v>1357</v>
      </c>
      <c r="G1034" s="298" t="s">
        <v>64</v>
      </c>
      <c r="H1034" s="298" t="s">
        <v>41</v>
      </c>
      <c r="I1034" s="298" t="s">
        <v>643</v>
      </c>
      <c r="J1034" s="301"/>
      <c r="K1034" s="301"/>
      <c r="L1034" s="301"/>
      <c r="M1034" s="301"/>
      <c r="N1034" s="301"/>
      <c r="O1034" s="301"/>
      <c r="P1034" s="307">
        <v>1.0</v>
      </c>
      <c r="Q1034" s="302"/>
      <c r="R1034" s="302"/>
      <c r="S1034" s="298" t="s">
        <v>89</v>
      </c>
      <c r="T1034" s="298" t="s">
        <v>83</v>
      </c>
      <c r="U1034" s="298" t="s">
        <v>99</v>
      </c>
      <c r="V1034" s="298" t="s">
        <v>2935</v>
      </c>
      <c r="W1034" s="303"/>
      <c r="X1034" s="303"/>
      <c r="Y1034" s="303"/>
      <c r="Z1034" s="303"/>
      <c r="AA1034" s="304">
        <v>9712.0</v>
      </c>
      <c r="AB1034" s="304">
        <v>43704.0</v>
      </c>
      <c r="AC1034" s="24" t="s">
        <v>3016</v>
      </c>
      <c r="AD1034" s="195">
        <v>8458.0</v>
      </c>
      <c r="AE1034" s="38"/>
      <c r="AF1034" s="298" t="str">
        <f t="shared" si="1"/>
        <v>Capital Federal, Argentina</v>
      </c>
      <c r="AG1034" s="298">
        <f t="shared" si="2"/>
        <v>1</v>
      </c>
      <c r="AH1034" s="305">
        <f t="shared" si="3"/>
        <v>0</v>
      </c>
      <c r="AI1034" s="305">
        <f t="shared" si="4"/>
        <v>0</v>
      </c>
      <c r="AJ1034" s="304">
        <f t="shared" si="5"/>
        <v>53416</v>
      </c>
      <c r="AK1034" s="304">
        <f t="shared" si="6"/>
        <v>53416</v>
      </c>
      <c r="AL1034" s="306"/>
      <c r="AM1034" s="306"/>
    </row>
    <row r="1035">
      <c r="A1035" s="298">
        <v>1034.0</v>
      </c>
      <c r="B1035" s="299">
        <v>44804.0</v>
      </c>
      <c r="C1035" s="195" t="str">
        <f t="shared" si="9"/>
        <v>82022</v>
      </c>
      <c r="D1035" s="300" t="s">
        <v>530</v>
      </c>
      <c r="E1035" s="298" t="s">
        <v>531</v>
      </c>
      <c r="F1035" s="300" t="s">
        <v>3017</v>
      </c>
      <c r="G1035" s="298" t="s">
        <v>64</v>
      </c>
      <c r="H1035" s="298" t="s">
        <v>41</v>
      </c>
      <c r="I1035" s="298" t="s">
        <v>643</v>
      </c>
      <c r="J1035" s="301"/>
      <c r="K1035" s="301"/>
      <c r="L1035" s="301"/>
      <c r="M1035" s="301"/>
      <c r="N1035" s="301"/>
      <c r="O1035" s="301"/>
      <c r="P1035" s="301"/>
      <c r="Q1035" s="302"/>
      <c r="R1035" s="302"/>
      <c r="S1035" s="298" t="s">
        <v>89</v>
      </c>
      <c r="T1035" s="298" t="s">
        <v>83</v>
      </c>
      <c r="U1035" s="298" t="s">
        <v>99</v>
      </c>
      <c r="V1035" s="298" t="s">
        <v>2935</v>
      </c>
      <c r="W1035" s="304">
        <v>30420.0</v>
      </c>
      <c r="X1035" s="304">
        <v>121680.0</v>
      </c>
      <c r="Y1035" s="303"/>
      <c r="Z1035" s="303"/>
      <c r="AA1035" s="304">
        <v>0.0</v>
      </c>
      <c r="AB1035" s="304">
        <v>0.0</v>
      </c>
      <c r="AC1035" s="24" t="s">
        <v>3018</v>
      </c>
      <c r="AD1035" s="195">
        <v>8524.0</v>
      </c>
      <c r="AE1035" s="38"/>
      <c r="AF1035" s="298" t="str">
        <f t="shared" si="1"/>
        <v>Capital Federal, Argentina</v>
      </c>
      <c r="AG1035" s="298">
        <f t="shared" si="2"/>
        <v>0</v>
      </c>
      <c r="AH1035" s="305">
        <f t="shared" si="3"/>
        <v>152100</v>
      </c>
      <c r="AI1035" s="305">
        <f t="shared" si="4"/>
        <v>0</v>
      </c>
      <c r="AJ1035" s="304">
        <f t="shared" si="5"/>
        <v>0</v>
      </c>
      <c r="AK1035" s="304">
        <f t="shared" si="6"/>
        <v>152100</v>
      </c>
      <c r="AL1035" s="306"/>
      <c r="AM1035" s="306"/>
    </row>
    <row r="1036">
      <c r="A1036" s="298">
        <v>1035.0</v>
      </c>
      <c r="B1036" s="299">
        <v>44804.0</v>
      </c>
      <c r="C1036" s="195" t="str">
        <f t="shared" si="9"/>
        <v>82022</v>
      </c>
      <c r="D1036" s="300" t="s">
        <v>2084</v>
      </c>
      <c r="E1036" s="298" t="s">
        <v>2085</v>
      </c>
      <c r="F1036" s="300" t="s">
        <v>1423</v>
      </c>
      <c r="G1036" s="298" t="s">
        <v>64</v>
      </c>
      <c r="H1036" s="298" t="s">
        <v>41</v>
      </c>
      <c r="I1036" s="298" t="s">
        <v>643</v>
      </c>
      <c r="J1036" s="307">
        <v>1.0</v>
      </c>
      <c r="K1036" s="301"/>
      <c r="L1036" s="301"/>
      <c r="M1036" s="301"/>
      <c r="N1036" s="301"/>
      <c r="O1036" s="301"/>
      <c r="P1036" s="301"/>
      <c r="Q1036" s="302"/>
      <c r="R1036" s="302"/>
      <c r="S1036" s="298" t="s">
        <v>167</v>
      </c>
      <c r="T1036" s="298" t="s">
        <v>83</v>
      </c>
      <c r="U1036" s="298" t="s">
        <v>99</v>
      </c>
      <c r="V1036" s="298" t="s">
        <v>1984</v>
      </c>
      <c r="W1036" s="303"/>
      <c r="X1036" s="303"/>
      <c r="Y1036" s="303"/>
      <c r="Z1036" s="303"/>
      <c r="AA1036" s="304">
        <v>12950.0</v>
      </c>
      <c r="AB1036" s="304">
        <v>51800.0</v>
      </c>
      <c r="AC1036" s="24" t="s">
        <v>3019</v>
      </c>
      <c r="AD1036" s="195">
        <v>8504.0</v>
      </c>
      <c r="AE1036" s="38"/>
      <c r="AF1036" s="298" t="str">
        <f t="shared" si="1"/>
        <v>Capital Federal, Argentina</v>
      </c>
      <c r="AG1036" s="298">
        <f t="shared" si="2"/>
        <v>1</v>
      </c>
      <c r="AH1036" s="305">
        <f t="shared" si="3"/>
        <v>0</v>
      </c>
      <c r="AI1036" s="305">
        <f t="shared" si="4"/>
        <v>0</v>
      </c>
      <c r="AJ1036" s="304">
        <f t="shared" si="5"/>
        <v>64750</v>
      </c>
      <c r="AK1036" s="304">
        <f t="shared" si="6"/>
        <v>64750</v>
      </c>
      <c r="AL1036" s="306"/>
      <c r="AM1036" s="306"/>
    </row>
    <row r="1037">
      <c r="A1037" s="298">
        <v>1036.0</v>
      </c>
      <c r="B1037" s="299">
        <v>44804.0</v>
      </c>
      <c r="C1037" s="195" t="str">
        <f t="shared" si="9"/>
        <v>82022</v>
      </c>
      <c r="D1037" s="300" t="s">
        <v>3020</v>
      </c>
      <c r="E1037" s="298" t="s">
        <v>3021</v>
      </c>
      <c r="F1037" s="300" t="s">
        <v>1415</v>
      </c>
      <c r="G1037" s="298" t="s">
        <v>64</v>
      </c>
      <c r="H1037" s="298" t="s">
        <v>41</v>
      </c>
      <c r="I1037" s="298" t="s">
        <v>643</v>
      </c>
      <c r="J1037" s="301"/>
      <c r="K1037" s="307">
        <v>1.0</v>
      </c>
      <c r="L1037" s="301"/>
      <c r="M1037" s="301"/>
      <c r="N1037" s="301"/>
      <c r="O1037" s="301"/>
      <c r="P1037" s="301"/>
      <c r="Q1037" s="302"/>
      <c r="R1037" s="302"/>
      <c r="S1037" s="298" t="s">
        <v>65</v>
      </c>
      <c r="T1037" s="298" t="s">
        <v>66</v>
      </c>
      <c r="U1037" s="298" t="s">
        <v>99</v>
      </c>
      <c r="V1037" s="298" t="s">
        <v>1984</v>
      </c>
      <c r="W1037" s="303"/>
      <c r="X1037" s="303"/>
      <c r="Y1037" s="303"/>
      <c r="Z1037" s="303"/>
      <c r="AA1037" s="304">
        <v>8741.0</v>
      </c>
      <c r="AB1037" s="304">
        <v>34963.0</v>
      </c>
      <c r="AC1037" s="24" t="s">
        <v>3022</v>
      </c>
      <c r="AD1037" s="195">
        <v>8552.0</v>
      </c>
      <c r="AE1037" s="38"/>
      <c r="AF1037" s="298" t="str">
        <f t="shared" si="1"/>
        <v>Buenos Aires, Argentina</v>
      </c>
      <c r="AG1037" s="298">
        <f t="shared" si="2"/>
        <v>1</v>
      </c>
      <c r="AH1037" s="305">
        <f t="shared" si="3"/>
        <v>0</v>
      </c>
      <c r="AI1037" s="305">
        <f t="shared" si="4"/>
        <v>0</v>
      </c>
      <c r="AJ1037" s="304">
        <f t="shared" si="5"/>
        <v>43704</v>
      </c>
      <c r="AK1037" s="304">
        <f t="shared" si="6"/>
        <v>43704</v>
      </c>
      <c r="AL1037" s="306"/>
      <c r="AM1037" s="306"/>
    </row>
    <row r="1038">
      <c r="A1038" s="298">
        <v>1037.0</v>
      </c>
      <c r="B1038" s="299">
        <v>44804.0</v>
      </c>
      <c r="C1038" s="195" t="str">
        <f t="shared" si="9"/>
        <v>82022</v>
      </c>
      <c r="D1038" s="300" t="s">
        <v>2084</v>
      </c>
      <c r="E1038" s="298" t="s">
        <v>2085</v>
      </c>
      <c r="F1038" s="300" t="s">
        <v>1423</v>
      </c>
      <c r="G1038" s="298" t="s">
        <v>64</v>
      </c>
      <c r="H1038" s="298" t="s">
        <v>41</v>
      </c>
      <c r="I1038" s="298" t="s">
        <v>643</v>
      </c>
      <c r="J1038" s="307">
        <v>1.0</v>
      </c>
      <c r="K1038" s="301"/>
      <c r="L1038" s="301"/>
      <c r="M1038" s="301"/>
      <c r="N1038" s="301"/>
      <c r="O1038" s="301"/>
      <c r="P1038" s="301"/>
      <c r="Q1038" s="302"/>
      <c r="R1038" s="302"/>
      <c r="S1038" s="298" t="s">
        <v>167</v>
      </c>
      <c r="T1038" s="298" t="s">
        <v>83</v>
      </c>
      <c r="U1038" s="298" t="s">
        <v>99</v>
      </c>
      <c r="V1038" s="298" t="s">
        <v>1984</v>
      </c>
      <c r="W1038" s="303"/>
      <c r="X1038" s="303"/>
      <c r="Y1038" s="303"/>
      <c r="Z1038" s="303"/>
      <c r="AA1038" s="304">
        <v>12950.0</v>
      </c>
      <c r="AB1038" s="304">
        <v>51800.0</v>
      </c>
      <c r="AC1038" s="24" t="s">
        <v>3023</v>
      </c>
      <c r="AD1038" s="195">
        <v>8554.0</v>
      </c>
      <c r="AE1038" s="38"/>
      <c r="AF1038" s="298" t="str">
        <f t="shared" si="1"/>
        <v>Capital Federal, Argentina</v>
      </c>
      <c r="AG1038" s="298">
        <f t="shared" si="2"/>
        <v>1</v>
      </c>
      <c r="AH1038" s="305">
        <f t="shared" si="3"/>
        <v>0</v>
      </c>
      <c r="AI1038" s="305">
        <f t="shared" si="4"/>
        <v>0</v>
      </c>
      <c r="AJ1038" s="304">
        <f t="shared" si="5"/>
        <v>64750</v>
      </c>
      <c r="AK1038" s="304">
        <f t="shared" si="6"/>
        <v>64750</v>
      </c>
      <c r="AL1038" s="306"/>
      <c r="AM1038" s="306"/>
    </row>
    <row r="1039">
      <c r="A1039" s="298">
        <v>1038.0</v>
      </c>
      <c r="B1039" s="299">
        <v>44804.0</v>
      </c>
      <c r="C1039" s="195" t="str">
        <f t="shared" si="9"/>
        <v>82022</v>
      </c>
      <c r="D1039" s="300" t="s">
        <v>2092</v>
      </c>
      <c r="E1039" s="298" t="s">
        <v>2093</v>
      </c>
      <c r="F1039" s="300" t="s">
        <v>1415</v>
      </c>
      <c r="G1039" s="298" t="s">
        <v>64</v>
      </c>
      <c r="H1039" s="298" t="s">
        <v>41</v>
      </c>
      <c r="I1039" s="298" t="s">
        <v>643</v>
      </c>
      <c r="J1039" s="301"/>
      <c r="K1039" s="307">
        <v>1.0</v>
      </c>
      <c r="L1039" s="301"/>
      <c r="M1039" s="301"/>
      <c r="N1039" s="301"/>
      <c r="O1039" s="301"/>
      <c r="P1039" s="301"/>
      <c r="Q1039" s="302"/>
      <c r="R1039" s="302"/>
      <c r="S1039" s="298" t="s">
        <v>65</v>
      </c>
      <c r="T1039" s="298" t="s">
        <v>66</v>
      </c>
      <c r="U1039" s="298" t="s">
        <v>99</v>
      </c>
      <c r="V1039" s="298" t="s">
        <v>1984</v>
      </c>
      <c r="W1039" s="303"/>
      <c r="X1039" s="303"/>
      <c r="Y1039" s="303"/>
      <c r="Z1039" s="303"/>
      <c r="AA1039" s="304">
        <v>8741.0</v>
      </c>
      <c r="AB1039" s="304">
        <v>34964.0</v>
      </c>
      <c r="AC1039" s="24" t="s">
        <v>3024</v>
      </c>
      <c r="AD1039" s="195">
        <v>8484.0</v>
      </c>
      <c r="AE1039" s="38"/>
      <c r="AF1039" s="298" t="str">
        <f t="shared" si="1"/>
        <v>Buenos Aires, Argentina</v>
      </c>
      <c r="AG1039" s="298">
        <f t="shared" si="2"/>
        <v>1</v>
      </c>
      <c r="AH1039" s="305">
        <f t="shared" si="3"/>
        <v>0</v>
      </c>
      <c r="AI1039" s="305">
        <f t="shared" si="4"/>
        <v>0</v>
      </c>
      <c r="AJ1039" s="304">
        <f t="shared" si="5"/>
        <v>43705</v>
      </c>
      <c r="AK1039" s="304">
        <f t="shared" si="6"/>
        <v>43705</v>
      </c>
      <c r="AL1039" s="306"/>
      <c r="AM1039" s="306"/>
    </row>
    <row r="1040">
      <c r="A1040" s="290">
        <v>1039.0</v>
      </c>
      <c r="B1040" s="291">
        <v>44819.0</v>
      </c>
      <c r="C1040" s="195" t="str">
        <f t="shared" si="9"/>
        <v>92022</v>
      </c>
      <c r="D1040" s="292" t="s">
        <v>3025</v>
      </c>
      <c r="E1040" s="290" t="s">
        <v>3026</v>
      </c>
      <c r="F1040" s="292" t="s">
        <v>3027</v>
      </c>
      <c r="G1040" s="290" t="s">
        <v>64</v>
      </c>
      <c r="H1040" s="290" t="s">
        <v>41</v>
      </c>
      <c r="I1040" s="290" t="s">
        <v>643</v>
      </c>
      <c r="J1040" s="98"/>
      <c r="K1040" s="98"/>
      <c r="L1040" s="98"/>
      <c r="M1040" s="98"/>
      <c r="N1040" s="98"/>
      <c r="O1040" s="98"/>
      <c r="P1040" s="98"/>
      <c r="Q1040" s="99"/>
      <c r="R1040" s="99"/>
      <c r="S1040" s="290" t="s">
        <v>65</v>
      </c>
      <c r="T1040" s="290" t="s">
        <v>66</v>
      </c>
      <c r="U1040" s="290" t="s">
        <v>99</v>
      </c>
      <c r="V1040" s="290" t="s">
        <v>1984</v>
      </c>
      <c r="W1040" s="100"/>
      <c r="X1040" s="100"/>
      <c r="Y1040" s="100"/>
      <c r="Z1040" s="100"/>
      <c r="AA1040" s="294">
        <v>0.0</v>
      </c>
      <c r="AB1040" s="294">
        <v>77280.0</v>
      </c>
      <c r="AC1040" s="24" t="s">
        <v>3028</v>
      </c>
      <c r="AD1040" s="195">
        <v>8594.0</v>
      </c>
      <c r="AE1040" s="38"/>
      <c r="AF1040" s="290" t="str">
        <f t="shared" si="1"/>
        <v>Buenos Aires, Argentina</v>
      </c>
      <c r="AG1040" s="290">
        <f t="shared" si="2"/>
        <v>0</v>
      </c>
      <c r="AH1040" s="295">
        <f t="shared" si="3"/>
        <v>0</v>
      </c>
      <c r="AI1040" s="295">
        <f t="shared" si="4"/>
        <v>0</v>
      </c>
      <c r="AJ1040" s="294">
        <f t="shared" si="5"/>
        <v>77280</v>
      </c>
      <c r="AK1040" s="294">
        <f t="shared" si="6"/>
        <v>77280</v>
      </c>
      <c r="AL1040" s="103"/>
      <c r="AM1040" s="103"/>
    </row>
    <row r="1041">
      <c r="A1041" s="290">
        <v>1040.0</v>
      </c>
      <c r="B1041" s="291">
        <v>44820.0</v>
      </c>
      <c r="C1041" s="195" t="str">
        <f t="shared" si="9"/>
        <v>92022</v>
      </c>
      <c r="D1041" s="292" t="s">
        <v>3029</v>
      </c>
      <c r="E1041" s="290" t="s">
        <v>3030</v>
      </c>
      <c r="F1041" s="292" t="s">
        <v>2559</v>
      </c>
      <c r="G1041" s="290" t="s">
        <v>64</v>
      </c>
      <c r="H1041" s="290" t="s">
        <v>41</v>
      </c>
      <c r="I1041" s="290" t="s">
        <v>643</v>
      </c>
      <c r="J1041" s="98"/>
      <c r="K1041" s="98"/>
      <c r="L1041" s="98"/>
      <c r="M1041" s="98"/>
      <c r="N1041" s="98"/>
      <c r="O1041" s="98"/>
      <c r="P1041" s="98"/>
      <c r="Q1041" s="99"/>
      <c r="R1041" s="99"/>
      <c r="S1041" s="290" t="s">
        <v>98</v>
      </c>
      <c r="T1041" s="290" t="s">
        <v>66</v>
      </c>
      <c r="U1041" s="290" t="s">
        <v>99</v>
      </c>
      <c r="V1041" s="290" t="s">
        <v>1984</v>
      </c>
      <c r="W1041" s="100"/>
      <c r="X1041" s="100"/>
      <c r="Y1041" s="100"/>
      <c r="Z1041" s="100"/>
      <c r="AA1041" s="294">
        <v>0.0</v>
      </c>
      <c r="AB1041" s="294">
        <v>13358.0</v>
      </c>
      <c r="AC1041" s="24" t="s">
        <v>3031</v>
      </c>
      <c r="AD1041" s="195">
        <v>8626.0</v>
      </c>
      <c r="AE1041" s="38"/>
      <c r="AF1041" s="290" t="str">
        <f t="shared" si="1"/>
        <v>Buenos Aires, Argentina</v>
      </c>
      <c r="AG1041" s="290">
        <f t="shared" si="2"/>
        <v>0</v>
      </c>
      <c r="AH1041" s="295">
        <f t="shared" si="3"/>
        <v>0</v>
      </c>
      <c r="AI1041" s="295">
        <f t="shared" si="4"/>
        <v>0</v>
      </c>
      <c r="AJ1041" s="294">
        <f t="shared" si="5"/>
        <v>13358</v>
      </c>
      <c r="AK1041" s="294">
        <f t="shared" si="6"/>
        <v>13358</v>
      </c>
      <c r="AL1041" s="103"/>
      <c r="AM1041" s="103"/>
    </row>
    <row r="1042">
      <c r="A1042" s="290">
        <v>1041.0</v>
      </c>
      <c r="B1042" s="291">
        <v>44823.0</v>
      </c>
      <c r="C1042" s="195" t="str">
        <f t="shared" si="9"/>
        <v>92022</v>
      </c>
      <c r="D1042" s="292" t="s">
        <v>2762</v>
      </c>
      <c r="E1042" s="290" t="s">
        <v>2763</v>
      </c>
      <c r="F1042" s="292" t="s">
        <v>2059</v>
      </c>
      <c r="G1042" s="290" t="s">
        <v>64</v>
      </c>
      <c r="H1042" s="290" t="s">
        <v>41</v>
      </c>
      <c r="I1042" s="290" t="s">
        <v>643</v>
      </c>
      <c r="J1042" s="293">
        <v>7.0</v>
      </c>
      <c r="K1042" s="98"/>
      <c r="L1042" s="98"/>
      <c r="M1042" s="98"/>
      <c r="N1042" s="98"/>
      <c r="O1042" s="98"/>
      <c r="P1042" s="98"/>
      <c r="Q1042" s="99"/>
      <c r="R1042" s="99"/>
      <c r="S1042" s="290" t="s">
        <v>65</v>
      </c>
      <c r="T1042" s="290" t="s">
        <v>66</v>
      </c>
      <c r="U1042" s="290" t="s">
        <v>99</v>
      </c>
      <c r="V1042" s="290" t="s">
        <v>1984</v>
      </c>
      <c r="W1042" s="100"/>
      <c r="X1042" s="100"/>
      <c r="Y1042" s="100"/>
      <c r="Z1042" s="100"/>
      <c r="AA1042" s="294">
        <v>86940.0</v>
      </c>
      <c r="AB1042" s="294">
        <v>409101.0</v>
      </c>
      <c r="AC1042" s="24" t="s">
        <v>3032</v>
      </c>
      <c r="AD1042" s="195">
        <v>8618.0</v>
      </c>
      <c r="AE1042" s="38"/>
      <c r="AF1042" s="290" t="str">
        <f t="shared" si="1"/>
        <v>Buenos Aires, Argentina</v>
      </c>
      <c r="AG1042" s="290">
        <f t="shared" si="2"/>
        <v>7</v>
      </c>
      <c r="AH1042" s="295">
        <f t="shared" si="3"/>
        <v>0</v>
      </c>
      <c r="AI1042" s="295">
        <f t="shared" si="4"/>
        <v>0</v>
      </c>
      <c r="AJ1042" s="294">
        <f t="shared" si="5"/>
        <v>496041</v>
      </c>
      <c r="AK1042" s="294">
        <f t="shared" si="6"/>
        <v>496041</v>
      </c>
      <c r="AL1042" s="103"/>
      <c r="AM1042" s="103"/>
    </row>
    <row r="1043">
      <c r="A1043" s="290">
        <v>1042.0</v>
      </c>
      <c r="B1043" s="291">
        <v>44823.0</v>
      </c>
      <c r="C1043" s="195" t="str">
        <f t="shared" si="9"/>
        <v>92022</v>
      </c>
      <c r="D1043" s="292" t="s">
        <v>1631</v>
      </c>
      <c r="E1043" s="290" t="s">
        <v>2416</v>
      </c>
      <c r="F1043" s="292" t="s">
        <v>2559</v>
      </c>
      <c r="G1043" s="290" t="s">
        <v>64</v>
      </c>
      <c r="H1043" s="290" t="s">
        <v>41</v>
      </c>
      <c r="I1043" s="290" t="s">
        <v>643</v>
      </c>
      <c r="J1043" s="98"/>
      <c r="K1043" s="98"/>
      <c r="L1043" s="98"/>
      <c r="M1043" s="98"/>
      <c r="N1043" s="98"/>
      <c r="O1043" s="98"/>
      <c r="P1043" s="98"/>
      <c r="Q1043" s="99"/>
      <c r="R1043" s="99"/>
      <c r="S1043" s="290" t="s">
        <v>98</v>
      </c>
      <c r="T1043" s="290" t="s">
        <v>66</v>
      </c>
      <c r="U1043" s="290" t="s">
        <v>99</v>
      </c>
      <c r="V1043" s="290" t="s">
        <v>1984</v>
      </c>
      <c r="W1043" s="100"/>
      <c r="X1043" s="100"/>
      <c r="Y1043" s="100"/>
      <c r="Z1043" s="100"/>
      <c r="AA1043" s="294">
        <v>0.0</v>
      </c>
      <c r="AB1043" s="294">
        <v>11040.0</v>
      </c>
      <c r="AC1043" s="24" t="s">
        <v>3031</v>
      </c>
      <c r="AD1043" s="195">
        <v>8626.0</v>
      </c>
      <c r="AE1043" s="38"/>
      <c r="AF1043" s="290" t="str">
        <f t="shared" si="1"/>
        <v>Buenos Aires, Argentina</v>
      </c>
      <c r="AG1043" s="290">
        <f t="shared" si="2"/>
        <v>0</v>
      </c>
      <c r="AH1043" s="295">
        <f t="shared" si="3"/>
        <v>0</v>
      </c>
      <c r="AI1043" s="295">
        <f t="shared" si="4"/>
        <v>0</v>
      </c>
      <c r="AJ1043" s="294">
        <f t="shared" si="5"/>
        <v>11040</v>
      </c>
      <c r="AK1043" s="294">
        <f t="shared" si="6"/>
        <v>11040</v>
      </c>
      <c r="AL1043" s="103"/>
      <c r="AM1043" s="103"/>
    </row>
    <row r="1044">
      <c r="A1044" s="290">
        <v>1043.0</v>
      </c>
      <c r="B1044" s="291">
        <v>44825.0</v>
      </c>
      <c r="C1044" s="195" t="str">
        <f t="shared" si="9"/>
        <v>92022</v>
      </c>
      <c r="D1044" s="292" t="s">
        <v>2877</v>
      </c>
      <c r="E1044" s="290" t="s">
        <v>2878</v>
      </c>
      <c r="F1044" s="292" t="s">
        <v>1423</v>
      </c>
      <c r="G1044" s="290" t="s">
        <v>64</v>
      </c>
      <c r="H1044" s="290" t="s">
        <v>41</v>
      </c>
      <c r="I1044" s="290" t="s">
        <v>643</v>
      </c>
      <c r="J1044" s="293">
        <v>1.0</v>
      </c>
      <c r="K1044" s="98"/>
      <c r="L1044" s="98"/>
      <c r="M1044" s="98"/>
      <c r="N1044" s="98"/>
      <c r="O1044" s="98"/>
      <c r="P1044" s="98"/>
      <c r="Q1044" s="99"/>
      <c r="R1044" s="99"/>
      <c r="S1044" s="290" t="s">
        <v>65</v>
      </c>
      <c r="T1044" s="290" t="s">
        <v>66</v>
      </c>
      <c r="U1044" s="290" t="s">
        <v>99</v>
      </c>
      <c r="V1044" s="290" t="s">
        <v>1984</v>
      </c>
      <c r="W1044" s="100"/>
      <c r="X1044" s="100"/>
      <c r="Y1044" s="100"/>
      <c r="Z1044" s="100"/>
      <c r="AA1044" s="294">
        <v>13800.0</v>
      </c>
      <c r="AB1044" s="294">
        <v>55200.0</v>
      </c>
      <c r="AC1044" s="24" t="s">
        <v>3033</v>
      </c>
      <c r="AD1044" s="195">
        <v>8616.0</v>
      </c>
      <c r="AE1044" s="38"/>
      <c r="AF1044" s="290" t="str">
        <f t="shared" si="1"/>
        <v>Buenos Aires, Argentina</v>
      </c>
      <c r="AG1044" s="290">
        <f t="shared" si="2"/>
        <v>1</v>
      </c>
      <c r="AH1044" s="295">
        <f t="shared" si="3"/>
        <v>0</v>
      </c>
      <c r="AI1044" s="295">
        <f t="shared" si="4"/>
        <v>0</v>
      </c>
      <c r="AJ1044" s="294">
        <f t="shared" si="5"/>
        <v>69000</v>
      </c>
      <c r="AK1044" s="294">
        <f t="shared" si="6"/>
        <v>69000</v>
      </c>
      <c r="AL1044" s="103"/>
      <c r="AM1044" s="103"/>
    </row>
    <row r="1045">
      <c r="A1045" s="290">
        <v>1044.0</v>
      </c>
      <c r="B1045" s="291">
        <v>44825.0</v>
      </c>
      <c r="C1045" s="195" t="str">
        <f t="shared" si="9"/>
        <v>92022</v>
      </c>
      <c r="D1045" s="292" t="s">
        <v>3034</v>
      </c>
      <c r="E1045" s="290" t="s">
        <v>3035</v>
      </c>
      <c r="F1045" s="292" t="s">
        <v>3036</v>
      </c>
      <c r="G1045" s="290" t="s">
        <v>64</v>
      </c>
      <c r="H1045" s="290" t="s">
        <v>41</v>
      </c>
      <c r="I1045" s="290" t="s">
        <v>643</v>
      </c>
      <c r="J1045" s="98"/>
      <c r="K1045" s="293">
        <v>2.0</v>
      </c>
      <c r="L1045" s="98"/>
      <c r="M1045" s="98"/>
      <c r="N1045" s="98"/>
      <c r="O1045" s="98"/>
      <c r="P1045" s="98"/>
      <c r="Q1045" s="99"/>
      <c r="R1045" s="99"/>
      <c r="S1045" s="290" t="s">
        <v>109</v>
      </c>
      <c r="T1045" s="290" t="s">
        <v>66</v>
      </c>
      <c r="U1045" s="290" t="s">
        <v>99</v>
      </c>
      <c r="V1045" s="290" t="s">
        <v>1984</v>
      </c>
      <c r="W1045" s="100"/>
      <c r="X1045" s="100"/>
      <c r="Y1045" s="100"/>
      <c r="Z1045" s="100"/>
      <c r="AA1045" s="294">
        <v>20700.0</v>
      </c>
      <c r="AB1045" s="294">
        <v>82800.0</v>
      </c>
      <c r="AC1045" s="24" t="s">
        <v>3037</v>
      </c>
      <c r="AD1045" s="195">
        <v>8668.0</v>
      </c>
      <c r="AE1045" s="38"/>
      <c r="AF1045" s="290" t="str">
        <f t="shared" si="1"/>
        <v>Buenos Aires, Argentina</v>
      </c>
      <c r="AG1045" s="290">
        <f t="shared" si="2"/>
        <v>2</v>
      </c>
      <c r="AH1045" s="295">
        <f t="shared" si="3"/>
        <v>0</v>
      </c>
      <c r="AI1045" s="295">
        <f t="shared" si="4"/>
        <v>0</v>
      </c>
      <c r="AJ1045" s="294">
        <f t="shared" si="5"/>
        <v>103500</v>
      </c>
      <c r="AK1045" s="294">
        <f t="shared" si="6"/>
        <v>103500</v>
      </c>
      <c r="AL1045" s="103"/>
      <c r="AM1045" s="103"/>
    </row>
    <row r="1046">
      <c r="A1046" s="290">
        <v>1045.0</v>
      </c>
      <c r="B1046" s="291">
        <v>44827.0</v>
      </c>
      <c r="C1046" s="195" t="str">
        <f t="shared" si="9"/>
        <v>92022</v>
      </c>
      <c r="D1046" s="292" t="s">
        <v>3038</v>
      </c>
      <c r="E1046" s="290" t="s">
        <v>3039</v>
      </c>
      <c r="F1046" s="292" t="s">
        <v>1423</v>
      </c>
      <c r="G1046" s="290" t="s">
        <v>40</v>
      </c>
      <c r="H1046" s="290" t="s">
        <v>547</v>
      </c>
      <c r="I1046" s="290" t="s">
        <v>42</v>
      </c>
      <c r="J1046" s="293">
        <v>1.0</v>
      </c>
      <c r="K1046" s="98"/>
      <c r="L1046" s="98"/>
      <c r="M1046" s="98"/>
      <c r="N1046" s="98"/>
      <c r="O1046" s="98"/>
      <c r="P1046" s="98"/>
      <c r="Q1046" s="99"/>
      <c r="R1046" s="99"/>
      <c r="S1046" s="290" t="s">
        <v>105</v>
      </c>
      <c r="T1046" s="290" t="s">
        <v>66</v>
      </c>
      <c r="U1046" s="290" t="s">
        <v>342</v>
      </c>
      <c r="V1046" s="290" t="s">
        <v>2922</v>
      </c>
      <c r="W1046" s="100"/>
      <c r="X1046" s="100"/>
      <c r="Y1046" s="100"/>
      <c r="Z1046" s="100"/>
      <c r="AA1046" s="294">
        <v>8820.0</v>
      </c>
      <c r="AB1046" s="294">
        <v>33120.0</v>
      </c>
      <c r="AC1046" s="24" t="s">
        <v>3040</v>
      </c>
      <c r="AD1046" s="195">
        <v>8664.0</v>
      </c>
      <c r="AE1046" s="38"/>
      <c r="AF1046" s="290" t="str">
        <f t="shared" si="1"/>
        <v>Buenos Aires, Argentina</v>
      </c>
      <c r="AG1046" s="290">
        <f t="shared" si="2"/>
        <v>1</v>
      </c>
      <c r="AH1046" s="295">
        <f t="shared" si="3"/>
        <v>0</v>
      </c>
      <c r="AI1046" s="295">
        <f t="shared" si="4"/>
        <v>0</v>
      </c>
      <c r="AJ1046" s="294">
        <f t="shared" si="5"/>
        <v>41940</v>
      </c>
      <c r="AK1046" s="294">
        <f t="shared" si="6"/>
        <v>41940</v>
      </c>
      <c r="AL1046" s="103"/>
      <c r="AM1046" s="103"/>
    </row>
    <row r="1047">
      <c r="A1047" s="290">
        <v>1046.0</v>
      </c>
      <c r="B1047" s="291">
        <v>44833.0</v>
      </c>
      <c r="C1047" s="195" t="str">
        <f t="shared" si="9"/>
        <v>92022</v>
      </c>
      <c r="D1047" s="292" t="s">
        <v>2607</v>
      </c>
      <c r="E1047" s="290" t="s">
        <v>2608</v>
      </c>
      <c r="F1047" s="292" t="s">
        <v>2248</v>
      </c>
      <c r="G1047" s="290" t="s">
        <v>64</v>
      </c>
      <c r="H1047" s="290" t="s">
        <v>547</v>
      </c>
      <c r="I1047" s="290" t="s">
        <v>643</v>
      </c>
      <c r="J1047" s="98"/>
      <c r="K1047" s="98"/>
      <c r="L1047" s="98"/>
      <c r="M1047" s="98"/>
      <c r="N1047" s="98"/>
      <c r="O1047" s="98"/>
      <c r="P1047" s="98"/>
      <c r="Q1047" s="99"/>
      <c r="R1047" s="99"/>
      <c r="S1047" s="290" t="s">
        <v>43</v>
      </c>
      <c r="T1047" s="290" t="s">
        <v>2609</v>
      </c>
      <c r="U1047" s="290" t="s">
        <v>99</v>
      </c>
      <c r="V1047" s="290" t="s">
        <v>2935</v>
      </c>
      <c r="W1047" s="100"/>
      <c r="X1047" s="100"/>
      <c r="Y1047" s="100"/>
      <c r="Z1047" s="100"/>
      <c r="AA1047" s="294">
        <v>0.0</v>
      </c>
      <c r="AB1047" s="294">
        <v>22356.0</v>
      </c>
      <c r="AC1047" s="24" t="s">
        <v>3041</v>
      </c>
      <c r="AD1047" s="195">
        <v>8646.0</v>
      </c>
      <c r="AE1047" s="38"/>
      <c r="AF1047" s="290" t="str">
        <f t="shared" si="1"/>
        <v>San Juan, Argentina</v>
      </c>
      <c r="AG1047" s="290">
        <f t="shared" si="2"/>
        <v>0</v>
      </c>
      <c r="AH1047" s="295">
        <f t="shared" si="3"/>
        <v>0</v>
      </c>
      <c r="AI1047" s="295">
        <f t="shared" si="4"/>
        <v>0</v>
      </c>
      <c r="AJ1047" s="294">
        <f t="shared" si="5"/>
        <v>22356</v>
      </c>
      <c r="AK1047" s="294">
        <f t="shared" si="6"/>
        <v>22356</v>
      </c>
      <c r="AL1047" s="103"/>
      <c r="AM1047" s="103"/>
    </row>
    <row r="1048">
      <c r="A1048" s="290">
        <v>1047.0</v>
      </c>
      <c r="B1048" s="291">
        <v>44833.0</v>
      </c>
      <c r="C1048" s="195" t="str">
        <f t="shared" si="9"/>
        <v>92022</v>
      </c>
      <c r="D1048" s="292" t="s">
        <v>3042</v>
      </c>
      <c r="E1048" s="290" t="s">
        <v>3043</v>
      </c>
      <c r="F1048" s="292" t="s">
        <v>3044</v>
      </c>
      <c r="G1048" s="290" t="s">
        <v>40</v>
      </c>
      <c r="H1048" s="290" t="s">
        <v>41</v>
      </c>
      <c r="I1048" s="290" t="s">
        <v>643</v>
      </c>
      <c r="J1048" s="293">
        <v>1.0</v>
      </c>
      <c r="K1048" s="293">
        <v>5.0</v>
      </c>
      <c r="L1048" s="98"/>
      <c r="M1048" s="98"/>
      <c r="N1048" s="98"/>
      <c r="O1048" s="98"/>
      <c r="P1048" s="98"/>
      <c r="Q1048" s="99"/>
      <c r="R1048" s="99"/>
      <c r="S1048" s="290" t="s">
        <v>105</v>
      </c>
      <c r="T1048" s="290" t="s">
        <v>66</v>
      </c>
      <c r="U1048" s="290" t="s">
        <v>342</v>
      </c>
      <c r="V1048" s="290" t="s">
        <v>2945</v>
      </c>
      <c r="W1048" s="100"/>
      <c r="X1048" s="100"/>
      <c r="Y1048" s="100"/>
      <c r="Z1048" s="100"/>
      <c r="AA1048" s="294">
        <v>55200.0</v>
      </c>
      <c r="AB1048" s="294">
        <v>193200.0</v>
      </c>
      <c r="AC1048" s="24" t="s">
        <v>3045</v>
      </c>
      <c r="AD1048" s="195">
        <v>8414.0</v>
      </c>
      <c r="AE1048" s="38"/>
      <c r="AF1048" s="290" t="str">
        <f t="shared" si="1"/>
        <v>Buenos Aires, Argentina</v>
      </c>
      <c r="AG1048" s="290">
        <f t="shared" si="2"/>
        <v>6</v>
      </c>
      <c r="AH1048" s="295">
        <f t="shared" si="3"/>
        <v>0</v>
      </c>
      <c r="AI1048" s="295">
        <f t="shared" si="4"/>
        <v>0</v>
      </c>
      <c r="AJ1048" s="294">
        <f t="shared" si="5"/>
        <v>248400</v>
      </c>
      <c r="AK1048" s="294">
        <f t="shared" si="6"/>
        <v>248400</v>
      </c>
      <c r="AL1048" s="103"/>
      <c r="AM1048" s="103"/>
    </row>
    <row r="1049">
      <c r="A1049" s="290">
        <v>1048.0</v>
      </c>
      <c r="B1049" s="291">
        <v>44833.0</v>
      </c>
      <c r="C1049" s="195" t="str">
        <f t="shared" si="9"/>
        <v>92022</v>
      </c>
      <c r="D1049" s="292" t="s">
        <v>3046</v>
      </c>
      <c r="E1049" s="290" t="s">
        <v>3047</v>
      </c>
      <c r="F1049" s="292" t="s">
        <v>1423</v>
      </c>
      <c r="G1049" s="290" t="s">
        <v>64</v>
      </c>
      <c r="H1049" s="290" t="s">
        <v>41</v>
      </c>
      <c r="I1049" s="290" t="s">
        <v>643</v>
      </c>
      <c r="J1049" s="293">
        <v>1.0</v>
      </c>
      <c r="K1049" s="98"/>
      <c r="L1049" s="98"/>
      <c r="M1049" s="98"/>
      <c r="N1049" s="98"/>
      <c r="O1049" s="98"/>
      <c r="P1049" s="98"/>
      <c r="Q1049" s="99"/>
      <c r="R1049" s="99"/>
      <c r="S1049" s="290" t="s">
        <v>65</v>
      </c>
      <c r="T1049" s="290" t="s">
        <v>83</v>
      </c>
      <c r="U1049" s="290" t="s">
        <v>99</v>
      </c>
      <c r="V1049" s="290" t="s">
        <v>1984</v>
      </c>
      <c r="W1049" s="100"/>
      <c r="X1049" s="100"/>
      <c r="Y1049" s="100"/>
      <c r="Z1049" s="100"/>
      <c r="AA1049" s="294">
        <v>13800.0</v>
      </c>
      <c r="AB1049" s="294">
        <v>55200.0</v>
      </c>
      <c r="AC1049" s="24" t="s">
        <v>3048</v>
      </c>
      <c r="AD1049" s="195">
        <v>8738.0</v>
      </c>
      <c r="AE1049" s="38"/>
      <c r="AF1049" s="290" t="str">
        <f t="shared" si="1"/>
        <v>Capital Federal, Argentina</v>
      </c>
      <c r="AG1049" s="290">
        <f t="shared" si="2"/>
        <v>1</v>
      </c>
      <c r="AH1049" s="295">
        <f t="shared" si="3"/>
        <v>0</v>
      </c>
      <c r="AI1049" s="295">
        <f t="shared" si="4"/>
        <v>0</v>
      </c>
      <c r="AJ1049" s="294">
        <f t="shared" si="5"/>
        <v>69000</v>
      </c>
      <c r="AK1049" s="294">
        <f t="shared" si="6"/>
        <v>69000</v>
      </c>
      <c r="AL1049" s="103"/>
      <c r="AM1049" s="103"/>
    </row>
    <row r="1050">
      <c r="A1050" s="290">
        <v>1049.0</v>
      </c>
      <c r="B1050" s="291">
        <v>44833.0</v>
      </c>
      <c r="C1050" s="195" t="str">
        <f t="shared" si="9"/>
        <v>92022</v>
      </c>
      <c r="D1050" s="292" t="s">
        <v>3049</v>
      </c>
      <c r="E1050" s="290" t="s">
        <v>3050</v>
      </c>
      <c r="F1050" s="292" t="s">
        <v>2141</v>
      </c>
      <c r="G1050" s="290" t="s">
        <v>40</v>
      </c>
      <c r="H1050" s="290" t="s">
        <v>41</v>
      </c>
      <c r="I1050" s="290" t="s">
        <v>643</v>
      </c>
      <c r="J1050" s="293">
        <v>1.0</v>
      </c>
      <c r="K1050" s="293">
        <v>1.0</v>
      </c>
      <c r="L1050" s="98"/>
      <c r="M1050" s="293">
        <v>1.0</v>
      </c>
      <c r="N1050" s="98"/>
      <c r="O1050" s="98"/>
      <c r="P1050" s="98"/>
      <c r="Q1050" s="99"/>
      <c r="R1050" s="99"/>
      <c r="S1050" s="290" t="s">
        <v>65</v>
      </c>
      <c r="T1050" s="290" t="s">
        <v>66</v>
      </c>
      <c r="U1050" s="290" t="s">
        <v>53</v>
      </c>
      <c r="V1050" s="290" t="s">
        <v>2935</v>
      </c>
      <c r="W1050" s="100"/>
      <c r="X1050" s="100"/>
      <c r="Y1050" s="100"/>
      <c r="Z1050" s="100"/>
      <c r="AA1050" s="294">
        <v>24150.0</v>
      </c>
      <c r="AB1050" s="294">
        <v>132825.0</v>
      </c>
      <c r="AC1050" s="24" t="s">
        <v>3051</v>
      </c>
      <c r="AD1050" s="195">
        <v>8684.0</v>
      </c>
      <c r="AE1050" s="38"/>
      <c r="AF1050" s="290" t="str">
        <f t="shared" si="1"/>
        <v>Buenos Aires, Argentina</v>
      </c>
      <c r="AG1050" s="290">
        <f t="shared" si="2"/>
        <v>3</v>
      </c>
      <c r="AH1050" s="295">
        <f t="shared" si="3"/>
        <v>0</v>
      </c>
      <c r="AI1050" s="295">
        <f t="shared" si="4"/>
        <v>0</v>
      </c>
      <c r="AJ1050" s="294">
        <f t="shared" si="5"/>
        <v>156975</v>
      </c>
      <c r="AK1050" s="294">
        <f t="shared" si="6"/>
        <v>156975</v>
      </c>
      <c r="AL1050" s="103"/>
      <c r="AM1050" s="103"/>
    </row>
    <row r="1051">
      <c r="A1051" s="290">
        <v>1050.0</v>
      </c>
      <c r="B1051" s="291">
        <v>44834.0</v>
      </c>
      <c r="C1051" s="195" t="str">
        <f t="shared" si="9"/>
        <v>92022</v>
      </c>
      <c r="D1051" s="292" t="s">
        <v>3052</v>
      </c>
      <c r="E1051" s="290" t="s">
        <v>3053</v>
      </c>
      <c r="F1051" s="292" t="s">
        <v>2248</v>
      </c>
      <c r="G1051" s="290" t="s">
        <v>64</v>
      </c>
      <c r="H1051" s="290" t="s">
        <v>41</v>
      </c>
      <c r="I1051" s="290" t="s">
        <v>643</v>
      </c>
      <c r="J1051" s="98"/>
      <c r="K1051" s="98"/>
      <c r="L1051" s="98"/>
      <c r="M1051" s="98"/>
      <c r="N1051" s="98"/>
      <c r="O1051" s="98"/>
      <c r="P1051" s="98"/>
      <c r="Q1051" s="99"/>
      <c r="R1051" s="99"/>
      <c r="S1051" s="290" t="s">
        <v>65</v>
      </c>
      <c r="T1051" s="290" t="s">
        <v>66</v>
      </c>
      <c r="U1051" s="290" t="s">
        <v>99</v>
      </c>
      <c r="V1051" s="290" t="s">
        <v>1984</v>
      </c>
      <c r="W1051" s="100"/>
      <c r="X1051" s="100"/>
      <c r="Y1051" s="100"/>
      <c r="Z1051" s="100"/>
      <c r="AA1051" s="294">
        <v>0.0</v>
      </c>
      <c r="AB1051" s="294">
        <v>33120.0</v>
      </c>
      <c r="AC1051" s="24" t="s">
        <v>3054</v>
      </c>
      <c r="AD1051" s="195">
        <v>8644.0</v>
      </c>
      <c r="AE1051" s="38"/>
      <c r="AF1051" s="290" t="str">
        <f t="shared" si="1"/>
        <v>Buenos Aires, Argentina</v>
      </c>
      <c r="AG1051" s="290">
        <f t="shared" si="2"/>
        <v>0</v>
      </c>
      <c r="AH1051" s="295">
        <f t="shared" si="3"/>
        <v>0</v>
      </c>
      <c r="AI1051" s="295">
        <f t="shared" si="4"/>
        <v>0</v>
      </c>
      <c r="AJ1051" s="294">
        <f t="shared" si="5"/>
        <v>33120</v>
      </c>
      <c r="AK1051" s="294">
        <f t="shared" si="6"/>
        <v>33120</v>
      </c>
      <c r="AL1051" s="103"/>
      <c r="AM1051" s="103"/>
    </row>
    <row r="1052">
      <c r="A1052" s="290">
        <v>1051.0</v>
      </c>
      <c r="B1052" s="291">
        <v>44834.0</v>
      </c>
      <c r="C1052" s="195" t="str">
        <f t="shared" si="9"/>
        <v>92022</v>
      </c>
      <c r="D1052" s="292" t="s">
        <v>2727</v>
      </c>
      <c r="E1052" s="290" t="s">
        <v>3055</v>
      </c>
      <c r="F1052" s="292" t="s">
        <v>3056</v>
      </c>
      <c r="G1052" s="290" t="s">
        <v>64</v>
      </c>
      <c r="H1052" s="290" t="s">
        <v>41</v>
      </c>
      <c r="I1052" s="290" t="s">
        <v>643</v>
      </c>
      <c r="J1052" s="293">
        <v>1.0</v>
      </c>
      <c r="K1052" s="98"/>
      <c r="L1052" s="98"/>
      <c r="M1052" s="98"/>
      <c r="N1052" s="98"/>
      <c r="O1052" s="98"/>
      <c r="P1052" s="98"/>
      <c r="Q1052" s="99"/>
      <c r="R1052" s="99"/>
      <c r="S1052" s="290" t="s">
        <v>105</v>
      </c>
      <c r="T1052" s="290" t="s">
        <v>66</v>
      </c>
      <c r="U1052" s="290" t="s">
        <v>99</v>
      </c>
      <c r="V1052" s="290" t="s">
        <v>1984</v>
      </c>
      <c r="W1052" s="100"/>
      <c r="X1052" s="100"/>
      <c r="Y1052" s="100"/>
      <c r="Z1052" s="100"/>
      <c r="AA1052" s="294">
        <v>13800.0</v>
      </c>
      <c r="AB1052" s="294">
        <v>77280.0</v>
      </c>
      <c r="AC1052" s="24" t="s">
        <v>3057</v>
      </c>
      <c r="AD1052" s="195">
        <v>8670.0</v>
      </c>
      <c r="AE1052" s="38"/>
      <c r="AF1052" s="290" t="str">
        <f t="shared" si="1"/>
        <v>Buenos Aires, Argentina</v>
      </c>
      <c r="AG1052" s="290">
        <f t="shared" si="2"/>
        <v>1</v>
      </c>
      <c r="AH1052" s="295">
        <f t="shared" si="3"/>
        <v>0</v>
      </c>
      <c r="AI1052" s="295">
        <f t="shared" si="4"/>
        <v>0</v>
      </c>
      <c r="AJ1052" s="294">
        <f t="shared" si="5"/>
        <v>91080</v>
      </c>
      <c r="AK1052" s="294">
        <f t="shared" si="6"/>
        <v>91080</v>
      </c>
      <c r="AL1052" s="103"/>
      <c r="AM1052" s="103"/>
    </row>
    <row r="1053">
      <c r="A1053" s="290">
        <v>1052.0</v>
      </c>
      <c r="B1053" s="291">
        <v>44834.0</v>
      </c>
      <c r="C1053" s="195" t="str">
        <f t="shared" si="9"/>
        <v>92022</v>
      </c>
      <c r="D1053" s="292" t="s">
        <v>2681</v>
      </c>
      <c r="E1053" s="290" t="s">
        <v>1873</v>
      </c>
      <c r="F1053" s="292" t="s">
        <v>1415</v>
      </c>
      <c r="G1053" s="290" t="s">
        <v>64</v>
      </c>
      <c r="H1053" s="290" t="s">
        <v>41</v>
      </c>
      <c r="I1053" s="290" t="s">
        <v>643</v>
      </c>
      <c r="J1053" s="98"/>
      <c r="K1053" s="293">
        <v>1.0</v>
      </c>
      <c r="L1053" s="98"/>
      <c r="M1053" s="98"/>
      <c r="N1053" s="98"/>
      <c r="O1053" s="98"/>
      <c r="P1053" s="98"/>
      <c r="Q1053" s="99"/>
      <c r="R1053" s="99"/>
      <c r="S1053" s="290" t="s">
        <v>189</v>
      </c>
      <c r="T1053" s="290" t="s">
        <v>66</v>
      </c>
      <c r="U1053" s="290" t="s">
        <v>99</v>
      </c>
      <c r="V1053" s="290" t="s">
        <v>1984</v>
      </c>
      <c r="W1053" s="100"/>
      <c r="X1053" s="100"/>
      <c r="Y1053" s="100"/>
      <c r="Z1053" s="100"/>
      <c r="AA1053" s="294">
        <v>10350.0</v>
      </c>
      <c r="AB1053" s="294">
        <v>41400.0</v>
      </c>
      <c r="AC1053" s="24" t="s">
        <v>3058</v>
      </c>
      <c r="AD1053" s="195">
        <v>8756.0</v>
      </c>
      <c r="AE1053" s="38"/>
      <c r="AF1053" s="290" t="str">
        <f t="shared" si="1"/>
        <v>Buenos Aires, Argentina</v>
      </c>
      <c r="AG1053" s="290">
        <f t="shared" si="2"/>
        <v>1</v>
      </c>
      <c r="AH1053" s="295">
        <f t="shared" si="3"/>
        <v>0</v>
      </c>
      <c r="AI1053" s="295">
        <f t="shared" si="4"/>
        <v>0</v>
      </c>
      <c r="AJ1053" s="294">
        <f t="shared" si="5"/>
        <v>51750</v>
      </c>
      <c r="AK1053" s="294">
        <f t="shared" si="6"/>
        <v>51750</v>
      </c>
      <c r="AL1053" s="103"/>
      <c r="AM1053" s="103"/>
    </row>
    <row r="1054">
      <c r="A1054" s="290">
        <v>1053.0</v>
      </c>
      <c r="B1054" s="291">
        <v>44834.0</v>
      </c>
      <c r="C1054" s="195" t="str">
        <f t="shared" si="9"/>
        <v>92022</v>
      </c>
      <c r="D1054" s="292" t="s">
        <v>3059</v>
      </c>
      <c r="E1054" s="290" t="s">
        <v>3060</v>
      </c>
      <c r="F1054" s="292" t="s">
        <v>1423</v>
      </c>
      <c r="G1054" s="290" t="s">
        <v>40</v>
      </c>
      <c r="H1054" s="290" t="s">
        <v>41</v>
      </c>
      <c r="I1054" s="290" t="s">
        <v>643</v>
      </c>
      <c r="J1054" s="293">
        <v>1.0</v>
      </c>
      <c r="K1054" s="98"/>
      <c r="L1054" s="98"/>
      <c r="M1054" s="98"/>
      <c r="N1054" s="98"/>
      <c r="O1054" s="98"/>
      <c r="P1054" s="98"/>
      <c r="Q1054" s="99"/>
      <c r="R1054" s="99"/>
      <c r="S1054" s="290" t="s">
        <v>189</v>
      </c>
      <c r="T1054" s="290" t="s">
        <v>66</v>
      </c>
      <c r="U1054" s="290" t="s">
        <v>342</v>
      </c>
      <c r="V1054" s="290" t="s">
        <v>2945</v>
      </c>
      <c r="W1054" s="100"/>
      <c r="X1054" s="100"/>
      <c r="Y1054" s="100"/>
      <c r="Z1054" s="100"/>
      <c r="AA1054" s="294">
        <v>13800.0</v>
      </c>
      <c r="AB1054" s="294">
        <v>48300.0</v>
      </c>
      <c r="AC1054" s="24" t="s">
        <v>3061</v>
      </c>
      <c r="AD1054" s="195">
        <v>8696.0</v>
      </c>
      <c r="AE1054" s="38"/>
      <c r="AF1054" s="290" t="str">
        <f t="shared" si="1"/>
        <v>Buenos Aires, Argentina</v>
      </c>
      <c r="AG1054" s="290">
        <f t="shared" si="2"/>
        <v>1</v>
      </c>
      <c r="AH1054" s="295">
        <f t="shared" si="3"/>
        <v>0</v>
      </c>
      <c r="AI1054" s="295">
        <f t="shared" si="4"/>
        <v>0</v>
      </c>
      <c r="AJ1054" s="294">
        <f t="shared" si="5"/>
        <v>62100</v>
      </c>
      <c r="AK1054" s="294">
        <f t="shared" si="6"/>
        <v>62100</v>
      </c>
      <c r="AL1054" s="103"/>
      <c r="AM1054" s="103"/>
    </row>
    <row r="1055">
      <c r="A1055" s="290">
        <v>1054.0</v>
      </c>
      <c r="B1055" s="291">
        <v>44834.0</v>
      </c>
      <c r="C1055" s="195" t="str">
        <f t="shared" si="9"/>
        <v>92022</v>
      </c>
      <c r="D1055" s="292" t="s">
        <v>2381</v>
      </c>
      <c r="E1055" s="290" t="s">
        <v>1935</v>
      </c>
      <c r="F1055" s="292" t="s">
        <v>1423</v>
      </c>
      <c r="G1055" s="290" t="s">
        <v>64</v>
      </c>
      <c r="H1055" s="290" t="s">
        <v>41</v>
      </c>
      <c r="I1055" s="290" t="s">
        <v>643</v>
      </c>
      <c r="J1055" s="293">
        <v>1.0</v>
      </c>
      <c r="K1055" s="98"/>
      <c r="L1055" s="98"/>
      <c r="M1055" s="98"/>
      <c r="N1055" s="98"/>
      <c r="O1055" s="98"/>
      <c r="P1055" s="98"/>
      <c r="Q1055" s="99"/>
      <c r="R1055" s="99"/>
      <c r="S1055" s="290" t="s">
        <v>65</v>
      </c>
      <c r="T1055" s="290" t="s">
        <v>83</v>
      </c>
      <c r="U1055" s="290" t="s">
        <v>99</v>
      </c>
      <c r="V1055" s="290" t="s">
        <v>1984</v>
      </c>
      <c r="W1055" s="100"/>
      <c r="X1055" s="100"/>
      <c r="Y1055" s="100"/>
      <c r="Z1055" s="100"/>
      <c r="AA1055" s="294">
        <v>13800.0</v>
      </c>
      <c r="AB1055" s="294">
        <v>55200.0</v>
      </c>
      <c r="AC1055" s="24" t="s">
        <v>3062</v>
      </c>
      <c r="AD1055" s="195">
        <v>8792.0</v>
      </c>
      <c r="AE1055" s="38"/>
      <c r="AF1055" s="290" t="str">
        <f t="shared" si="1"/>
        <v>Capital Federal, Argentina</v>
      </c>
      <c r="AG1055" s="290">
        <f t="shared" si="2"/>
        <v>1</v>
      </c>
      <c r="AH1055" s="295">
        <f t="shared" si="3"/>
        <v>0</v>
      </c>
      <c r="AI1055" s="295">
        <f t="shared" si="4"/>
        <v>0</v>
      </c>
      <c r="AJ1055" s="294">
        <f t="shared" si="5"/>
        <v>69000</v>
      </c>
      <c r="AK1055" s="294">
        <f t="shared" si="6"/>
        <v>69000</v>
      </c>
      <c r="AL1055" s="103"/>
      <c r="AM1055" s="103"/>
    </row>
    <row r="1056">
      <c r="A1056" s="290">
        <v>1055.0</v>
      </c>
      <c r="B1056" s="291">
        <v>44834.0</v>
      </c>
      <c r="C1056" s="195" t="str">
        <f t="shared" si="9"/>
        <v>92022</v>
      </c>
      <c r="D1056" s="292" t="s">
        <v>3063</v>
      </c>
      <c r="E1056" s="290" t="s">
        <v>3064</v>
      </c>
      <c r="F1056" s="292" t="s">
        <v>3065</v>
      </c>
      <c r="G1056" s="290" t="s">
        <v>40</v>
      </c>
      <c r="H1056" s="290" t="s">
        <v>41</v>
      </c>
      <c r="I1056" s="290" t="s">
        <v>643</v>
      </c>
      <c r="J1056" s="293">
        <v>4.0</v>
      </c>
      <c r="K1056" s="293">
        <v>10.0</v>
      </c>
      <c r="L1056" s="98"/>
      <c r="M1056" s="293">
        <v>1.0</v>
      </c>
      <c r="N1056" s="98"/>
      <c r="O1056" s="293">
        <v>1.0</v>
      </c>
      <c r="P1056" s="98"/>
      <c r="Q1056" s="99"/>
      <c r="R1056" s="99"/>
      <c r="S1056" s="290" t="s">
        <v>65</v>
      </c>
      <c r="T1056" s="290" t="s">
        <v>972</v>
      </c>
      <c r="U1056" s="290" t="s">
        <v>342</v>
      </c>
      <c r="V1056" s="290" t="s">
        <v>2935</v>
      </c>
      <c r="W1056" s="100"/>
      <c r="X1056" s="100"/>
      <c r="Y1056" s="100"/>
      <c r="Z1056" s="100"/>
      <c r="AA1056" s="294">
        <v>155250.0</v>
      </c>
      <c r="AB1056" s="294">
        <v>639975.0</v>
      </c>
      <c r="AC1056" s="24" t="s">
        <v>3066</v>
      </c>
      <c r="AD1056" s="195">
        <v>8602.0</v>
      </c>
      <c r="AE1056" s="38"/>
      <c r="AF1056" s="290" t="str">
        <f t="shared" si="1"/>
        <v>Río Negro, Argentina</v>
      </c>
      <c r="AG1056" s="290">
        <f t="shared" si="2"/>
        <v>16</v>
      </c>
      <c r="AH1056" s="295">
        <f t="shared" si="3"/>
        <v>0</v>
      </c>
      <c r="AI1056" s="295">
        <f t="shared" si="4"/>
        <v>0</v>
      </c>
      <c r="AJ1056" s="294">
        <f t="shared" si="5"/>
        <v>795225</v>
      </c>
      <c r="AK1056" s="294">
        <f t="shared" si="6"/>
        <v>795225</v>
      </c>
      <c r="AL1056" s="103"/>
      <c r="AM1056" s="103"/>
    </row>
    <row r="1057">
      <c r="A1057" s="290">
        <v>1056.0</v>
      </c>
      <c r="B1057" s="291">
        <v>44834.0</v>
      </c>
      <c r="C1057" s="195" t="str">
        <f t="shared" si="9"/>
        <v>92022</v>
      </c>
      <c r="D1057" s="292" t="s">
        <v>3067</v>
      </c>
      <c r="E1057" s="290" t="s">
        <v>1881</v>
      </c>
      <c r="F1057" s="292" t="s">
        <v>3036</v>
      </c>
      <c r="G1057" s="290" t="s">
        <v>64</v>
      </c>
      <c r="H1057" s="290" t="s">
        <v>41</v>
      </c>
      <c r="I1057" s="290" t="s">
        <v>643</v>
      </c>
      <c r="J1057" s="98"/>
      <c r="K1057" s="293">
        <v>2.0</v>
      </c>
      <c r="L1057" s="98"/>
      <c r="M1057" s="98"/>
      <c r="N1057" s="98"/>
      <c r="O1057" s="98"/>
      <c r="P1057" s="98"/>
      <c r="Q1057" s="99"/>
      <c r="R1057" s="99"/>
      <c r="S1057" s="290" t="s">
        <v>137</v>
      </c>
      <c r="T1057" s="290" t="s">
        <v>66</v>
      </c>
      <c r="U1057" s="290" t="s">
        <v>99</v>
      </c>
      <c r="V1057" s="290" t="s">
        <v>1984</v>
      </c>
      <c r="W1057" s="100"/>
      <c r="X1057" s="100"/>
      <c r="Y1057" s="100"/>
      <c r="Z1057" s="100"/>
      <c r="AA1057" s="294">
        <v>22050.0</v>
      </c>
      <c r="AB1057" s="294">
        <v>99225.0</v>
      </c>
      <c r="AC1057" s="24" t="s">
        <v>3068</v>
      </c>
      <c r="AD1057" s="195">
        <v>8798.0</v>
      </c>
      <c r="AE1057" s="38"/>
      <c r="AF1057" s="290" t="str">
        <f t="shared" si="1"/>
        <v>Buenos Aires, Argentina</v>
      </c>
      <c r="AG1057" s="290">
        <f t="shared" si="2"/>
        <v>2</v>
      </c>
      <c r="AH1057" s="295">
        <f t="shared" si="3"/>
        <v>0</v>
      </c>
      <c r="AI1057" s="295">
        <f t="shared" si="4"/>
        <v>0</v>
      </c>
      <c r="AJ1057" s="294">
        <f t="shared" si="5"/>
        <v>121275</v>
      </c>
      <c r="AK1057" s="294">
        <f t="shared" si="6"/>
        <v>121275</v>
      </c>
      <c r="AL1057" s="103"/>
      <c r="AM1057" s="103"/>
    </row>
    <row r="1058">
      <c r="A1058" s="290">
        <v>1057.0</v>
      </c>
      <c r="B1058" s="291">
        <v>44834.0</v>
      </c>
      <c r="C1058" s="195" t="str">
        <f t="shared" si="9"/>
        <v>92022</v>
      </c>
      <c r="D1058" s="292" t="s">
        <v>3069</v>
      </c>
      <c r="E1058" s="290" t="s">
        <v>1877</v>
      </c>
      <c r="F1058" s="292" t="s">
        <v>1423</v>
      </c>
      <c r="G1058" s="290" t="s">
        <v>64</v>
      </c>
      <c r="H1058" s="290" t="s">
        <v>41</v>
      </c>
      <c r="I1058" s="290" t="s">
        <v>643</v>
      </c>
      <c r="J1058" s="293">
        <v>1.0</v>
      </c>
      <c r="K1058" s="98"/>
      <c r="L1058" s="98"/>
      <c r="M1058" s="98"/>
      <c r="N1058" s="98"/>
      <c r="O1058" s="98"/>
      <c r="P1058" s="98"/>
      <c r="Q1058" s="99"/>
      <c r="R1058" s="99"/>
      <c r="S1058" s="290" t="s">
        <v>189</v>
      </c>
      <c r="T1058" s="290" t="s">
        <v>66</v>
      </c>
      <c r="U1058" s="290" t="s">
        <v>99</v>
      </c>
      <c r="V1058" s="290" t="s">
        <v>1984</v>
      </c>
      <c r="W1058" s="100"/>
      <c r="X1058" s="100"/>
      <c r="Y1058" s="100"/>
      <c r="Z1058" s="100"/>
      <c r="AA1058" s="294">
        <v>13800.0</v>
      </c>
      <c r="AB1058" s="294">
        <v>55200.0</v>
      </c>
      <c r="AC1058" s="24" t="s">
        <v>3070</v>
      </c>
      <c r="AD1058" s="195">
        <v>8694.0</v>
      </c>
      <c r="AE1058" s="38"/>
      <c r="AF1058" s="290" t="str">
        <f t="shared" si="1"/>
        <v>Buenos Aires, Argentina</v>
      </c>
      <c r="AG1058" s="290">
        <f t="shared" si="2"/>
        <v>1</v>
      </c>
      <c r="AH1058" s="295">
        <f t="shared" si="3"/>
        <v>0</v>
      </c>
      <c r="AI1058" s="295">
        <f t="shared" si="4"/>
        <v>0</v>
      </c>
      <c r="AJ1058" s="294">
        <f t="shared" si="5"/>
        <v>69000</v>
      </c>
      <c r="AK1058" s="294">
        <f t="shared" si="6"/>
        <v>69000</v>
      </c>
      <c r="AL1058" s="103"/>
      <c r="AM1058" s="103"/>
    </row>
    <row r="1059">
      <c r="A1059" s="290">
        <v>1058.0</v>
      </c>
      <c r="B1059" s="291">
        <v>44834.0</v>
      </c>
      <c r="C1059" s="195" t="str">
        <f t="shared" si="9"/>
        <v>92022</v>
      </c>
      <c r="D1059" s="292" t="s">
        <v>3071</v>
      </c>
      <c r="E1059" s="290" t="s">
        <v>3072</v>
      </c>
      <c r="F1059" s="292" t="s">
        <v>1423</v>
      </c>
      <c r="G1059" s="290" t="s">
        <v>40</v>
      </c>
      <c r="H1059" s="290" t="s">
        <v>547</v>
      </c>
      <c r="I1059" s="290" t="s">
        <v>42</v>
      </c>
      <c r="J1059" s="293">
        <v>1.0</v>
      </c>
      <c r="K1059" s="98"/>
      <c r="L1059" s="98"/>
      <c r="M1059" s="98"/>
      <c r="N1059" s="98"/>
      <c r="O1059" s="98"/>
      <c r="P1059" s="98"/>
      <c r="Q1059" s="99"/>
      <c r="R1059" s="99"/>
      <c r="S1059" s="290" t="s">
        <v>105</v>
      </c>
      <c r="T1059" s="290" t="s">
        <v>66</v>
      </c>
      <c r="U1059" s="290" t="s">
        <v>342</v>
      </c>
      <c r="V1059" s="290" t="s">
        <v>2922</v>
      </c>
      <c r="W1059" s="100"/>
      <c r="X1059" s="100"/>
      <c r="Y1059" s="100"/>
      <c r="Z1059" s="100"/>
      <c r="AA1059" s="294">
        <v>8280.0</v>
      </c>
      <c r="AB1059" s="294">
        <v>33120.0</v>
      </c>
      <c r="AC1059" s="24" t="s">
        <v>3073</v>
      </c>
      <c r="AD1059" s="195">
        <v>8754.0</v>
      </c>
      <c r="AE1059" s="38"/>
      <c r="AF1059" s="290" t="str">
        <f t="shared" si="1"/>
        <v>Buenos Aires, Argentina</v>
      </c>
      <c r="AG1059" s="290">
        <f t="shared" si="2"/>
        <v>1</v>
      </c>
      <c r="AH1059" s="295">
        <f t="shared" si="3"/>
        <v>0</v>
      </c>
      <c r="AI1059" s="295">
        <f t="shared" si="4"/>
        <v>0</v>
      </c>
      <c r="AJ1059" s="294">
        <f t="shared" si="5"/>
        <v>41400</v>
      </c>
      <c r="AK1059" s="294">
        <f t="shared" si="6"/>
        <v>41400</v>
      </c>
      <c r="AL1059" s="103"/>
      <c r="AM1059" s="103"/>
    </row>
    <row r="1060">
      <c r="A1060" s="224">
        <v>1059.0</v>
      </c>
      <c r="B1060" s="225">
        <v>44846.0</v>
      </c>
      <c r="C1060" s="195" t="str">
        <f t="shared" si="9"/>
        <v>102022</v>
      </c>
      <c r="D1060" s="226" t="s">
        <v>3074</v>
      </c>
      <c r="E1060" s="224" t="s">
        <v>3075</v>
      </c>
      <c r="F1060" s="226" t="s">
        <v>2248</v>
      </c>
      <c r="G1060" s="224" t="s">
        <v>64</v>
      </c>
      <c r="H1060" s="224" t="s">
        <v>547</v>
      </c>
      <c r="I1060" s="224" t="s">
        <v>643</v>
      </c>
      <c r="J1060" s="228"/>
      <c r="K1060" s="228"/>
      <c r="L1060" s="228"/>
      <c r="M1060" s="228"/>
      <c r="N1060" s="228"/>
      <c r="O1060" s="228"/>
      <c r="P1060" s="228"/>
      <c r="Q1060" s="229"/>
      <c r="R1060" s="229"/>
      <c r="S1060" s="224" t="s">
        <v>105</v>
      </c>
      <c r="T1060" s="224" t="s">
        <v>66</v>
      </c>
      <c r="U1060" s="224" t="s">
        <v>99</v>
      </c>
      <c r="V1060" s="224" t="s">
        <v>1984</v>
      </c>
      <c r="W1060" s="230"/>
      <c r="X1060" s="230"/>
      <c r="Y1060" s="230"/>
      <c r="Z1060" s="230"/>
      <c r="AA1060" s="231">
        <v>0.0</v>
      </c>
      <c r="AB1060" s="231">
        <v>23814.0</v>
      </c>
      <c r="AC1060" s="24" t="s">
        <v>3076</v>
      </c>
      <c r="AD1060" s="195">
        <v>8438.0</v>
      </c>
      <c r="AE1060" s="38"/>
      <c r="AF1060" s="224" t="str">
        <f t="shared" si="1"/>
        <v>Buenos Aires, Argentina</v>
      </c>
      <c r="AG1060" s="224">
        <f t="shared" si="2"/>
        <v>0</v>
      </c>
      <c r="AH1060" s="232">
        <f t="shared" si="3"/>
        <v>0</v>
      </c>
      <c r="AI1060" s="232">
        <f t="shared" si="4"/>
        <v>0</v>
      </c>
      <c r="AJ1060" s="231">
        <f t="shared" si="5"/>
        <v>23814</v>
      </c>
      <c r="AK1060" s="231">
        <f t="shared" si="6"/>
        <v>23814</v>
      </c>
      <c r="AL1060" s="233"/>
      <c r="AM1060" s="233"/>
    </row>
    <row r="1061">
      <c r="A1061" s="224">
        <v>1060.0</v>
      </c>
      <c r="B1061" s="225">
        <v>44847.0</v>
      </c>
      <c r="C1061" s="195" t="str">
        <f t="shared" si="9"/>
        <v>102022</v>
      </c>
      <c r="D1061" s="226" t="s">
        <v>3077</v>
      </c>
      <c r="E1061" s="224" t="s">
        <v>2255</v>
      </c>
      <c r="F1061" s="226" t="s">
        <v>3036</v>
      </c>
      <c r="G1061" s="224" t="s">
        <v>64</v>
      </c>
      <c r="H1061" s="224" t="s">
        <v>41</v>
      </c>
      <c r="I1061" s="224" t="s">
        <v>643</v>
      </c>
      <c r="J1061" s="228"/>
      <c r="K1061" s="227">
        <v>2.0</v>
      </c>
      <c r="L1061" s="228"/>
      <c r="M1061" s="228"/>
      <c r="N1061" s="228"/>
      <c r="O1061" s="228"/>
      <c r="P1061" s="228"/>
      <c r="Q1061" s="229"/>
      <c r="R1061" s="229"/>
      <c r="S1061" s="224" t="s">
        <v>65</v>
      </c>
      <c r="T1061" s="224" t="s">
        <v>66</v>
      </c>
      <c r="U1061" s="224" t="s">
        <v>99</v>
      </c>
      <c r="V1061" s="224" t="s">
        <v>1984</v>
      </c>
      <c r="W1061" s="230"/>
      <c r="X1061" s="230"/>
      <c r="Y1061" s="230"/>
      <c r="Z1061" s="230"/>
      <c r="AA1061" s="231">
        <v>26460.0</v>
      </c>
      <c r="AB1061" s="231">
        <v>105840.0</v>
      </c>
      <c r="AC1061" s="24" t="s">
        <v>3078</v>
      </c>
      <c r="AD1061" s="195">
        <v>8860.0</v>
      </c>
      <c r="AE1061" s="38"/>
      <c r="AF1061" s="224" t="str">
        <f t="shared" si="1"/>
        <v>Buenos Aires, Argentina</v>
      </c>
      <c r="AG1061" s="224">
        <f t="shared" si="2"/>
        <v>2</v>
      </c>
      <c r="AH1061" s="232">
        <f t="shared" si="3"/>
        <v>0</v>
      </c>
      <c r="AI1061" s="232">
        <f t="shared" si="4"/>
        <v>0</v>
      </c>
      <c r="AJ1061" s="231">
        <f t="shared" si="5"/>
        <v>132300</v>
      </c>
      <c r="AK1061" s="231">
        <f t="shared" si="6"/>
        <v>132300</v>
      </c>
      <c r="AL1061" s="233"/>
      <c r="AM1061" s="233"/>
    </row>
    <row r="1062">
      <c r="A1062" s="224">
        <v>1061.0</v>
      </c>
      <c r="B1062" s="225">
        <v>44847.0</v>
      </c>
      <c r="C1062" s="195" t="str">
        <f t="shared" si="9"/>
        <v>102022</v>
      </c>
      <c r="D1062" s="226" t="s">
        <v>2735</v>
      </c>
      <c r="E1062" s="224" t="s">
        <v>2736</v>
      </c>
      <c r="F1062" s="226" t="s">
        <v>3079</v>
      </c>
      <c r="G1062" s="224" t="s">
        <v>64</v>
      </c>
      <c r="H1062" s="224" t="s">
        <v>41</v>
      </c>
      <c r="I1062" s="224" t="s">
        <v>643</v>
      </c>
      <c r="J1062" s="228"/>
      <c r="K1062" s="228"/>
      <c r="L1062" s="228"/>
      <c r="M1062" s="228"/>
      <c r="N1062" s="228"/>
      <c r="O1062" s="228"/>
      <c r="P1062" s="228"/>
      <c r="Q1062" s="229"/>
      <c r="R1062" s="229"/>
      <c r="S1062" s="224" t="s">
        <v>105</v>
      </c>
      <c r="T1062" s="224" t="s">
        <v>66</v>
      </c>
      <c r="U1062" s="224" t="s">
        <v>99</v>
      </c>
      <c r="V1062" s="224" t="s">
        <v>2935</v>
      </c>
      <c r="W1062" s="230"/>
      <c r="X1062" s="230"/>
      <c r="Y1062" s="230"/>
      <c r="Z1062" s="230"/>
      <c r="AA1062" s="231">
        <v>0.0</v>
      </c>
      <c r="AB1062" s="231">
        <v>211680.0</v>
      </c>
      <c r="AC1062" s="24" t="s">
        <v>3080</v>
      </c>
      <c r="AD1062" s="195">
        <v>8712.0</v>
      </c>
      <c r="AE1062" s="38"/>
      <c r="AF1062" s="224" t="str">
        <f t="shared" si="1"/>
        <v>Buenos Aires, Argentina</v>
      </c>
      <c r="AG1062" s="224">
        <f t="shared" si="2"/>
        <v>0</v>
      </c>
      <c r="AH1062" s="232">
        <f t="shared" si="3"/>
        <v>0</v>
      </c>
      <c r="AI1062" s="232">
        <f t="shared" si="4"/>
        <v>0</v>
      </c>
      <c r="AJ1062" s="231">
        <f t="shared" si="5"/>
        <v>211680</v>
      </c>
      <c r="AK1062" s="231">
        <f t="shared" si="6"/>
        <v>211680</v>
      </c>
      <c r="AL1062" s="233"/>
      <c r="AM1062" s="233"/>
    </row>
    <row r="1063">
      <c r="A1063" s="224">
        <v>1062.0</v>
      </c>
      <c r="B1063" s="225">
        <v>44852.0</v>
      </c>
      <c r="C1063" s="195" t="str">
        <f t="shared" si="9"/>
        <v>102022</v>
      </c>
      <c r="D1063" s="226" t="s">
        <v>2735</v>
      </c>
      <c r="E1063" s="224" t="s">
        <v>2736</v>
      </c>
      <c r="F1063" s="226" t="s">
        <v>3081</v>
      </c>
      <c r="G1063" s="224" t="s">
        <v>64</v>
      </c>
      <c r="H1063" s="224" t="s">
        <v>41</v>
      </c>
      <c r="I1063" s="224" t="s">
        <v>643</v>
      </c>
      <c r="J1063" s="227">
        <v>6.0</v>
      </c>
      <c r="K1063" s="228"/>
      <c r="L1063" s="228"/>
      <c r="M1063" s="228"/>
      <c r="N1063" s="227">
        <v>1.0</v>
      </c>
      <c r="O1063" s="227">
        <v>1.0</v>
      </c>
      <c r="P1063" s="228"/>
      <c r="Q1063" s="229"/>
      <c r="R1063" s="229"/>
      <c r="S1063" s="224" t="s">
        <v>105</v>
      </c>
      <c r="T1063" s="224" t="s">
        <v>66</v>
      </c>
      <c r="U1063" s="224" t="s">
        <v>99</v>
      </c>
      <c r="V1063" s="224" t="s">
        <v>1984</v>
      </c>
      <c r="W1063" s="230"/>
      <c r="X1063" s="230"/>
      <c r="Y1063" s="230"/>
      <c r="Z1063" s="230"/>
      <c r="AA1063" s="231">
        <v>111720.0</v>
      </c>
      <c r="AB1063" s="231">
        <v>446880.0</v>
      </c>
      <c r="AC1063" s="24" t="s">
        <v>3082</v>
      </c>
      <c r="AD1063" s="195">
        <v>8872.0</v>
      </c>
      <c r="AE1063" s="38"/>
      <c r="AF1063" s="224" t="str">
        <f t="shared" si="1"/>
        <v>Buenos Aires, Argentina</v>
      </c>
      <c r="AG1063" s="224">
        <f t="shared" si="2"/>
        <v>8</v>
      </c>
      <c r="AH1063" s="232">
        <f t="shared" si="3"/>
        <v>0</v>
      </c>
      <c r="AI1063" s="232">
        <f t="shared" si="4"/>
        <v>0</v>
      </c>
      <c r="AJ1063" s="231">
        <f t="shared" si="5"/>
        <v>558600</v>
      </c>
      <c r="AK1063" s="231">
        <f t="shared" si="6"/>
        <v>558600</v>
      </c>
      <c r="AL1063" s="233"/>
      <c r="AM1063" s="233"/>
    </row>
    <row r="1064">
      <c r="A1064" s="224">
        <v>1063.0</v>
      </c>
      <c r="B1064" s="225">
        <v>44853.0</v>
      </c>
      <c r="C1064" s="195" t="str">
        <f t="shared" si="9"/>
        <v>102022</v>
      </c>
      <c r="D1064" s="226" t="s">
        <v>3083</v>
      </c>
      <c r="E1064" s="224" t="s">
        <v>3084</v>
      </c>
      <c r="F1064" s="226" t="s">
        <v>3085</v>
      </c>
      <c r="G1064" s="224" t="s">
        <v>40</v>
      </c>
      <c r="H1064" s="224" t="s">
        <v>41</v>
      </c>
      <c r="I1064" s="224" t="s">
        <v>643</v>
      </c>
      <c r="J1064" s="227">
        <v>8.0</v>
      </c>
      <c r="K1064" s="227">
        <v>21.0</v>
      </c>
      <c r="L1064" s="227">
        <v>2.0</v>
      </c>
      <c r="M1064" s="227">
        <v>1.0</v>
      </c>
      <c r="N1064" s="228"/>
      <c r="O1064" s="227">
        <v>1.0</v>
      </c>
      <c r="P1064" s="228"/>
      <c r="Q1064" s="229"/>
      <c r="R1064" s="229"/>
      <c r="S1064" s="224" t="s">
        <v>65</v>
      </c>
      <c r="T1064" s="224" t="s">
        <v>66</v>
      </c>
      <c r="U1064" s="224" t="s">
        <v>99</v>
      </c>
      <c r="V1064" s="224" t="s">
        <v>988</v>
      </c>
      <c r="W1064" s="230"/>
      <c r="X1064" s="230"/>
      <c r="Y1064" s="230"/>
      <c r="Z1064" s="230"/>
      <c r="AA1064" s="231">
        <v>380730.0</v>
      </c>
      <c r="AB1064" s="231">
        <v>1575840.0</v>
      </c>
      <c r="AC1064" s="24" t="s">
        <v>3086</v>
      </c>
      <c r="AD1064" s="195">
        <v>8396.0</v>
      </c>
      <c r="AE1064" s="38"/>
      <c r="AF1064" s="224" t="str">
        <f t="shared" si="1"/>
        <v>Buenos Aires, Argentina</v>
      </c>
      <c r="AG1064" s="224">
        <f t="shared" si="2"/>
        <v>33</v>
      </c>
      <c r="AH1064" s="232">
        <f t="shared" si="3"/>
        <v>0</v>
      </c>
      <c r="AI1064" s="232">
        <f t="shared" si="4"/>
        <v>0</v>
      </c>
      <c r="AJ1064" s="231">
        <f t="shared" si="5"/>
        <v>1956570</v>
      </c>
      <c r="AK1064" s="231">
        <f t="shared" si="6"/>
        <v>1956570</v>
      </c>
      <c r="AL1064" s="233"/>
      <c r="AM1064" s="233"/>
    </row>
    <row r="1065">
      <c r="A1065" s="224">
        <v>1064.0</v>
      </c>
      <c r="B1065" s="225">
        <v>44858.0</v>
      </c>
      <c r="C1065" s="195" t="str">
        <f t="shared" si="9"/>
        <v>102022</v>
      </c>
      <c r="D1065" s="226" t="s">
        <v>3087</v>
      </c>
      <c r="E1065" s="224" t="s">
        <v>3088</v>
      </c>
      <c r="F1065" s="226" t="s">
        <v>3089</v>
      </c>
      <c r="G1065" s="224" t="s">
        <v>40</v>
      </c>
      <c r="H1065" s="224" t="s">
        <v>41</v>
      </c>
      <c r="I1065" s="224" t="s">
        <v>643</v>
      </c>
      <c r="J1065" s="227">
        <v>2.0</v>
      </c>
      <c r="K1065" s="227">
        <v>3.0</v>
      </c>
      <c r="L1065" s="228"/>
      <c r="M1065" s="228"/>
      <c r="N1065" s="228"/>
      <c r="O1065" s="228"/>
      <c r="P1065" s="228"/>
      <c r="Q1065" s="229"/>
      <c r="R1065" s="229"/>
      <c r="S1065" s="224" t="s">
        <v>105</v>
      </c>
      <c r="T1065" s="224" t="s">
        <v>73</v>
      </c>
      <c r="U1065" s="224" t="s">
        <v>342</v>
      </c>
      <c r="V1065" s="224" t="s">
        <v>2945</v>
      </c>
      <c r="W1065" s="230"/>
      <c r="X1065" s="230"/>
      <c r="Y1065" s="230"/>
      <c r="Z1065" s="230"/>
      <c r="AA1065" s="231">
        <v>62475.0</v>
      </c>
      <c r="AB1065" s="231">
        <v>218662.0</v>
      </c>
      <c r="AC1065" s="24" t="s">
        <v>3090</v>
      </c>
      <c r="AD1065" s="195">
        <v>8878.0</v>
      </c>
      <c r="AE1065" s="38"/>
      <c r="AF1065" s="224" t="str">
        <f t="shared" si="1"/>
        <v>Tierra de Fuego, Argentina</v>
      </c>
      <c r="AG1065" s="224">
        <f t="shared" si="2"/>
        <v>5</v>
      </c>
      <c r="AH1065" s="232">
        <f t="shared" si="3"/>
        <v>0</v>
      </c>
      <c r="AI1065" s="232">
        <f t="shared" si="4"/>
        <v>0</v>
      </c>
      <c r="AJ1065" s="231">
        <f t="shared" si="5"/>
        <v>281137</v>
      </c>
      <c r="AK1065" s="231">
        <f t="shared" si="6"/>
        <v>281137</v>
      </c>
      <c r="AL1065" s="233"/>
      <c r="AM1065" s="233"/>
    </row>
    <row r="1066">
      <c r="A1066" s="224">
        <v>1065.0</v>
      </c>
      <c r="B1066" s="225">
        <v>44858.0</v>
      </c>
      <c r="C1066" s="195" t="str">
        <f t="shared" si="9"/>
        <v>102022</v>
      </c>
      <c r="D1066" s="226" t="s">
        <v>2913</v>
      </c>
      <c r="E1066" s="224" t="s">
        <v>3091</v>
      </c>
      <c r="F1066" s="226" t="s">
        <v>3092</v>
      </c>
      <c r="G1066" s="224" t="s">
        <v>64</v>
      </c>
      <c r="H1066" s="224" t="s">
        <v>41</v>
      </c>
      <c r="I1066" s="224" t="s">
        <v>643</v>
      </c>
      <c r="J1066" s="228"/>
      <c r="K1066" s="228"/>
      <c r="L1066" s="228"/>
      <c r="M1066" s="228"/>
      <c r="N1066" s="228"/>
      <c r="O1066" s="228"/>
      <c r="P1066" s="228"/>
      <c r="Q1066" s="229"/>
      <c r="R1066" s="229"/>
      <c r="S1066" s="224" t="s">
        <v>65</v>
      </c>
      <c r="T1066" s="224" t="s">
        <v>66</v>
      </c>
      <c r="U1066" s="224" t="s">
        <v>99</v>
      </c>
      <c r="V1066" s="224" t="s">
        <v>2935</v>
      </c>
      <c r="W1066" s="231">
        <v>10563.0</v>
      </c>
      <c r="X1066" s="231">
        <v>42252.0</v>
      </c>
      <c r="Y1066" s="230"/>
      <c r="Z1066" s="230"/>
      <c r="AA1066" s="231">
        <v>0.0</v>
      </c>
      <c r="AB1066" s="231">
        <v>0.0</v>
      </c>
      <c r="AC1066" s="24" t="s">
        <v>3093</v>
      </c>
      <c r="AD1066" s="195">
        <v>8852.0</v>
      </c>
      <c r="AE1066" s="38"/>
      <c r="AF1066" s="224" t="str">
        <f t="shared" si="1"/>
        <v>Buenos Aires, Argentina</v>
      </c>
      <c r="AG1066" s="224">
        <f t="shared" si="2"/>
        <v>0</v>
      </c>
      <c r="AH1066" s="232">
        <f t="shared" si="3"/>
        <v>52815</v>
      </c>
      <c r="AI1066" s="232">
        <f t="shared" si="4"/>
        <v>0</v>
      </c>
      <c r="AJ1066" s="231">
        <f t="shared" si="5"/>
        <v>0</v>
      </c>
      <c r="AK1066" s="231">
        <f t="shared" si="6"/>
        <v>52815</v>
      </c>
      <c r="AL1066" s="233"/>
      <c r="AM1066" s="233"/>
    </row>
    <row r="1067">
      <c r="A1067" s="224">
        <v>1066.0</v>
      </c>
      <c r="B1067" s="225">
        <v>44858.0</v>
      </c>
      <c r="C1067" s="195" t="str">
        <f t="shared" si="9"/>
        <v>102022</v>
      </c>
      <c r="D1067" s="226" t="s">
        <v>3094</v>
      </c>
      <c r="E1067" s="224" t="s">
        <v>3095</v>
      </c>
      <c r="F1067" s="226" t="s">
        <v>3096</v>
      </c>
      <c r="G1067" s="224" t="s">
        <v>40</v>
      </c>
      <c r="H1067" s="224" t="s">
        <v>41</v>
      </c>
      <c r="I1067" s="224" t="s">
        <v>42</v>
      </c>
      <c r="J1067" s="227">
        <v>2.0</v>
      </c>
      <c r="K1067" s="227">
        <v>5.0</v>
      </c>
      <c r="L1067" s="228"/>
      <c r="M1067" s="227">
        <v>1.0</v>
      </c>
      <c r="N1067" s="228"/>
      <c r="O1067" s="228"/>
      <c r="P1067" s="227">
        <v>1.0</v>
      </c>
      <c r="Q1067" s="229"/>
      <c r="R1067" s="229"/>
      <c r="S1067" s="224" t="s">
        <v>189</v>
      </c>
      <c r="T1067" s="224" t="s">
        <v>66</v>
      </c>
      <c r="U1067" s="224" t="s">
        <v>342</v>
      </c>
      <c r="V1067" s="224" t="s">
        <v>2922</v>
      </c>
      <c r="W1067" s="230"/>
      <c r="X1067" s="230"/>
      <c r="Y1067" s="230"/>
      <c r="Z1067" s="230"/>
      <c r="AA1067" s="231">
        <v>110250.0</v>
      </c>
      <c r="AB1067" s="231">
        <v>355005.0</v>
      </c>
      <c r="AC1067" s="24" t="s">
        <v>3097</v>
      </c>
      <c r="AD1067" s="195">
        <v>8924.0</v>
      </c>
      <c r="AE1067" s="38"/>
      <c r="AF1067" s="224" t="str">
        <f t="shared" si="1"/>
        <v>Buenos Aires, Argentina</v>
      </c>
      <c r="AG1067" s="224">
        <f t="shared" si="2"/>
        <v>9</v>
      </c>
      <c r="AH1067" s="232">
        <f t="shared" si="3"/>
        <v>0</v>
      </c>
      <c r="AI1067" s="232">
        <f t="shared" si="4"/>
        <v>0</v>
      </c>
      <c r="AJ1067" s="231">
        <f t="shared" si="5"/>
        <v>465255</v>
      </c>
      <c r="AK1067" s="231">
        <f t="shared" si="6"/>
        <v>465255</v>
      </c>
      <c r="AL1067" s="233"/>
      <c r="AM1067" s="233"/>
    </row>
    <row r="1068">
      <c r="A1068" s="224">
        <v>1067.0</v>
      </c>
      <c r="B1068" s="225">
        <v>44859.0</v>
      </c>
      <c r="C1068" s="195" t="str">
        <f t="shared" si="9"/>
        <v>102022</v>
      </c>
      <c r="D1068" s="226" t="s">
        <v>3042</v>
      </c>
      <c r="E1068" s="224" t="s">
        <v>3043</v>
      </c>
      <c r="F1068" s="226" t="s">
        <v>1423</v>
      </c>
      <c r="G1068" s="224" t="s">
        <v>64</v>
      </c>
      <c r="H1068" s="224" t="s">
        <v>41</v>
      </c>
      <c r="I1068" s="224" t="s">
        <v>643</v>
      </c>
      <c r="J1068" s="227">
        <v>1.0</v>
      </c>
      <c r="K1068" s="228"/>
      <c r="L1068" s="228"/>
      <c r="M1068" s="228"/>
      <c r="N1068" s="228"/>
      <c r="O1068" s="228"/>
      <c r="P1068" s="228"/>
      <c r="Q1068" s="229"/>
      <c r="R1068" s="229"/>
      <c r="S1068" s="224" t="s">
        <v>105</v>
      </c>
      <c r="T1068" s="224" t="s">
        <v>66</v>
      </c>
      <c r="U1068" s="224" t="s">
        <v>99</v>
      </c>
      <c r="V1068" s="224" t="s">
        <v>1984</v>
      </c>
      <c r="W1068" s="230"/>
      <c r="X1068" s="230"/>
      <c r="Y1068" s="230"/>
      <c r="Z1068" s="230"/>
      <c r="AA1068" s="231">
        <v>14700.0</v>
      </c>
      <c r="AB1068" s="231">
        <v>58800.0</v>
      </c>
      <c r="AC1068" s="24" t="s">
        <v>3098</v>
      </c>
      <c r="AD1068" s="195">
        <v>8948.0</v>
      </c>
      <c r="AE1068" s="38"/>
      <c r="AF1068" s="224" t="str">
        <f t="shared" si="1"/>
        <v>Buenos Aires, Argentina</v>
      </c>
      <c r="AG1068" s="224">
        <f t="shared" si="2"/>
        <v>1</v>
      </c>
      <c r="AH1068" s="232">
        <f t="shared" si="3"/>
        <v>0</v>
      </c>
      <c r="AI1068" s="232">
        <f t="shared" si="4"/>
        <v>0</v>
      </c>
      <c r="AJ1068" s="231">
        <f t="shared" si="5"/>
        <v>73500</v>
      </c>
      <c r="AK1068" s="231">
        <f t="shared" si="6"/>
        <v>73500</v>
      </c>
      <c r="AL1068" s="233"/>
      <c r="AM1068" s="233"/>
    </row>
    <row r="1069">
      <c r="A1069" s="224">
        <v>1068.0</v>
      </c>
      <c r="B1069" s="225">
        <v>44859.0</v>
      </c>
      <c r="C1069" s="195" t="str">
        <f t="shared" si="9"/>
        <v>102022</v>
      </c>
      <c r="D1069" s="226" t="s">
        <v>3099</v>
      </c>
      <c r="E1069" s="224" t="s">
        <v>3100</v>
      </c>
      <c r="F1069" s="226" t="s">
        <v>1423</v>
      </c>
      <c r="G1069" s="224" t="s">
        <v>40</v>
      </c>
      <c r="H1069" s="224" t="s">
        <v>41</v>
      </c>
      <c r="I1069" s="224" t="s">
        <v>42</v>
      </c>
      <c r="J1069" s="227">
        <v>1.0</v>
      </c>
      <c r="K1069" s="228"/>
      <c r="L1069" s="228"/>
      <c r="M1069" s="228"/>
      <c r="N1069" s="228"/>
      <c r="O1069" s="228"/>
      <c r="P1069" s="228"/>
      <c r="Q1069" s="229"/>
      <c r="R1069" s="229"/>
      <c r="S1069" s="224" t="s">
        <v>109</v>
      </c>
      <c r="T1069" s="224" t="s">
        <v>66</v>
      </c>
      <c r="U1069" s="224" t="s">
        <v>342</v>
      </c>
      <c r="V1069" s="224" t="s">
        <v>2922</v>
      </c>
      <c r="W1069" s="230"/>
      <c r="X1069" s="230"/>
      <c r="Y1069" s="230"/>
      <c r="Z1069" s="230"/>
      <c r="AA1069" s="231">
        <v>14700.0</v>
      </c>
      <c r="AB1069" s="231">
        <v>51450.0</v>
      </c>
      <c r="AC1069" s="24" t="s">
        <v>3101</v>
      </c>
      <c r="AD1069" s="195">
        <v>8904.0</v>
      </c>
      <c r="AE1069" s="38"/>
      <c r="AF1069" s="224" t="str">
        <f t="shared" si="1"/>
        <v>Buenos Aires, Argentina</v>
      </c>
      <c r="AG1069" s="224">
        <f t="shared" si="2"/>
        <v>1</v>
      </c>
      <c r="AH1069" s="232">
        <f t="shared" si="3"/>
        <v>0</v>
      </c>
      <c r="AI1069" s="232">
        <f t="shared" si="4"/>
        <v>0</v>
      </c>
      <c r="AJ1069" s="231">
        <f t="shared" si="5"/>
        <v>66150</v>
      </c>
      <c r="AK1069" s="231">
        <f t="shared" si="6"/>
        <v>66150</v>
      </c>
      <c r="AL1069" s="233"/>
      <c r="AM1069" s="233"/>
    </row>
    <row r="1070">
      <c r="A1070" s="224">
        <v>1069.0</v>
      </c>
      <c r="B1070" s="225">
        <v>44860.0</v>
      </c>
      <c r="C1070" s="195" t="str">
        <f t="shared" si="9"/>
        <v>102022</v>
      </c>
      <c r="D1070" s="226" t="s">
        <v>2084</v>
      </c>
      <c r="E1070" s="224" t="s">
        <v>2085</v>
      </c>
      <c r="F1070" s="226" t="s">
        <v>1423</v>
      </c>
      <c r="G1070" s="224" t="s">
        <v>64</v>
      </c>
      <c r="H1070" s="224" t="s">
        <v>41</v>
      </c>
      <c r="I1070" s="224" t="s">
        <v>643</v>
      </c>
      <c r="J1070" s="227">
        <v>1.0</v>
      </c>
      <c r="K1070" s="228"/>
      <c r="L1070" s="228"/>
      <c r="M1070" s="228"/>
      <c r="N1070" s="228"/>
      <c r="O1070" s="228"/>
      <c r="P1070" s="228"/>
      <c r="Q1070" s="229"/>
      <c r="R1070" s="229"/>
      <c r="S1070" s="224" t="s">
        <v>167</v>
      </c>
      <c r="T1070" s="224" t="s">
        <v>83</v>
      </c>
      <c r="U1070" s="224" t="s">
        <v>99</v>
      </c>
      <c r="V1070" s="224" t="s">
        <v>1984</v>
      </c>
      <c r="W1070" s="230"/>
      <c r="X1070" s="230"/>
      <c r="Y1070" s="230"/>
      <c r="Z1070" s="230"/>
      <c r="AA1070" s="231">
        <v>14700.0</v>
      </c>
      <c r="AB1070" s="231">
        <v>58800.0</v>
      </c>
      <c r="AC1070" s="24" t="s">
        <v>3102</v>
      </c>
      <c r="AD1070" s="195">
        <v>8960.0</v>
      </c>
      <c r="AE1070" s="38"/>
      <c r="AF1070" s="224" t="str">
        <f t="shared" si="1"/>
        <v>Capital Federal, Argentina</v>
      </c>
      <c r="AG1070" s="224">
        <f t="shared" si="2"/>
        <v>1</v>
      </c>
      <c r="AH1070" s="232">
        <f t="shared" si="3"/>
        <v>0</v>
      </c>
      <c r="AI1070" s="232">
        <f t="shared" si="4"/>
        <v>0</v>
      </c>
      <c r="AJ1070" s="231">
        <f t="shared" si="5"/>
        <v>73500</v>
      </c>
      <c r="AK1070" s="231">
        <f t="shared" si="6"/>
        <v>73500</v>
      </c>
      <c r="AL1070" s="233"/>
      <c r="AM1070" s="233"/>
    </row>
    <row r="1071">
      <c r="A1071" s="224">
        <v>1070.0</v>
      </c>
      <c r="B1071" s="225">
        <v>44860.0</v>
      </c>
      <c r="C1071" s="195" t="str">
        <f t="shared" si="9"/>
        <v>102022</v>
      </c>
      <c r="D1071" s="226" t="s">
        <v>2666</v>
      </c>
      <c r="E1071" s="224" t="s">
        <v>2667</v>
      </c>
      <c r="F1071" s="226" t="s">
        <v>1415</v>
      </c>
      <c r="G1071" s="224" t="s">
        <v>64</v>
      </c>
      <c r="H1071" s="224" t="s">
        <v>41</v>
      </c>
      <c r="I1071" s="224" t="s">
        <v>643</v>
      </c>
      <c r="J1071" s="228"/>
      <c r="K1071" s="227">
        <v>1.0</v>
      </c>
      <c r="L1071" s="228"/>
      <c r="M1071" s="228"/>
      <c r="N1071" s="228"/>
      <c r="O1071" s="228"/>
      <c r="P1071" s="228"/>
      <c r="Q1071" s="229"/>
      <c r="R1071" s="229"/>
      <c r="S1071" s="224" t="s">
        <v>204</v>
      </c>
      <c r="T1071" s="224" t="s">
        <v>66</v>
      </c>
      <c r="U1071" s="224" t="s">
        <v>99</v>
      </c>
      <c r="V1071" s="224" t="s">
        <v>1984</v>
      </c>
      <c r="W1071" s="230"/>
      <c r="X1071" s="230"/>
      <c r="Y1071" s="230"/>
      <c r="Z1071" s="230"/>
      <c r="AA1071" s="231">
        <v>11025.0</v>
      </c>
      <c r="AB1071" s="231">
        <v>44100.0</v>
      </c>
      <c r="AC1071" s="24" t="s">
        <v>3103</v>
      </c>
      <c r="AD1071" s="195">
        <v>8692.0</v>
      </c>
      <c r="AE1071" s="38"/>
      <c r="AF1071" s="224" t="str">
        <f t="shared" si="1"/>
        <v>Buenos Aires, Argentina</v>
      </c>
      <c r="AG1071" s="224">
        <f t="shared" si="2"/>
        <v>1</v>
      </c>
      <c r="AH1071" s="232">
        <f t="shared" si="3"/>
        <v>0</v>
      </c>
      <c r="AI1071" s="232">
        <f t="shared" si="4"/>
        <v>0</v>
      </c>
      <c r="AJ1071" s="231">
        <f t="shared" si="5"/>
        <v>55125</v>
      </c>
      <c r="AK1071" s="231">
        <f t="shared" si="6"/>
        <v>55125</v>
      </c>
      <c r="AL1071" s="233"/>
      <c r="AM1071" s="233"/>
    </row>
    <row r="1072">
      <c r="A1072" s="224">
        <v>1071.0</v>
      </c>
      <c r="B1072" s="225">
        <v>44865.0</v>
      </c>
      <c r="C1072" s="195" t="str">
        <f t="shared" si="9"/>
        <v>102022</v>
      </c>
      <c r="D1072" s="226" t="s">
        <v>795</v>
      </c>
      <c r="E1072" s="224" t="s">
        <v>796</v>
      </c>
      <c r="F1072" s="226" t="s">
        <v>1415</v>
      </c>
      <c r="G1072" s="224" t="s">
        <v>64</v>
      </c>
      <c r="H1072" s="224" t="s">
        <v>41</v>
      </c>
      <c r="I1072" s="224" t="s">
        <v>643</v>
      </c>
      <c r="J1072" s="228"/>
      <c r="K1072" s="227">
        <v>1.0</v>
      </c>
      <c r="L1072" s="228"/>
      <c r="M1072" s="228"/>
      <c r="N1072" s="228"/>
      <c r="O1072" s="228"/>
      <c r="P1072" s="228"/>
      <c r="Q1072" s="229"/>
      <c r="R1072" s="229"/>
      <c r="S1072" s="224" t="s">
        <v>98</v>
      </c>
      <c r="T1072" s="224" t="s">
        <v>66</v>
      </c>
      <c r="U1072" s="224" t="s">
        <v>99</v>
      </c>
      <c r="V1072" s="224" t="s">
        <v>1984</v>
      </c>
      <c r="W1072" s="230"/>
      <c r="X1072" s="230"/>
      <c r="Y1072" s="230"/>
      <c r="Z1072" s="230"/>
      <c r="AA1072" s="231">
        <v>11025.0</v>
      </c>
      <c r="AB1072" s="231">
        <v>44100.0</v>
      </c>
      <c r="AC1072" s="24" t="s">
        <v>3104</v>
      </c>
      <c r="AD1072" s="195">
        <v>8928.0</v>
      </c>
      <c r="AE1072" s="38"/>
      <c r="AF1072" s="224" t="str">
        <f t="shared" si="1"/>
        <v>Buenos Aires, Argentina</v>
      </c>
      <c r="AG1072" s="224">
        <f t="shared" si="2"/>
        <v>1</v>
      </c>
      <c r="AH1072" s="232">
        <f t="shared" si="3"/>
        <v>0</v>
      </c>
      <c r="AI1072" s="232">
        <f t="shared" si="4"/>
        <v>0</v>
      </c>
      <c r="AJ1072" s="231">
        <f t="shared" si="5"/>
        <v>55125</v>
      </c>
      <c r="AK1072" s="231">
        <f t="shared" si="6"/>
        <v>55125</v>
      </c>
      <c r="AL1072" s="233"/>
      <c r="AM1072" s="233"/>
    </row>
    <row r="1073">
      <c r="A1073" s="224">
        <v>1072.0</v>
      </c>
      <c r="B1073" s="225">
        <v>44865.0</v>
      </c>
      <c r="C1073" s="195" t="str">
        <f t="shared" si="9"/>
        <v>102022</v>
      </c>
      <c r="D1073" s="226" t="s">
        <v>2888</v>
      </c>
      <c r="E1073" s="224" t="s">
        <v>2889</v>
      </c>
      <c r="F1073" s="226" t="s">
        <v>1415</v>
      </c>
      <c r="G1073" s="224" t="s">
        <v>64</v>
      </c>
      <c r="H1073" s="224" t="s">
        <v>41</v>
      </c>
      <c r="I1073" s="224" t="s">
        <v>643</v>
      </c>
      <c r="J1073" s="228"/>
      <c r="K1073" s="227">
        <v>1.0</v>
      </c>
      <c r="L1073" s="228"/>
      <c r="M1073" s="228"/>
      <c r="N1073" s="228"/>
      <c r="O1073" s="228"/>
      <c r="P1073" s="228"/>
      <c r="Q1073" s="229"/>
      <c r="R1073" s="229"/>
      <c r="S1073" s="224" t="s">
        <v>89</v>
      </c>
      <c r="T1073" s="224" t="s">
        <v>83</v>
      </c>
      <c r="U1073" s="224" t="s">
        <v>99</v>
      </c>
      <c r="V1073" s="224" t="s">
        <v>1984</v>
      </c>
      <c r="W1073" s="230"/>
      <c r="X1073" s="230"/>
      <c r="Y1073" s="230"/>
      <c r="Z1073" s="230"/>
      <c r="AA1073" s="231">
        <v>11025.0</v>
      </c>
      <c r="AB1073" s="231">
        <v>44100.0</v>
      </c>
      <c r="AC1073" s="24" t="s">
        <v>3105</v>
      </c>
      <c r="AD1073" s="195">
        <v>8938.0</v>
      </c>
      <c r="AE1073" s="38"/>
      <c r="AF1073" s="224" t="str">
        <f t="shared" si="1"/>
        <v>Capital Federal, Argentina</v>
      </c>
      <c r="AG1073" s="224">
        <f t="shared" si="2"/>
        <v>1</v>
      </c>
      <c r="AH1073" s="232">
        <f t="shared" si="3"/>
        <v>0</v>
      </c>
      <c r="AI1073" s="232">
        <f t="shared" si="4"/>
        <v>0</v>
      </c>
      <c r="AJ1073" s="231">
        <f t="shared" si="5"/>
        <v>55125</v>
      </c>
      <c r="AK1073" s="231">
        <f t="shared" si="6"/>
        <v>55125</v>
      </c>
      <c r="AL1073" s="233"/>
      <c r="AM1073" s="233"/>
    </row>
    <row r="1074">
      <c r="A1074" s="224">
        <v>1073.0</v>
      </c>
      <c r="B1074" s="225">
        <v>44865.0</v>
      </c>
      <c r="C1074" s="195" t="str">
        <f t="shared" si="9"/>
        <v>102022</v>
      </c>
      <c r="D1074" s="226" t="s">
        <v>2329</v>
      </c>
      <c r="E1074" s="224" t="s">
        <v>2330</v>
      </c>
      <c r="F1074" s="226" t="s">
        <v>3106</v>
      </c>
      <c r="G1074" s="224" t="s">
        <v>64</v>
      </c>
      <c r="H1074" s="224" t="s">
        <v>41</v>
      </c>
      <c r="I1074" s="224" t="s">
        <v>643</v>
      </c>
      <c r="J1074" s="228"/>
      <c r="K1074" s="227">
        <v>1.0</v>
      </c>
      <c r="L1074" s="228"/>
      <c r="M1074" s="228"/>
      <c r="N1074" s="228"/>
      <c r="O1074" s="228"/>
      <c r="P1074" s="228"/>
      <c r="Q1074" s="229"/>
      <c r="R1074" s="229"/>
      <c r="S1074" s="224" t="s">
        <v>114</v>
      </c>
      <c r="T1074" s="224" t="s">
        <v>83</v>
      </c>
      <c r="U1074" s="224" t="s">
        <v>99</v>
      </c>
      <c r="V1074" s="224" t="s">
        <v>1984</v>
      </c>
      <c r="W1074" s="230"/>
      <c r="X1074" s="230"/>
      <c r="Y1074" s="230"/>
      <c r="Z1074" s="230"/>
      <c r="AA1074" s="231">
        <v>11775.0</v>
      </c>
      <c r="AB1074" s="231">
        <v>52987.0</v>
      </c>
      <c r="AC1074" s="24" t="s">
        <v>3107</v>
      </c>
      <c r="AD1074" s="195">
        <v>9012.0</v>
      </c>
      <c r="AE1074" s="38"/>
      <c r="AF1074" s="224" t="str">
        <f t="shared" si="1"/>
        <v>Capital Federal, Argentina</v>
      </c>
      <c r="AG1074" s="224">
        <f t="shared" si="2"/>
        <v>1</v>
      </c>
      <c r="AH1074" s="232">
        <f t="shared" si="3"/>
        <v>0</v>
      </c>
      <c r="AI1074" s="232">
        <f t="shared" si="4"/>
        <v>0</v>
      </c>
      <c r="AJ1074" s="231">
        <f t="shared" si="5"/>
        <v>64762</v>
      </c>
      <c r="AK1074" s="231">
        <f t="shared" si="6"/>
        <v>64762</v>
      </c>
      <c r="AL1074" s="233"/>
      <c r="AM1074" s="233"/>
    </row>
    <row r="1075">
      <c r="A1075" s="224">
        <v>1074.0</v>
      </c>
      <c r="B1075" s="225">
        <v>44865.0</v>
      </c>
      <c r="C1075" s="195" t="str">
        <f t="shared" si="9"/>
        <v>102022</v>
      </c>
      <c r="D1075" s="226" t="s">
        <v>3108</v>
      </c>
      <c r="E1075" s="224" t="s">
        <v>3109</v>
      </c>
      <c r="F1075" s="226" t="s">
        <v>3110</v>
      </c>
      <c r="G1075" s="224" t="s">
        <v>40</v>
      </c>
      <c r="H1075" s="224" t="s">
        <v>41</v>
      </c>
      <c r="I1075" s="224" t="s">
        <v>643</v>
      </c>
      <c r="J1075" s="227">
        <v>3.0</v>
      </c>
      <c r="K1075" s="228"/>
      <c r="L1075" s="228"/>
      <c r="M1075" s="227">
        <v>1.0</v>
      </c>
      <c r="N1075" s="228"/>
      <c r="O1075" s="227">
        <v>1.0</v>
      </c>
      <c r="P1075" s="228"/>
      <c r="Q1075" s="229"/>
      <c r="R1075" s="229"/>
      <c r="S1075" s="224" t="s">
        <v>204</v>
      </c>
      <c r="T1075" s="224" t="s">
        <v>83</v>
      </c>
      <c r="U1075" s="224" t="s">
        <v>163</v>
      </c>
      <c r="V1075" s="224" t="s">
        <v>2935</v>
      </c>
      <c r="W1075" s="230"/>
      <c r="X1075" s="230"/>
      <c r="Y1075" s="230"/>
      <c r="Z1075" s="230"/>
      <c r="AA1075" s="231">
        <v>67620.0</v>
      </c>
      <c r="AB1075" s="231">
        <v>205800.0</v>
      </c>
      <c r="AC1075" s="24" t="s">
        <v>3111</v>
      </c>
      <c r="AD1075" s="195">
        <v>8864.0</v>
      </c>
      <c r="AE1075" s="38"/>
      <c r="AF1075" s="224" t="str">
        <f t="shared" si="1"/>
        <v>Capital Federal, Argentina</v>
      </c>
      <c r="AG1075" s="224">
        <f t="shared" si="2"/>
        <v>5</v>
      </c>
      <c r="AH1075" s="232">
        <f t="shared" si="3"/>
        <v>0</v>
      </c>
      <c r="AI1075" s="232">
        <f t="shared" si="4"/>
        <v>0</v>
      </c>
      <c r="AJ1075" s="231">
        <f t="shared" si="5"/>
        <v>273420</v>
      </c>
      <c r="AK1075" s="231">
        <f t="shared" si="6"/>
        <v>273420</v>
      </c>
      <c r="AL1075" s="233"/>
      <c r="AM1075" s="233"/>
    </row>
    <row r="1076">
      <c r="A1076" s="224">
        <v>1075.0</v>
      </c>
      <c r="B1076" s="225">
        <v>44865.0</v>
      </c>
      <c r="C1076" s="195" t="str">
        <f t="shared" si="9"/>
        <v>102022</v>
      </c>
      <c r="D1076" s="226" t="s">
        <v>3112</v>
      </c>
      <c r="E1076" s="224" t="s">
        <v>2864</v>
      </c>
      <c r="F1076" s="226" t="s">
        <v>3113</v>
      </c>
      <c r="G1076" s="224" t="s">
        <v>40</v>
      </c>
      <c r="H1076" s="224" t="s">
        <v>41</v>
      </c>
      <c r="I1076" s="224" t="s">
        <v>643</v>
      </c>
      <c r="J1076" s="227">
        <v>1.0</v>
      </c>
      <c r="K1076" s="227">
        <v>4.0</v>
      </c>
      <c r="L1076" s="228"/>
      <c r="M1076" s="228"/>
      <c r="N1076" s="228"/>
      <c r="O1076" s="228"/>
      <c r="P1076" s="228"/>
      <c r="Q1076" s="229"/>
      <c r="R1076" s="229"/>
      <c r="S1076" s="224" t="s">
        <v>105</v>
      </c>
      <c r="T1076" s="224" t="s">
        <v>73</v>
      </c>
      <c r="U1076" s="224" t="s">
        <v>342</v>
      </c>
      <c r="V1076" s="224" t="s">
        <v>2945</v>
      </c>
      <c r="W1076" s="230"/>
      <c r="X1076" s="230"/>
      <c r="Y1076" s="230"/>
      <c r="Z1076" s="230"/>
      <c r="AA1076" s="231">
        <v>49980.0</v>
      </c>
      <c r="AB1076" s="231">
        <v>174930.0</v>
      </c>
      <c r="AC1076" s="24" t="s">
        <v>3114</v>
      </c>
      <c r="AD1076" s="195">
        <v>8920.0</v>
      </c>
      <c r="AE1076" s="38"/>
      <c r="AF1076" s="224" t="str">
        <f t="shared" si="1"/>
        <v>Tierra de Fuego, Argentina</v>
      </c>
      <c r="AG1076" s="224">
        <f t="shared" si="2"/>
        <v>5</v>
      </c>
      <c r="AH1076" s="232">
        <f t="shared" si="3"/>
        <v>0</v>
      </c>
      <c r="AI1076" s="232">
        <f t="shared" si="4"/>
        <v>0</v>
      </c>
      <c r="AJ1076" s="231">
        <f t="shared" si="5"/>
        <v>224910</v>
      </c>
      <c r="AK1076" s="231">
        <f t="shared" si="6"/>
        <v>224910</v>
      </c>
      <c r="AL1076" s="233"/>
      <c r="AM1076" s="233"/>
    </row>
    <row r="1077">
      <c r="A1077" s="224">
        <v>1076.0</v>
      </c>
      <c r="B1077" s="225">
        <v>44865.0</v>
      </c>
      <c r="C1077" s="195" t="str">
        <f t="shared" si="9"/>
        <v>102022</v>
      </c>
      <c r="D1077" s="226" t="s">
        <v>3115</v>
      </c>
      <c r="E1077" s="224" t="s">
        <v>2281</v>
      </c>
      <c r="F1077" s="226" t="s">
        <v>1423</v>
      </c>
      <c r="G1077" s="224" t="s">
        <v>64</v>
      </c>
      <c r="H1077" s="224" t="s">
        <v>41</v>
      </c>
      <c r="I1077" s="224" t="s">
        <v>643</v>
      </c>
      <c r="J1077" s="227">
        <v>1.0</v>
      </c>
      <c r="K1077" s="228"/>
      <c r="L1077" s="228"/>
      <c r="M1077" s="228"/>
      <c r="N1077" s="228"/>
      <c r="O1077" s="228"/>
      <c r="P1077" s="228"/>
      <c r="Q1077" s="229"/>
      <c r="R1077" s="229"/>
      <c r="S1077" s="224" t="s">
        <v>114</v>
      </c>
      <c r="T1077" s="224" t="s">
        <v>66</v>
      </c>
      <c r="U1077" s="224" t="s">
        <v>99</v>
      </c>
      <c r="V1077" s="224" t="s">
        <v>1984</v>
      </c>
      <c r="W1077" s="230"/>
      <c r="X1077" s="230"/>
      <c r="Y1077" s="230"/>
      <c r="Z1077" s="230"/>
      <c r="AA1077" s="231">
        <v>14700.0</v>
      </c>
      <c r="AB1077" s="231">
        <v>58880.0</v>
      </c>
      <c r="AC1077" s="24" t="s">
        <v>3116</v>
      </c>
      <c r="AD1077" s="195">
        <v>8910.0</v>
      </c>
      <c r="AE1077" s="38"/>
      <c r="AF1077" s="224" t="str">
        <f t="shared" si="1"/>
        <v>Buenos Aires, Argentina</v>
      </c>
      <c r="AG1077" s="224">
        <f t="shared" si="2"/>
        <v>1</v>
      </c>
      <c r="AH1077" s="232">
        <f t="shared" si="3"/>
        <v>0</v>
      </c>
      <c r="AI1077" s="232">
        <f t="shared" si="4"/>
        <v>0</v>
      </c>
      <c r="AJ1077" s="231">
        <f t="shared" si="5"/>
        <v>73580</v>
      </c>
      <c r="AK1077" s="231">
        <f t="shared" si="6"/>
        <v>73580</v>
      </c>
      <c r="AL1077" s="233"/>
      <c r="AM1077" s="233"/>
    </row>
    <row r="1078">
      <c r="A1078" s="203">
        <v>1077.0</v>
      </c>
      <c r="B1078" s="204">
        <v>44872.0</v>
      </c>
      <c r="C1078" s="195" t="str">
        <f t="shared" si="9"/>
        <v>112022</v>
      </c>
      <c r="D1078" s="205" t="s">
        <v>2993</v>
      </c>
      <c r="E1078" s="203" t="s">
        <v>2847</v>
      </c>
      <c r="F1078" s="205" t="s">
        <v>1423</v>
      </c>
      <c r="G1078" s="203" t="s">
        <v>64</v>
      </c>
      <c r="H1078" s="203" t="s">
        <v>547</v>
      </c>
      <c r="I1078" s="203" t="s">
        <v>643</v>
      </c>
      <c r="J1078" s="206">
        <v>1.0</v>
      </c>
      <c r="K1078" s="117"/>
      <c r="L1078" s="117"/>
      <c r="M1078" s="117"/>
      <c r="N1078" s="117"/>
      <c r="O1078" s="117"/>
      <c r="P1078" s="117"/>
      <c r="Q1078" s="119"/>
      <c r="R1078" s="119"/>
      <c r="S1078" s="203" t="s">
        <v>114</v>
      </c>
      <c r="T1078" s="203" t="s">
        <v>66</v>
      </c>
      <c r="U1078" s="203" t="s">
        <v>99</v>
      </c>
      <c r="V1078" s="203" t="s">
        <v>1984</v>
      </c>
      <c r="W1078" s="121"/>
      <c r="X1078" s="121"/>
      <c r="Y1078" s="121"/>
      <c r="Z1078" s="121"/>
      <c r="AA1078" s="207">
        <v>9420.0</v>
      </c>
      <c r="AB1078" s="207">
        <v>42390.0</v>
      </c>
      <c r="AC1078" s="24" t="s">
        <v>3117</v>
      </c>
      <c r="AD1078" s="195">
        <v>9084.0</v>
      </c>
      <c r="AE1078" s="38"/>
      <c r="AF1078" s="203" t="str">
        <f t="shared" si="1"/>
        <v>Buenos Aires, Argentina</v>
      </c>
      <c r="AG1078" s="203">
        <f t="shared" si="2"/>
        <v>1</v>
      </c>
      <c r="AH1078" s="208">
        <f t="shared" si="3"/>
        <v>0</v>
      </c>
      <c r="AI1078" s="208">
        <f t="shared" si="4"/>
        <v>0</v>
      </c>
      <c r="AJ1078" s="207">
        <f t="shared" si="5"/>
        <v>51810</v>
      </c>
      <c r="AK1078" s="207">
        <f t="shared" si="6"/>
        <v>51810</v>
      </c>
      <c r="AL1078" s="123"/>
      <c r="AM1078" s="123"/>
    </row>
    <row r="1079">
      <c r="A1079" s="203">
        <v>1078.0</v>
      </c>
      <c r="B1079" s="204">
        <v>44879.0</v>
      </c>
      <c r="C1079" s="195" t="str">
        <f t="shared" si="9"/>
        <v>112022</v>
      </c>
      <c r="D1079" s="205" t="s">
        <v>3118</v>
      </c>
      <c r="E1079" s="203" t="s">
        <v>3119</v>
      </c>
      <c r="F1079" s="205" t="s">
        <v>3120</v>
      </c>
      <c r="G1079" s="203" t="s">
        <v>64</v>
      </c>
      <c r="H1079" s="203" t="s">
        <v>41</v>
      </c>
      <c r="I1079" s="203" t="s">
        <v>643</v>
      </c>
      <c r="J1079" s="117"/>
      <c r="K1079" s="117"/>
      <c r="L1079" s="117"/>
      <c r="M1079" s="117"/>
      <c r="N1079" s="117"/>
      <c r="O1079" s="117"/>
      <c r="P1079" s="117"/>
      <c r="Q1079" s="119"/>
      <c r="R1079" s="119"/>
      <c r="S1079" s="203" t="s">
        <v>65</v>
      </c>
      <c r="T1079" s="203" t="s">
        <v>83</v>
      </c>
      <c r="U1079" s="203" t="s">
        <v>99</v>
      </c>
      <c r="V1079" s="203" t="s">
        <v>1984</v>
      </c>
      <c r="W1079" s="121"/>
      <c r="X1079" s="121"/>
      <c r="Y1079" s="121"/>
      <c r="Z1079" s="121"/>
      <c r="AA1079" s="207">
        <v>0.0</v>
      </c>
      <c r="AB1079" s="207">
        <v>79128.0</v>
      </c>
      <c r="AC1079" s="24" t="s">
        <v>3121</v>
      </c>
      <c r="AD1079" s="195">
        <v>9090.0</v>
      </c>
      <c r="AE1079" s="38"/>
      <c r="AF1079" s="203" t="str">
        <f t="shared" si="1"/>
        <v>Capital Federal, Argentina</v>
      </c>
      <c r="AG1079" s="203">
        <f t="shared" si="2"/>
        <v>0</v>
      </c>
      <c r="AH1079" s="208">
        <f t="shared" si="3"/>
        <v>0</v>
      </c>
      <c r="AI1079" s="208">
        <f t="shared" si="4"/>
        <v>0</v>
      </c>
      <c r="AJ1079" s="207">
        <f t="shared" si="5"/>
        <v>79128</v>
      </c>
      <c r="AK1079" s="207">
        <f t="shared" si="6"/>
        <v>79128</v>
      </c>
      <c r="AL1079" s="123"/>
      <c r="AM1079" s="123"/>
    </row>
    <row r="1080">
      <c r="A1080" s="203">
        <v>1079.0</v>
      </c>
      <c r="B1080" s="204">
        <v>44880.0</v>
      </c>
      <c r="C1080" s="195" t="str">
        <f t="shared" si="9"/>
        <v>112022</v>
      </c>
      <c r="D1080" s="205" t="s">
        <v>2638</v>
      </c>
      <c r="E1080" s="203" t="s">
        <v>1909</v>
      </c>
      <c r="F1080" s="205" t="s">
        <v>1423</v>
      </c>
      <c r="G1080" s="203" t="s">
        <v>64</v>
      </c>
      <c r="H1080" s="203" t="s">
        <v>41</v>
      </c>
      <c r="I1080" s="203" t="s">
        <v>643</v>
      </c>
      <c r="J1080" s="206">
        <v>1.0</v>
      </c>
      <c r="K1080" s="117"/>
      <c r="L1080" s="117"/>
      <c r="M1080" s="117"/>
      <c r="N1080" s="117"/>
      <c r="O1080" s="117"/>
      <c r="P1080" s="117"/>
      <c r="Q1080" s="119"/>
      <c r="R1080" s="119"/>
      <c r="S1080" s="203" t="s">
        <v>98</v>
      </c>
      <c r="T1080" s="203" t="s">
        <v>83</v>
      </c>
      <c r="U1080" s="203" t="s">
        <v>99</v>
      </c>
      <c r="V1080" s="203" t="s">
        <v>1984</v>
      </c>
      <c r="W1080" s="121"/>
      <c r="X1080" s="121"/>
      <c r="Y1080" s="121"/>
      <c r="Z1080" s="121"/>
      <c r="AA1080" s="207">
        <v>15700.0</v>
      </c>
      <c r="AB1080" s="207">
        <v>62800.0</v>
      </c>
      <c r="AC1080" s="24" t="s">
        <v>3122</v>
      </c>
      <c r="AD1080" s="195">
        <v>9106.0</v>
      </c>
      <c r="AE1080" s="38"/>
      <c r="AF1080" s="203" t="str">
        <f t="shared" si="1"/>
        <v>Capital Federal, Argentina</v>
      </c>
      <c r="AG1080" s="203">
        <f t="shared" si="2"/>
        <v>1</v>
      </c>
      <c r="AH1080" s="208">
        <f t="shared" si="3"/>
        <v>0</v>
      </c>
      <c r="AI1080" s="208">
        <f t="shared" si="4"/>
        <v>0</v>
      </c>
      <c r="AJ1080" s="207">
        <f t="shared" si="5"/>
        <v>78500</v>
      </c>
      <c r="AK1080" s="207">
        <f t="shared" si="6"/>
        <v>78500</v>
      </c>
      <c r="AL1080" s="123"/>
      <c r="AM1080" s="123"/>
    </row>
    <row r="1081">
      <c r="A1081" s="203">
        <v>1080.0</v>
      </c>
      <c r="B1081" s="204">
        <v>44880.0</v>
      </c>
      <c r="C1081" s="195" t="str">
        <f t="shared" si="9"/>
        <v>112022</v>
      </c>
      <c r="D1081" s="205" t="s">
        <v>3123</v>
      </c>
      <c r="E1081" s="203" t="s">
        <v>3124</v>
      </c>
      <c r="F1081" s="205" t="s">
        <v>3125</v>
      </c>
      <c r="G1081" s="203" t="s">
        <v>64</v>
      </c>
      <c r="H1081" s="203" t="s">
        <v>41</v>
      </c>
      <c r="I1081" s="203" t="s">
        <v>643</v>
      </c>
      <c r="J1081" s="117"/>
      <c r="K1081" s="117"/>
      <c r="L1081" s="117"/>
      <c r="M1081" s="206">
        <v>1.0</v>
      </c>
      <c r="N1081" s="117"/>
      <c r="O1081" s="117"/>
      <c r="P1081" s="117"/>
      <c r="Q1081" s="119"/>
      <c r="R1081" s="119"/>
      <c r="S1081" s="203" t="s">
        <v>114</v>
      </c>
      <c r="T1081" s="203" t="s">
        <v>73</v>
      </c>
      <c r="U1081" s="203" t="s">
        <v>99</v>
      </c>
      <c r="V1081" s="203" t="s">
        <v>1984</v>
      </c>
      <c r="W1081" s="121"/>
      <c r="X1081" s="121"/>
      <c r="Y1081" s="121"/>
      <c r="Z1081" s="121"/>
      <c r="AA1081" s="207">
        <v>15700.0</v>
      </c>
      <c r="AB1081" s="207">
        <v>100480.0</v>
      </c>
      <c r="AC1081" s="24" t="s">
        <v>3126</v>
      </c>
      <c r="AD1081" s="195">
        <v>9020.0</v>
      </c>
      <c r="AE1081" s="38"/>
      <c r="AF1081" s="203" t="str">
        <f t="shared" si="1"/>
        <v>Tierra de Fuego, Argentina</v>
      </c>
      <c r="AG1081" s="203">
        <f t="shared" si="2"/>
        <v>1</v>
      </c>
      <c r="AH1081" s="208">
        <f t="shared" si="3"/>
        <v>0</v>
      </c>
      <c r="AI1081" s="208">
        <f t="shared" si="4"/>
        <v>0</v>
      </c>
      <c r="AJ1081" s="207">
        <f t="shared" si="5"/>
        <v>116180</v>
      </c>
      <c r="AK1081" s="207">
        <f t="shared" si="6"/>
        <v>116180</v>
      </c>
      <c r="AL1081" s="123"/>
      <c r="AM1081" s="123"/>
    </row>
    <row r="1082">
      <c r="A1082" s="203">
        <v>1081.0</v>
      </c>
      <c r="B1082" s="204">
        <v>44882.0</v>
      </c>
      <c r="C1082" s="195" t="str">
        <f t="shared" si="9"/>
        <v>112022</v>
      </c>
      <c r="D1082" s="205" t="s">
        <v>3127</v>
      </c>
      <c r="E1082" s="203" t="s">
        <v>3128</v>
      </c>
      <c r="F1082" s="205" t="s">
        <v>3129</v>
      </c>
      <c r="G1082" s="203" t="s">
        <v>64</v>
      </c>
      <c r="H1082" s="203" t="s">
        <v>41</v>
      </c>
      <c r="I1082" s="203" t="s">
        <v>643</v>
      </c>
      <c r="J1082" s="117"/>
      <c r="K1082" s="117"/>
      <c r="L1082" s="117"/>
      <c r="M1082" s="117"/>
      <c r="N1082" s="117"/>
      <c r="O1082" s="117"/>
      <c r="P1082" s="117"/>
      <c r="Q1082" s="119"/>
      <c r="R1082" s="119"/>
      <c r="S1082" s="203" t="s">
        <v>51</v>
      </c>
      <c r="T1082" s="203" t="s">
        <v>83</v>
      </c>
      <c r="U1082" s="203" t="s">
        <v>99</v>
      </c>
      <c r="V1082" s="203" t="s">
        <v>1984</v>
      </c>
      <c r="W1082" s="121"/>
      <c r="X1082" s="121"/>
      <c r="Y1082" s="121"/>
      <c r="Z1082" s="121"/>
      <c r="AA1082" s="207">
        <v>0.0</v>
      </c>
      <c r="AB1082" s="207">
        <v>37680.0</v>
      </c>
      <c r="AC1082" s="24" t="s">
        <v>3130</v>
      </c>
      <c r="AD1082" s="195">
        <v>9078.0</v>
      </c>
      <c r="AE1082" s="38"/>
      <c r="AF1082" s="203" t="str">
        <f t="shared" si="1"/>
        <v>Capital Federal, Argentina</v>
      </c>
      <c r="AG1082" s="203">
        <f t="shared" si="2"/>
        <v>0</v>
      </c>
      <c r="AH1082" s="208">
        <f t="shared" si="3"/>
        <v>0</v>
      </c>
      <c r="AI1082" s="208">
        <f t="shared" si="4"/>
        <v>0</v>
      </c>
      <c r="AJ1082" s="207">
        <f t="shared" si="5"/>
        <v>37680</v>
      </c>
      <c r="AK1082" s="207">
        <f t="shared" si="6"/>
        <v>37680</v>
      </c>
      <c r="AL1082" s="123"/>
      <c r="AM1082" s="123"/>
    </row>
    <row r="1083">
      <c r="A1083" s="203">
        <v>1082.0</v>
      </c>
      <c r="B1083" s="204">
        <v>44883.0</v>
      </c>
      <c r="C1083" s="195" t="str">
        <f t="shared" si="9"/>
        <v>112022</v>
      </c>
      <c r="D1083" s="205" t="s">
        <v>141</v>
      </c>
      <c r="E1083" s="203" t="s">
        <v>3131</v>
      </c>
      <c r="F1083" s="205" t="s">
        <v>1423</v>
      </c>
      <c r="G1083" s="203" t="s">
        <v>64</v>
      </c>
      <c r="H1083" s="203" t="s">
        <v>41</v>
      </c>
      <c r="I1083" s="203" t="s">
        <v>643</v>
      </c>
      <c r="J1083" s="206">
        <v>1.0</v>
      </c>
      <c r="K1083" s="117"/>
      <c r="L1083" s="117"/>
      <c r="M1083" s="117"/>
      <c r="N1083" s="117"/>
      <c r="O1083" s="117"/>
      <c r="P1083" s="117"/>
      <c r="Q1083" s="119"/>
      <c r="R1083" s="119"/>
      <c r="S1083" s="203" t="s">
        <v>141</v>
      </c>
      <c r="T1083" s="203" t="s">
        <v>66</v>
      </c>
      <c r="U1083" s="203" t="s">
        <v>99</v>
      </c>
      <c r="V1083" s="203" t="s">
        <v>1984</v>
      </c>
      <c r="W1083" s="121"/>
      <c r="X1083" s="121"/>
      <c r="Y1083" s="121"/>
      <c r="Z1083" s="121"/>
      <c r="AA1083" s="207">
        <v>15700.0</v>
      </c>
      <c r="AB1083" s="207">
        <v>62800.0</v>
      </c>
      <c r="AC1083" s="24" t="s">
        <v>3132</v>
      </c>
      <c r="AD1083" s="195">
        <v>9136.0</v>
      </c>
      <c r="AE1083" s="38"/>
      <c r="AF1083" s="203" t="str">
        <f t="shared" si="1"/>
        <v>Buenos Aires, Argentina</v>
      </c>
      <c r="AG1083" s="203">
        <f t="shared" si="2"/>
        <v>1</v>
      </c>
      <c r="AH1083" s="208">
        <f t="shared" si="3"/>
        <v>0</v>
      </c>
      <c r="AI1083" s="208">
        <f t="shared" si="4"/>
        <v>0</v>
      </c>
      <c r="AJ1083" s="207">
        <f t="shared" si="5"/>
        <v>78500</v>
      </c>
      <c r="AK1083" s="207">
        <f t="shared" si="6"/>
        <v>78500</v>
      </c>
      <c r="AL1083" s="123"/>
      <c r="AM1083" s="123"/>
    </row>
    <row r="1084">
      <c r="A1084" s="203">
        <v>1083.0</v>
      </c>
      <c r="B1084" s="204">
        <v>44883.0</v>
      </c>
      <c r="C1084" s="195" t="str">
        <f t="shared" si="9"/>
        <v>112022</v>
      </c>
      <c r="D1084" s="205" t="s">
        <v>3133</v>
      </c>
      <c r="E1084" s="203" t="s">
        <v>2183</v>
      </c>
      <c r="F1084" s="116" t="s">
        <v>3134</v>
      </c>
      <c r="G1084" s="203" t="s">
        <v>64</v>
      </c>
      <c r="H1084" s="203" t="s">
        <v>41</v>
      </c>
      <c r="I1084" s="203" t="s">
        <v>643</v>
      </c>
      <c r="J1084" s="206">
        <v>4.0</v>
      </c>
      <c r="K1084" s="117"/>
      <c r="L1084" s="117"/>
      <c r="M1084" s="206">
        <v>1.0</v>
      </c>
      <c r="N1084" s="117"/>
      <c r="O1084" s="117"/>
      <c r="P1084" s="206">
        <v>1.0</v>
      </c>
      <c r="Q1084" s="119"/>
      <c r="R1084" s="119"/>
      <c r="S1084" s="203" t="s">
        <v>189</v>
      </c>
      <c r="T1084" s="203" t="s">
        <v>83</v>
      </c>
      <c r="U1084" s="203" t="s">
        <v>99</v>
      </c>
      <c r="V1084" s="203" t="s">
        <v>1984</v>
      </c>
      <c r="W1084" s="121"/>
      <c r="X1084" s="121"/>
      <c r="Y1084" s="121"/>
      <c r="Z1084" s="121"/>
      <c r="AA1084" s="207">
        <v>90275.0</v>
      </c>
      <c r="AB1084" s="207">
        <v>462835.0</v>
      </c>
      <c r="AC1084" s="24" t="s">
        <v>3135</v>
      </c>
      <c r="AD1084" s="195">
        <v>9178.0</v>
      </c>
      <c r="AE1084" s="38"/>
      <c r="AF1084" s="203" t="str">
        <f t="shared" si="1"/>
        <v>Capital Federal, Argentina</v>
      </c>
      <c r="AG1084" s="203">
        <f t="shared" si="2"/>
        <v>6</v>
      </c>
      <c r="AH1084" s="208">
        <f t="shared" si="3"/>
        <v>0</v>
      </c>
      <c r="AI1084" s="208">
        <f t="shared" si="4"/>
        <v>0</v>
      </c>
      <c r="AJ1084" s="207">
        <f t="shared" si="5"/>
        <v>553110</v>
      </c>
      <c r="AK1084" s="207">
        <f t="shared" si="6"/>
        <v>553110</v>
      </c>
      <c r="AL1084" s="123"/>
      <c r="AM1084" s="123"/>
    </row>
    <row r="1085">
      <c r="A1085" s="203">
        <v>1084.0</v>
      </c>
      <c r="B1085" s="204">
        <v>44883.0</v>
      </c>
      <c r="C1085" s="195" t="str">
        <f t="shared" si="9"/>
        <v>112022</v>
      </c>
      <c r="D1085" s="205" t="s">
        <v>2934</v>
      </c>
      <c r="E1085" s="203" t="s">
        <v>2243</v>
      </c>
      <c r="F1085" s="205" t="s">
        <v>3136</v>
      </c>
      <c r="G1085" s="203" t="s">
        <v>64</v>
      </c>
      <c r="H1085" s="203" t="s">
        <v>41</v>
      </c>
      <c r="I1085" s="203" t="s">
        <v>643</v>
      </c>
      <c r="J1085" s="117"/>
      <c r="K1085" s="117"/>
      <c r="L1085" s="117"/>
      <c r="M1085" s="117"/>
      <c r="N1085" s="117"/>
      <c r="O1085" s="117"/>
      <c r="P1085" s="117"/>
      <c r="Q1085" s="119"/>
      <c r="R1085" s="119"/>
      <c r="S1085" s="203" t="s">
        <v>65</v>
      </c>
      <c r="T1085" s="203" t="s">
        <v>83</v>
      </c>
      <c r="U1085" s="203" t="s">
        <v>99</v>
      </c>
      <c r="V1085" s="203" t="s">
        <v>1984</v>
      </c>
      <c r="W1085" s="121"/>
      <c r="X1085" s="121"/>
      <c r="Y1085" s="121"/>
      <c r="Z1085" s="121"/>
      <c r="AA1085" s="207">
        <v>0.0</v>
      </c>
      <c r="AB1085" s="207">
        <v>87920.0</v>
      </c>
      <c r="AC1085" s="24" t="s">
        <v>3137</v>
      </c>
      <c r="AD1085" s="195">
        <v>9058.0</v>
      </c>
      <c r="AE1085" s="38"/>
      <c r="AF1085" s="203" t="str">
        <f t="shared" si="1"/>
        <v>Capital Federal, Argentina</v>
      </c>
      <c r="AG1085" s="203">
        <f t="shared" si="2"/>
        <v>0</v>
      </c>
      <c r="AH1085" s="208">
        <f t="shared" si="3"/>
        <v>0</v>
      </c>
      <c r="AI1085" s="208">
        <f t="shared" si="4"/>
        <v>0</v>
      </c>
      <c r="AJ1085" s="207">
        <f t="shared" si="5"/>
        <v>87920</v>
      </c>
      <c r="AK1085" s="207">
        <f t="shared" si="6"/>
        <v>87920</v>
      </c>
      <c r="AL1085" s="123"/>
      <c r="AM1085" s="123"/>
    </row>
    <row r="1086">
      <c r="A1086" s="203">
        <v>1085.0</v>
      </c>
      <c r="B1086" s="204">
        <v>44888.0</v>
      </c>
      <c r="C1086" s="195" t="str">
        <f t="shared" si="9"/>
        <v>112022</v>
      </c>
      <c r="D1086" s="205" t="s">
        <v>3138</v>
      </c>
      <c r="E1086" s="203" t="s">
        <v>3139</v>
      </c>
      <c r="F1086" s="205" t="s">
        <v>1415</v>
      </c>
      <c r="G1086" s="203" t="s">
        <v>64</v>
      </c>
      <c r="H1086" s="203" t="s">
        <v>41</v>
      </c>
      <c r="I1086" s="203" t="s">
        <v>643</v>
      </c>
      <c r="J1086" s="117"/>
      <c r="K1086" s="206">
        <v>1.0</v>
      </c>
      <c r="L1086" s="117"/>
      <c r="M1086" s="117"/>
      <c r="N1086" s="117"/>
      <c r="O1086" s="117"/>
      <c r="P1086" s="117"/>
      <c r="Q1086" s="119"/>
      <c r="R1086" s="119"/>
      <c r="S1086" s="203" t="s">
        <v>114</v>
      </c>
      <c r="T1086" s="203" t="s">
        <v>66</v>
      </c>
      <c r="U1086" s="203" t="s">
        <v>99</v>
      </c>
      <c r="V1086" s="203" t="s">
        <v>1984</v>
      </c>
      <c r="W1086" s="121"/>
      <c r="X1086" s="121"/>
      <c r="Y1086" s="121"/>
      <c r="Z1086" s="121"/>
      <c r="AA1086" s="207">
        <v>11775.0</v>
      </c>
      <c r="AB1086" s="207">
        <v>47099.0</v>
      </c>
      <c r="AC1086" s="24" t="s">
        <v>3140</v>
      </c>
      <c r="AD1086" s="195">
        <v>9116.0</v>
      </c>
      <c r="AE1086" s="38"/>
      <c r="AF1086" s="203" t="str">
        <f t="shared" si="1"/>
        <v>Buenos Aires, Argentina</v>
      </c>
      <c r="AG1086" s="203">
        <f t="shared" si="2"/>
        <v>1</v>
      </c>
      <c r="AH1086" s="208">
        <f t="shared" si="3"/>
        <v>0</v>
      </c>
      <c r="AI1086" s="208">
        <f t="shared" si="4"/>
        <v>0</v>
      </c>
      <c r="AJ1086" s="207">
        <f t="shared" si="5"/>
        <v>58874</v>
      </c>
      <c r="AK1086" s="207">
        <f t="shared" si="6"/>
        <v>58874</v>
      </c>
      <c r="AL1086" s="123"/>
      <c r="AM1086" s="123"/>
    </row>
    <row r="1087">
      <c r="A1087" s="203">
        <v>1086.0</v>
      </c>
      <c r="B1087" s="204">
        <v>44889.0</v>
      </c>
      <c r="C1087" s="195" t="str">
        <f t="shared" si="9"/>
        <v>112022</v>
      </c>
      <c r="D1087" s="205" t="s">
        <v>3077</v>
      </c>
      <c r="E1087" s="203" t="s">
        <v>2255</v>
      </c>
      <c r="F1087" s="205" t="s">
        <v>3141</v>
      </c>
      <c r="G1087" s="203" t="s">
        <v>64</v>
      </c>
      <c r="H1087" s="203" t="s">
        <v>41</v>
      </c>
      <c r="I1087" s="203" t="s">
        <v>643</v>
      </c>
      <c r="J1087" s="117"/>
      <c r="K1087" s="117"/>
      <c r="L1087" s="117"/>
      <c r="M1087" s="117"/>
      <c r="N1087" s="117"/>
      <c r="O1087" s="117"/>
      <c r="P1087" s="117"/>
      <c r="Q1087" s="119"/>
      <c r="R1087" s="119"/>
      <c r="S1087" s="203" t="s">
        <v>65</v>
      </c>
      <c r="T1087" s="203" t="s">
        <v>66</v>
      </c>
      <c r="U1087" s="203" t="s">
        <v>99</v>
      </c>
      <c r="V1087" s="203" t="s">
        <v>1984</v>
      </c>
      <c r="W1087" s="121"/>
      <c r="X1087" s="121"/>
      <c r="Y1087" s="121"/>
      <c r="Z1087" s="121"/>
      <c r="AA1087" s="207">
        <v>0.0</v>
      </c>
      <c r="AB1087" s="207">
        <v>87920.0</v>
      </c>
      <c r="AC1087" s="24" t="s">
        <v>3142</v>
      </c>
      <c r="AD1087" s="195">
        <v>9182.0</v>
      </c>
      <c r="AE1087" s="38"/>
      <c r="AF1087" s="203" t="str">
        <f t="shared" si="1"/>
        <v>Buenos Aires, Argentina</v>
      </c>
      <c r="AG1087" s="203">
        <f t="shared" si="2"/>
        <v>0</v>
      </c>
      <c r="AH1087" s="208">
        <f t="shared" si="3"/>
        <v>0</v>
      </c>
      <c r="AI1087" s="208">
        <f t="shared" si="4"/>
        <v>0</v>
      </c>
      <c r="AJ1087" s="207">
        <f t="shared" si="5"/>
        <v>87920</v>
      </c>
      <c r="AK1087" s="207">
        <f t="shared" si="6"/>
        <v>87920</v>
      </c>
      <c r="AL1087" s="123"/>
      <c r="AM1087" s="123"/>
    </row>
    <row r="1088">
      <c r="A1088" s="203">
        <v>1087.0</v>
      </c>
      <c r="B1088" s="204">
        <v>44890.0</v>
      </c>
      <c r="C1088" s="195" t="str">
        <f t="shared" si="9"/>
        <v>112022</v>
      </c>
      <c r="D1088" s="205" t="s">
        <v>3143</v>
      </c>
      <c r="E1088" s="203" t="s">
        <v>3144</v>
      </c>
      <c r="F1088" s="205" t="s">
        <v>3145</v>
      </c>
      <c r="G1088" s="203" t="s">
        <v>40</v>
      </c>
      <c r="H1088" s="203" t="s">
        <v>41</v>
      </c>
      <c r="I1088" s="203" t="s">
        <v>643</v>
      </c>
      <c r="J1088" s="206">
        <v>3.0</v>
      </c>
      <c r="K1088" s="206">
        <v>9.0</v>
      </c>
      <c r="L1088" s="117"/>
      <c r="M1088" s="206">
        <v>1.0</v>
      </c>
      <c r="N1088" s="117"/>
      <c r="O1088" s="206">
        <v>1.0</v>
      </c>
      <c r="P1088" s="117"/>
      <c r="Q1088" s="119"/>
      <c r="R1088" s="119"/>
      <c r="S1088" s="203" t="s">
        <v>65</v>
      </c>
      <c r="T1088" s="203" t="s">
        <v>839</v>
      </c>
      <c r="U1088" s="203" t="s">
        <v>342</v>
      </c>
      <c r="V1088" s="203" t="s">
        <v>2935</v>
      </c>
      <c r="W1088" s="121"/>
      <c r="X1088" s="121"/>
      <c r="Y1088" s="121"/>
      <c r="Z1088" s="121"/>
      <c r="AA1088" s="207">
        <v>153075.0</v>
      </c>
      <c r="AB1088" s="207">
        <v>677062.0</v>
      </c>
      <c r="AC1088" s="24" t="s">
        <v>3146</v>
      </c>
      <c r="AD1088" s="195">
        <v>9184.0</v>
      </c>
      <c r="AE1088" s="38"/>
      <c r="AF1088" s="203" t="str">
        <f t="shared" si="1"/>
        <v>Neuquén, Argentina</v>
      </c>
      <c r="AG1088" s="203">
        <f t="shared" si="2"/>
        <v>14</v>
      </c>
      <c r="AH1088" s="208">
        <f t="shared" si="3"/>
        <v>0</v>
      </c>
      <c r="AI1088" s="208">
        <f t="shared" si="4"/>
        <v>0</v>
      </c>
      <c r="AJ1088" s="207">
        <f t="shared" si="5"/>
        <v>830137</v>
      </c>
      <c r="AK1088" s="207">
        <f t="shared" si="6"/>
        <v>830137</v>
      </c>
      <c r="AL1088" s="123"/>
      <c r="AM1088" s="123"/>
    </row>
    <row r="1089">
      <c r="A1089" s="203">
        <v>1088.0</v>
      </c>
      <c r="B1089" s="204">
        <v>44893.0</v>
      </c>
      <c r="C1089" s="195" t="str">
        <f t="shared" si="9"/>
        <v>112022</v>
      </c>
      <c r="D1089" s="205" t="s">
        <v>358</v>
      </c>
      <c r="E1089" s="203" t="s">
        <v>3147</v>
      </c>
      <c r="F1089" s="205" t="s">
        <v>1423</v>
      </c>
      <c r="G1089" s="203" t="s">
        <v>64</v>
      </c>
      <c r="H1089" s="203" t="s">
        <v>41</v>
      </c>
      <c r="I1089" s="203" t="s">
        <v>643</v>
      </c>
      <c r="J1089" s="206">
        <v>1.0</v>
      </c>
      <c r="K1089" s="117"/>
      <c r="L1089" s="117"/>
      <c r="M1089" s="117"/>
      <c r="N1089" s="117"/>
      <c r="O1089" s="117"/>
      <c r="P1089" s="117"/>
      <c r="Q1089" s="119"/>
      <c r="R1089" s="119"/>
      <c r="S1089" s="203" t="s">
        <v>51</v>
      </c>
      <c r="T1089" s="203" t="s">
        <v>66</v>
      </c>
      <c r="U1089" s="203" t="s">
        <v>99</v>
      </c>
      <c r="V1089" s="203" t="s">
        <v>1984</v>
      </c>
      <c r="W1089" s="121"/>
      <c r="X1089" s="121"/>
      <c r="Y1089" s="121"/>
      <c r="Z1089" s="121"/>
      <c r="AA1089" s="207">
        <v>15700.0</v>
      </c>
      <c r="AB1089" s="207">
        <v>62800.0</v>
      </c>
      <c r="AC1089" s="24" t="s">
        <v>3148</v>
      </c>
      <c r="AD1089" s="195">
        <v>9080.0</v>
      </c>
      <c r="AE1089" s="38"/>
      <c r="AF1089" s="203" t="str">
        <f t="shared" si="1"/>
        <v>Buenos Aires, Argentina</v>
      </c>
      <c r="AG1089" s="203">
        <f t="shared" si="2"/>
        <v>1</v>
      </c>
      <c r="AH1089" s="208">
        <f t="shared" si="3"/>
        <v>0</v>
      </c>
      <c r="AI1089" s="208">
        <f t="shared" si="4"/>
        <v>0</v>
      </c>
      <c r="AJ1089" s="207">
        <f t="shared" si="5"/>
        <v>78500</v>
      </c>
      <c r="AK1089" s="207">
        <f t="shared" si="6"/>
        <v>78500</v>
      </c>
      <c r="AL1089" s="123"/>
      <c r="AM1089" s="123"/>
    </row>
    <row r="1090">
      <c r="A1090" s="203">
        <v>1089.0</v>
      </c>
      <c r="B1090" s="204">
        <v>44895.0</v>
      </c>
      <c r="C1090" s="195" t="str">
        <f t="shared" si="9"/>
        <v>112022</v>
      </c>
      <c r="D1090" s="205" t="s">
        <v>3149</v>
      </c>
      <c r="E1090" s="203" t="s">
        <v>3150</v>
      </c>
      <c r="F1090" s="205" t="s">
        <v>3125</v>
      </c>
      <c r="G1090" s="203" t="s">
        <v>64</v>
      </c>
      <c r="H1090" s="203" t="s">
        <v>41</v>
      </c>
      <c r="I1090" s="203" t="s">
        <v>643</v>
      </c>
      <c r="J1090" s="117"/>
      <c r="K1090" s="117"/>
      <c r="L1090" s="117"/>
      <c r="M1090" s="206">
        <v>1.0</v>
      </c>
      <c r="N1090" s="117"/>
      <c r="O1090" s="117"/>
      <c r="P1090" s="117"/>
      <c r="Q1090" s="119"/>
      <c r="R1090" s="119"/>
      <c r="S1090" s="203" t="s">
        <v>963</v>
      </c>
      <c r="T1090" s="203" t="s">
        <v>263</v>
      </c>
      <c r="U1090" s="203" t="s">
        <v>99</v>
      </c>
      <c r="V1090" s="203" t="s">
        <v>1984</v>
      </c>
      <c r="W1090" s="121"/>
      <c r="X1090" s="121"/>
      <c r="Y1090" s="121"/>
      <c r="Z1090" s="121"/>
      <c r="AA1090" s="207">
        <v>15700.0</v>
      </c>
      <c r="AB1090" s="207">
        <v>75360.0</v>
      </c>
      <c r="AC1090" s="24" t="s">
        <v>3151</v>
      </c>
      <c r="AD1090" s="195">
        <v>9140.0</v>
      </c>
      <c r="AE1090" s="38"/>
      <c r="AF1090" s="203" t="str">
        <f t="shared" si="1"/>
        <v>Santa Fé, Argentina</v>
      </c>
      <c r="AG1090" s="203">
        <f t="shared" si="2"/>
        <v>1</v>
      </c>
      <c r="AH1090" s="208">
        <f t="shared" si="3"/>
        <v>0</v>
      </c>
      <c r="AI1090" s="208">
        <f t="shared" si="4"/>
        <v>0</v>
      </c>
      <c r="AJ1090" s="207">
        <f t="shared" si="5"/>
        <v>91060</v>
      </c>
      <c r="AK1090" s="207">
        <f t="shared" si="6"/>
        <v>91060</v>
      </c>
      <c r="AL1090" s="123"/>
      <c r="AM1090" s="123"/>
    </row>
    <row r="1091">
      <c r="A1091" s="203">
        <v>1090.0</v>
      </c>
      <c r="B1091" s="204">
        <v>44895.0</v>
      </c>
      <c r="C1091" s="195" t="str">
        <f t="shared" si="9"/>
        <v>112022</v>
      </c>
      <c r="D1091" s="205" t="s">
        <v>1961</v>
      </c>
      <c r="E1091" s="203" t="s">
        <v>1962</v>
      </c>
      <c r="F1091" s="205" t="s">
        <v>1423</v>
      </c>
      <c r="G1091" s="203" t="s">
        <v>64</v>
      </c>
      <c r="H1091" s="203" t="s">
        <v>227</v>
      </c>
      <c r="I1091" s="203" t="s">
        <v>643</v>
      </c>
      <c r="J1091" s="206">
        <v>1.0</v>
      </c>
      <c r="K1091" s="117"/>
      <c r="L1091" s="117"/>
      <c r="M1091" s="117"/>
      <c r="N1091" s="117"/>
      <c r="O1091" s="117"/>
      <c r="P1091" s="117"/>
      <c r="Q1091" s="119"/>
      <c r="R1091" s="119"/>
      <c r="S1091" s="203" t="s">
        <v>89</v>
      </c>
      <c r="T1091" s="203" t="s">
        <v>83</v>
      </c>
      <c r="U1091" s="203" t="s">
        <v>99</v>
      </c>
      <c r="V1091" s="203" t="s">
        <v>1984</v>
      </c>
      <c r="W1091" s="121"/>
      <c r="X1091" s="121"/>
      <c r="Y1091" s="121"/>
      <c r="Z1091" s="121"/>
      <c r="AA1091" s="207">
        <v>23550.0</v>
      </c>
      <c r="AB1091" s="207">
        <v>141299.0</v>
      </c>
      <c r="AC1091" s="24" t="s">
        <v>3152</v>
      </c>
      <c r="AD1091" s="195">
        <v>9160.0</v>
      </c>
      <c r="AE1091" s="38"/>
      <c r="AF1091" s="203" t="str">
        <f t="shared" si="1"/>
        <v>Capital Federal, Argentina</v>
      </c>
      <c r="AG1091" s="203">
        <f t="shared" si="2"/>
        <v>1</v>
      </c>
      <c r="AH1091" s="208">
        <f t="shared" si="3"/>
        <v>0</v>
      </c>
      <c r="AI1091" s="208">
        <f t="shared" si="4"/>
        <v>0</v>
      </c>
      <c r="AJ1091" s="207">
        <f t="shared" si="5"/>
        <v>164849</v>
      </c>
      <c r="AK1091" s="207">
        <f t="shared" si="6"/>
        <v>164849</v>
      </c>
      <c r="AL1091" s="123"/>
      <c r="AM1091" s="123"/>
    </row>
    <row r="1092">
      <c r="A1092" s="308">
        <v>1091.0</v>
      </c>
      <c r="B1092" s="204">
        <v>44895.0</v>
      </c>
      <c r="C1092" s="195" t="str">
        <f t="shared" si="9"/>
        <v>112022</v>
      </c>
      <c r="D1092" s="309" t="s">
        <v>3153</v>
      </c>
      <c r="E1092" s="203" t="s">
        <v>3154</v>
      </c>
      <c r="F1092" s="205" t="s">
        <v>2063</v>
      </c>
      <c r="G1092" s="203" t="s">
        <v>40</v>
      </c>
      <c r="H1092" s="203" t="s">
        <v>41</v>
      </c>
      <c r="I1092" s="203" t="s">
        <v>643</v>
      </c>
      <c r="J1092" s="206">
        <v>2.0</v>
      </c>
      <c r="K1092" s="206">
        <v>2.0</v>
      </c>
      <c r="L1092" s="117"/>
      <c r="M1092" s="206">
        <v>1.0</v>
      </c>
      <c r="N1092" s="117"/>
      <c r="O1092" s="117"/>
      <c r="P1092" s="117"/>
      <c r="Q1092" s="119"/>
      <c r="R1092" s="119"/>
      <c r="S1092" s="203" t="s">
        <v>189</v>
      </c>
      <c r="T1092" s="203" t="s">
        <v>66</v>
      </c>
      <c r="U1092" s="203" t="s">
        <v>342</v>
      </c>
      <c r="V1092" s="203" t="s">
        <v>2935</v>
      </c>
      <c r="W1092" s="121"/>
      <c r="X1092" s="121"/>
      <c r="Y1092" s="121"/>
      <c r="Z1092" s="121"/>
      <c r="AA1092" s="207">
        <v>54950.0</v>
      </c>
      <c r="AB1092" s="207">
        <v>317925.0</v>
      </c>
      <c r="AC1092" s="24" t="s">
        <v>3155</v>
      </c>
      <c r="AD1092" s="195">
        <v>9054.0</v>
      </c>
      <c r="AE1092" s="38"/>
      <c r="AF1092" s="203" t="str">
        <f t="shared" si="1"/>
        <v>Buenos Aires, Argentina</v>
      </c>
      <c r="AG1092" s="203">
        <f t="shared" si="2"/>
        <v>5</v>
      </c>
      <c r="AH1092" s="208">
        <f t="shared" si="3"/>
        <v>0</v>
      </c>
      <c r="AI1092" s="208">
        <f t="shared" si="4"/>
        <v>0</v>
      </c>
      <c r="AJ1092" s="207">
        <f t="shared" si="5"/>
        <v>372875</v>
      </c>
      <c r="AK1092" s="207">
        <f t="shared" si="6"/>
        <v>372875</v>
      </c>
      <c r="AL1092" s="123"/>
      <c r="AM1092" s="123"/>
    </row>
    <row r="1093">
      <c r="A1093" s="203">
        <v>1092.0</v>
      </c>
      <c r="B1093" s="204">
        <v>44895.0</v>
      </c>
      <c r="C1093" s="195" t="str">
        <f t="shared" si="9"/>
        <v>112022</v>
      </c>
      <c r="D1093" s="205" t="s">
        <v>3156</v>
      </c>
      <c r="E1093" s="203" t="s">
        <v>3157</v>
      </c>
      <c r="F1093" s="205" t="s">
        <v>13</v>
      </c>
      <c r="G1093" s="203" t="s">
        <v>64</v>
      </c>
      <c r="H1093" s="203" t="s">
        <v>41</v>
      </c>
      <c r="I1093" s="203" t="s">
        <v>643</v>
      </c>
      <c r="J1093" s="117"/>
      <c r="K1093" s="117"/>
      <c r="L1093" s="117"/>
      <c r="M1093" s="117"/>
      <c r="N1093" s="206">
        <v>1.0</v>
      </c>
      <c r="O1093" s="117"/>
      <c r="P1093" s="117"/>
      <c r="Q1093" s="119"/>
      <c r="R1093" s="119"/>
      <c r="S1093" s="203" t="s">
        <v>105</v>
      </c>
      <c r="T1093" s="203" t="s">
        <v>66</v>
      </c>
      <c r="U1093" s="203" t="s">
        <v>99</v>
      </c>
      <c r="V1093" s="203" t="s">
        <v>1984</v>
      </c>
      <c r="W1093" s="121"/>
      <c r="X1093" s="121"/>
      <c r="Y1093" s="121"/>
      <c r="Z1093" s="121"/>
      <c r="AA1093" s="207">
        <v>15700.0</v>
      </c>
      <c r="AB1093" s="207">
        <v>62800.0</v>
      </c>
      <c r="AC1093" s="24" t="s">
        <v>3158</v>
      </c>
      <c r="AD1093" s="195">
        <v>9022.0</v>
      </c>
      <c r="AE1093" s="38"/>
      <c r="AF1093" s="203" t="str">
        <f t="shared" si="1"/>
        <v>Buenos Aires, Argentina</v>
      </c>
      <c r="AG1093" s="203">
        <f t="shared" si="2"/>
        <v>1</v>
      </c>
      <c r="AH1093" s="208">
        <f t="shared" si="3"/>
        <v>0</v>
      </c>
      <c r="AI1093" s="208">
        <f t="shared" si="4"/>
        <v>0</v>
      </c>
      <c r="AJ1093" s="207">
        <f t="shared" si="5"/>
        <v>78500</v>
      </c>
      <c r="AK1093" s="207">
        <f t="shared" si="6"/>
        <v>78500</v>
      </c>
      <c r="AL1093" s="123"/>
      <c r="AM1093" s="123"/>
    </row>
    <row r="1094">
      <c r="A1094" s="203">
        <v>1093.0</v>
      </c>
      <c r="B1094" s="204">
        <v>44895.0</v>
      </c>
      <c r="C1094" s="195" t="str">
        <f t="shared" si="9"/>
        <v>112022</v>
      </c>
      <c r="D1094" s="205" t="s">
        <v>3159</v>
      </c>
      <c r="E1094" s="203" t="s">
        <v>3160</v>
      </c>
      <c r="F1094" s="205" t="s">
        <v>1567</v>
      </c>
      <c r="G1094" s="203" t="s">
        <v>40</v>
      </c>
      <c r="H1094" s="203" t="s">
        <v>41</v>
      </c>
      <c r="I1094" s="203" t="s">
        <v>643</v>
      </c>
      <c r="J1094" s="206">
        <v>4.0</v>
      </c>
      <c r="K1094" s="117"/>
      <c r="L1094" s="117"/>
      <c r="M1094" s="117"/>
      <c r="N1094" s="117"/>
      <c r="O1094" s="117"/>
      <c r="P1094" s="117"/>
      <c r="Q1094" s="119"/>
      <c r="R1094" s="119"/>
      <c r="S1094" s="203" t="s">
        <v>51</v>
      </c>
      <c r="T1094" s="203" t="s">
        <v>66</v>
      </c>
      <c r="U1094" s="203" t="s">
        <v>342</v>
      </c>
      <c r="V1094" s="203" t="s">
        <v>2945</v>
      </c>
      <c r="W1094" s="121"/>
      <c r="X1094" s="121"/>
      <c r="Y1094" s="121"/>
      <c r="Z1094" s="121"/>
      <c r="AA1094" s="207">
        <v>62800.0</v>
      </c>
      <c r="AB1094" s="207">
        <v>251200.0</v>
      </c>
      <c r="AC1094" s="24" t="s">
        <v>3161</v>
      </c>
      <c r="AD1094" s="195">
        <v>9114.0</v>
      </c>
      <c r="AE1094" s="38"/>
      <c r="AF1094" s="203" t="str">
        <f t="shared" si="1"/>
        <v>Buenos Aires, Argentina</v>
      </c>
      <c r="AG1094" s="203">
        <f t="shared" si="2"/>
        <v>4</v>
      </c>
      <c r="AH1094" s="208">
        <f t="shared" si="3"/>
        <v>0</v>
      </c>
      <c r="AI1094" s="208">
        <f t="shared" si="4"/>
        <v>0</v>
      </c>
      <c r="AJ1094" s="207">
        <f t="shared" si="5"/>
        <v>314000</v>
      </c>
      <c r="AK1094" s="207">
        <f t="shared" si="6"/>
        <v>314000</v>
      </c>
      <c r="AL1094" s="123"/>
      <c r="AM1094" s="123"/>
    </row>
    <row r="1095">
      <c r="A1095" s="203">
        <v>1094.0</v>
      </c>
      <c r="B1095" s="204">
        <v>44895.0</v>
      </c>
      <c r="C1095" s="195" t="str">
        <f t="shared" si="9"/>
        <v>112022</v>
      </c>
      <c r="D1095" s="205" t="s">
        <v>795</v>
      </c>
      <c r="E1095" s="203" t="s">
        <v>796</v>
      </c>
      <c r="F1095" s="205" t="s">
        <v>3162</v>
      </c>
      <c r="G1095" s="203" t="s">
        <v>64</v>
      </c>
      <c r="H1095" s="203" t="s">
        <v>41</v>
      </c>
      <c r="I1095" s="203" t="s">
        <v>643</v>
      </c>
      <c r="J1095" s="206">
        <v>1.0</v>
      </c>
      <c r="K1095" s="206">
        <v>1.0</v>
      </c>
      <c r="L1095" s="117"/>
      <c r="M1095" s="117"/>
      <c r="N1095" s="117"/>
      <c r="O1095" s="117"/>
      <c r="P1095" s="117"/>
      <c r="Q1095" s="119"/>
      <c r="R1095" s="119"/>
      <c r="S1095" s="203" t="s">
        <v>98</v>
      </c>
      <c r="T1095" s="203" t="s">
        <v>66</v>
      </c>
      <c r="U1095" s="203" t="s">
        <v>99</v>
      </c>
      <c r="V1095" s="203" t="s">
        <v>1984</v>
      </c>
      <c r="W1095" s="121"/>
      <c r="X1095" s="121"/>
      <c r="Y1095" s="121"/>
      <c r="Z1095" s="121"/>
      <c r="AA1095" s="207">
        <v>27475.0</v>
      </c>
      <c r="AB1095" s="207">
        <v>109899.0</v>
      </c>
      <c r="AC1095" s="24" t="s">
        <v>3163</v>
      </c>
      <c r="AD1095" s="195">
        <v>9226.0</v>
      </c>
      <c r="AE1095" s="38"/>
      <c r="AF1095" s="203" t="str">
        <f t="shared" si="1"/>
        <v>Buenos Aires, Argentina</v>
      </c>
      <c r="AG1095" s="203">
        <f t="shared" si="2"/>
        <v>2</v>
      </c>
      <c r="AH1095" s="208">
        <f t="shared" si="3"/>
        <v>0</v>
      </c>
      <c r="AI1095" s="208">
        <f t="shared" si="4"/>
        <v>0</v>
      </c>
      <c r="AJ1095" s="207">
        <f t="shared" si="5"/>
        <v>137374</v>
      </c>
      <c r="AK1095" s="207">
        <f t="shared" si="6"/>
        <v>137374</v>
      </c>
      <c r="AL1095" s="123"/>
      <c r="AM1095" s="123"/>
    </row>
    <row r="1096">
      <c r="A1096" s="203">
        <v>1095.0</v>
      </c>
      <c r="B1096" s="204">
        <v>44895.0</v>
      </c>
      <c r="C1096" s="195" t="str">
        <f t="shared" si="9"/>
        <v>112022</v>
      </c>
      <c r="D1096" s="205" t="s">
        <v>3164</v>
      </c>
      <c r="E1096" s="203" t="s">
        <v>3165</v>
      </c>
      <c r="F1096" s="205" t="s">
        <v>1423</v>
      </c>
      <c r="G1096" s="203" t="s">
        <v>64</v>
      </c>
      <c r="H1096" s="203" t="s">
        <v>41</v>
      </c>
      <c r="I1096" s="203" t="s">
        <v>643</v>
      </c>
      <c r="J1096" s="206">
        <v>1.0</v>
      </c>
      <c r="K1096" s="117"/>
      <c r="L1096" s="117"/>
      <c r="M1096" s="117"/>
      <c r="N1096" s="117"/>
      <c r="O1096" s="117"/>
      <c r="P1096" s="117"/>
      <c r="Q1096" s="119"/>
      <c r="R1096" s="119"/>
      <c r="S1096" s="203" t="s">
        <v>105</v>
      </c>
      <c r="T1096" s="203" t="s">
        <v>66</v>
      </c>
      <c r="U1096" s="203" t="s">
        <v>99</v>
      </c>
      <c r="V1096" s="203" t="s">
        <v>1984</v>
      </c>
      <c r="W1096" s="121"/>
      <c r="X1096" s="121"/>
      <c r="Y1096" s="121"/>
      <c r="Z1096" s="121"/>
      <c r="AA1096" s="207">
        <v>15700.0</v>
      </c>
      <c r="AB1096" s="207">
        <v>62800.0</v>
      </c>
      <c r="AC1096" s="24" t="s">
        <v>3166</v>
      </c>
      <c r="AD1096" s="195">
        <v>9252.0</v>
      </c>
      <c r="AE1096" s="38"/>
      <c r="AF1096" s="203" t="str">
        <f t="shared" si="1"/>
        <v>Buenos Aires, Argentina</v>
      </c>
      <c r="AG1096" s="203">
        <f t="shared" si="2"/>
        <v>1</v>
      </c>
      <c r="AH1096" s="208">
        <f t="shared" si="3"/>
        <v>0</v>
      </c>
      <c r="AI1096" s="208">
        <f t="shared" si="4"/>
        <v>0</v>
      </c>
      <c r="AJ1096" s="207">
        <f t="shared" si="5"/>
        <v>78500</v>
      </c>
      <c r="AK1096" s="207">
        <f t="shared" si="6"/>
        <v>78500</v>
      </c>
      <c r="AL1096" s="123"/>
      <c r="AM1096" s="123"/>
    </row>
    <row r="1097">
      <c r="A1097" s="203">
        <v>1096.0</v>
      </c>
      <c r="B1097" s="204">
        <v>44895.0</v>
      </c>
      <c r="C1097" s="195" t="str">
        <f t="shared" si="9"/>
        <v>112022</v>
      </c>
      <c r="D1097" s="205" t="s">
        <v>2989</v>
      </c>
      <c r="E1097" s="203" t="s">
        <v>2990</v>
      </c>
      <c r="F1097" s="205" t="s">
        <v>1427</v>
      </c>
      <c r="G1097" s="203" t="s">
        <v>64</v>
      </c>
      <c r="H1097" s="203" t="s">
        <v>41</v>
      </c>
      <c r="I1097" s="203" t="s">
        <v>643</v>
      </c>
      <c r="J1097" s="117"/>
      <c r="K1097" s="206">
        <v>2.0</v>
      </c>
      <c r="L1097" s="117"/>
      <c r="M1097" s="117"/>
      <c r="N1097" s="117"/>
      <c r="O1097" s="117"/>
      <c r="P1097" s="117"/>
      <c r="Q1097" s="119"/>
      <c r="R1097" s="119"/>
      <c r="S1097" s="203" t="s">
        <v>72</v>
      </c>
      <c r="T1097" s="203" t="s">
        <v>66</v>
      </c>
      <c r="U1097" s="203" t="s">
        <v>99</v>
      </c>
      <c r="V1097" s="203" t="s">
        <v>1984</v>
      </c>
      <c r="W1097" s="121"/>
      <c r="X1097" s="121"/>
      <c r="Y1097" s="121"/>
      <c r="Z1097" s="121"/>
      <c r="AA1097" s="207">
        <v>23550.0</v>
      </c>
      <c r="AB1097" s="207">
        <v>94200.0</v>
      </c>
      <c r="AC1097" s="24" t="s">
        <v>3167</v>
      </c>
      <c r="AD1097" s="195">
        <v>9234.0</v>
      </c>
      <c r="AE1097" s="38"/>
      <c r="AF1097" s="203" t="str">
        <f t="shared" si="1"/>
        <v>Buenos Aires, Argentina</v>
      </c>
      <c r="AG1097" s="203">
        <f t="shared" si="2"/>
        <v>2</v>
      </c>
      <c r="AH1097" s="208">
        <f t="shared" si="3"/>
        <v>0</v>
      </c>
      <c r="AI1097" s="208">
        <f t="shared" si="4"/>
        <v>0</v>
      </c>
      <c r="AJ1097" s="207">
        <f t="shared" si="5"/>
        <v>117750</v>
      </c>
      <c r="AK1097" s="207">
        <f t="shared" si="6"/>
        <v>117750</v>
      </c>
      <c r="AL1097" s="123"/>
      <c r="AM1097" s="123"/>
    </row>
    <row r="1098">
      <c r="A1098" s="298">
        <v>1097.0</v>
      </c>
      <c r="B1098" s="299">
        <v>44911.0</v>
      </c>
      <c r="C1098" s="195" t="str">
        <f t="shared" si="9"/>
        <v>122022</v>
      </c>
      <c r="D1098" s="300" t="s">
        <v>3168</v>
      </c>
      <c r="E1098" s="298" t="s">
        <v>3169</v>
      </c>
      <c r="F1098" s="300" t="s">
        <v>1459</v>
      </c>
      <c r="G1098" s="298" t="s">
        <v>64</v>
      </c>
      <c r="H1098" s="298" t="s">
        <v>41</v>
      </c>
      <c r="I1098" s="298" t="s">
        <v>643</v>
      </c>
      <c r="J1098" s="301"/>
      <c r="K1098" s="307">
        <v>3.0</v>
      </c>
      <c r="L1098" s="301"/>
      <c r="M1098" s="301"/>
      <c r="N1098" s="301"/>
      <c r="O1098" s="301"/>
      <c r="P1098" s="301"/>
      <c r="Q1098" s="302"/>
      <c r="R1098" s="302"/>
      <c r="S1098" s="298" t="s">
        <v>65</v>
      </c>
      <c r="T1098" s="298" t="s">
        <v>66</v>
      </c>
      <c r="U1098" s="298" t="s">
        <v>99</v>
      </c>
      <c r="V1098" s="298" t="s">
        <v>1984</v>
      </c>
      <c r="W1098" s="303"/>
      <c r="X1098" s="303"/>
      <c r="Y1098" s="303"/>
      <c r="Z1098" s="303"/>
      <c r="AA1098" s="304">
        <v>37686.0</v>
      </c>
      <c r="AB1098" s="304">
        <v>190944.0</v>
      </c>
      <c r="AC1098" s="24" t="s">
        <v>3170</v>
      </c>
      <c r="AD1098" s="195">
        <v>9302.0</v>
      </c>
      <c r="AE1098" s="38"/>
      <c r="AF1098" s="298" t="str">
        <f t="shared" si="1"/>
        <v>Buenos Aires, Argentina</v>
      </c>
      <c r="AG1098" s="298">
        <f t="shared" si="2"/>
        <v>3</v>
      </c>
      <c r="AH1098" s="305">
        <f t="shared" si="3"/>
        <v>0</v>
      </c>
      <c r="AI1098" s="305">
        <f t="shared" si="4"/>
        <v>0</v>
      </c>
      <c r="AJ1098" s="304">
        <f t="shared" si="5"/>
        <v>228630</v>
      </c>
      <c r="AK1098" s="304">
        <f t="shared" si="6"/>
        <v>228630</v>
      </c>
      <c r="AL1098" s="306"/>
      <c r="AM1098" s="306"/>
    </row>
    <row r="1099">
      <c r="A1099" s="298">
        <v>1098.0</v>
      </c>
      <c r="B1099" s="299">
        <v>44921.0</v>
      </c>
      <c r="C1099" s="195" t="str">
        <f t="shared" si="9"/>
        <v>122022</v>
      </c>
      <c r="D1099" s="300" t="s">
        <v>2666</v>
      </c>
      <c r="E1099" s="298" t="s">
        <v>2667</v>
      </c>
      <c r="F1099" s="300" t="s">
        <v>1427</v>
      </c>
      <c r="G1099" s="298" t="s">
        <v>64</v>
      </c>
      <c r="H1099" s="298" t="s">
        <v>41</v>
      </c>
      <c r="I1099" s="298" t="s">
        <v>643</v>
      </c>
      <c r="J1099" s="301"/>
      <c r="K1099" s="307">
        <v>2.0</v>
      </c>
      <c r="L1099" s="301"/>
      <c r="M1099" s="301"/>
      <c r="N1099" s="301"/>
      <c r="O1099" s="301"/>
      <c r="P1099" s="301"/>
      <c r="Q1099" s="302"/>
      <c r="R1099" s="302"/>
      <c r="S1099" s="298" t="s">
        <v>204</v>
      </c>
      <c r="T1099" s="298" t="s">
        <v>83</v>
      </c>
      <c r="U1099" s="298" t="s">
        <v>99</v>
      </c>
      <c r="V1099" s="298" t="s">
        <v>1984</v>
      </c>
      <c r="W1099" s="303"/>
      <c r="X1099" s="303"/>
      <c r="Y1099" s="303"/>
      <c r="Z1099" s="303"/>
      <c r="AA1099" s="304">
        <v>25124.0</v>
      </c>
      <c r="AB1099" s="304">
        <v>100496.0</v>
      </c>
      <c r="AC1099" s="24" t="s">
        <v>3171</v>
      </c>
      <c r="AD1099" s="195">
        <v>9316.0</v>
      </c>
      <c r="AE1099" s="38"/>
      <c r="AF1099" s="298" t="str">
        <f t="shared" si="1"/>
        <v>Capital Federal, Argentina</v>
      </c>
      <c r="AG1099" s="298">
        <f t="shared" si="2"/>
        <v>2</v>
      </c>
      <c r="AH1099" s="305">
        <f t="shared" si="3"/>
        <v>0</v>
      </c>
      <c r="AI1099" s="305">
        <f t="shared" si="4"/>
        <v>0</v>
      </c>
      <c r="AJ1099" s="304">
        <f t="shared" si="5"/>
        <v>125620</v>
      </c>
      <c r="AK1099" s="304">
        <f t="shared" si="6"/>
        <v>125620</v>
      </c>
      <c r="AL1099" s="306"/>
      <c r="AM1099" s="306"/>
    </row>
    <row r="1100">
      <c r="A1100" s="298">
        <v>1099.0</v>
      </c>
      <c r="B1100" s="299">
        <v>44921.0</v>
      </c>
      <c r="C1100" s="195" t="str">
        <f t="shared" si="9"/>
        <v>122022</v>
      </c>
      <c r="D1100" s="300" t="s">
        <v>2515</v>
      </c>
      <c r="E1100" s="298" t="s">
        <v>2516</v>
      </c>
      <c r="F1100" s="300" t="s">
        <v>1412</v>
      </c>
      <c r="G1100" s="298" t="s">
        <v>64</v>
      </c>
      <c r="H1100" s="298" t="s">
        <v>547</v>
      </c>
      <c r="I1100" s="298" t="s">
        <v>643</v>
      </c>
      <c r="J1100" s="307">
        <v>2.0</v>
      </c>
      <c r="K1100" s="301"/>
      <c r="L1100" s="301"/>
      <c r="M1100" s="301"/>
      <c r="N1100" s="301"/>
      <c r="O1100" s="301"/>
      <c r="P1100" s="301"/>
      <c r="Q1100" s="302"/>
      <c r="R1100" s="302"/>
      <c r="S1100" s="298" t="s">
        <v>72</v>
      </c>
      <c r="T1100" s="298" t="s">
        <v>66</v>
      </c>
      <c r="U1100" s="298" t="s">
        <v>99</v>
      </c>
      <c r="V1100" s="298" t="s">
        <v>1984</v>
      </c>
      <c r="W1100" s="303"/>
      <c r="X1100" s="303"/>
      <c r="Y1100" s="303"/>
      <c r="Z1100" s="303"/>
      <c r="AA1100" s="304">
        <v>20100.0</v>
      </c>
      <c r="AB1100" s="304">
        <v>56280.0</v>
      </c>
      <c r="AC1100" s="24" t="s">
        <v>3172</v>
      </c>
      <c r="AD1100" s="195">
        <v>9328.0</v>
      </c>
      <c r="AE1100" s="38"/>
      <c r="AF1100" s="298" t="str">
        <f t="shared" si="1"/>
        <v>Buenos Aires, Argentina</v>
      </c>
      <c r="AG1100" s="298">
        <f t="shared" si="2"/>
        <v>2</v>
      </c>
      <c r="AH1100" s="305">
        <f t="shared" si="3"/>
        <v>0</v>
      </c>
      <c r="AI1100" s="305">
        <f t="shared" si="4"/>
        <v>0</v>
      </c>
      <c r="AJ1100" s="304">
        <f t="shared" si="5"/>
        <v>76380</v>
      </c>
      <c r="AK1100" s="304">
        <f t="shared" si="6"/>
        <v>76380</v>
      </c>
      <c r="AL1100" s="306"/>
      <c r="AM1100" s="306"/>
    </row>
    <row r="1101">
      <c r="A1101" s="298">
        <v>1100.0</v>
      </c>
      <c r="B1101" s="299">
        <v>44921.0</v>
      </c>
      <c r="C1101" s="195" t="str">
        <f t="shared" si="9"/>
        <v>122022</v>
      </c>
      <c r="D1101" s="300" t="s">
        <v>3173</v>
      </c>
      <c r="E1101" s="298" t="s">
        <v>3174</v>
      </c>
      <c r="F1101" s="300" t="s">
        <v>1415</v>
      </c>
      <c r="G1101" s="298" t="s">
        <v>64</v>
      </c>
      <c r="H1101" s="298" t="s">
        <v>41</v>
      </c>
      <c r="I1101" s="298" t="s">
        <v>643</v>
      </c>
      <c r="J1101" s="301"/>
      <c r="K1101" s="307">
        <v>1.0</v>
      </c>
      <c r="L1101" s="301"/>
      <c r="M1101" s="301"/>
      <c r="N1101" s="301"/>
      <c r="O1101" s="301"/>
      <c r="P1101" s="301"/>
      <c r="Q1101" s="302"/>
      <c r="R1101" s="302"/>
      <c r="S1101" s="298" t="s">
        <v>72</v>
      </c>
      <c r="T1101" s="298" t="s">
        <v>216</v>
      </c>
      <c r="U1101" s="298" t="s">
        <v>99</v>
      </c>
      <c r="V1101" s="298" t="s">
        <v>1984</v>
      </c>
      <c r="W1101" s="303"/>
      <c r="X1101" s="303"/>
      <c r="Y1101" s="303"/>
      <c r="Z1101" s="303"/>
      <c r="AA1101" s="304">
        <v>12562.0</v>
      </c>
      <c r="AB1101" s="304">
        <v>50248.0</v>
      </c>
      <c r="AC1101" s="24" t="s">
        <v>3175</v>
      </c>
      <c r="AD1101" s="195">
        <v>9280.0</v>
      </c>
      <c r="AE1101" s="38"/>
      <c r="AF1101" s="298" t="str">
        <f t="shared" si="1"/>
        <v>Catamarca, Argentina</v>
      </c>
      <c r="AG1101" s="298">
        <f t="shared" si="2"/>
        <v>1</v>
      </c>
      <c r="AH1101" s="305">
        <f t="shared" si="3"/>
        <v>0</v>
      </c>
      <c r="AI1101" s="305">
        <f t="shared" si="4"/>
        <v>0</v>
      </c>
      <c r="AJ1101" s="304">
        <f t="shared" si="5"/>
        <v>62810</v>
      </c>
      <c r="AK1101" s="304">
        <f t="shared" si="6"/>
        <v>62810</v>
      </c>
      <c r="AL1101" s="306"/>
      <c r="AM1101" s="306"/>
    </row>
    <row r="1102">
      <c r="A1102" s="298">
        <v>1101.0</v>
      </c>
      <c r="B1102" s="299">
        <v>44923.0</v>
      </c>
      <c r="C1102" s="195" t="str">
        <f t="shared" si="9"/>
        <v>122022</v>
      </c>
      <c r="D1102" s="300" t="s">
        <v>3087</v>
      </c>
      <c r="E1102" s="298" t="s">
        <v>3088</v>
      </c>
      <c r="F1102" s="300" t="s">
        <v>3176</v>
      </c>
      <c r="G1102" s="298" t="s">
        <v>64</v>
      </c>
      <c r="H1102" s="298" t="s">
        <v>41</v>
      </c>
      <c r="I1102" s="298" t="s">
        <v>643</v>
      </c>
      <c r="J1102" s="301"/>
      <c r="K1102" s="301"/>
      <c r="L1102" s="301"/>
      <c r="M1102" s="301"/>
      <c r="N1102" s="301"/>
      <c r="O1102" s="301"/>
      <c r="P1102" s="301"/>
      <c r="Q1102" s="302"/>
      <c r="R1102" s="302"/>
      <c r="S1102" s="298" t="s">
        <v>105</v>
      </c>
      <c r="T1102" s="298" t="s">
        <v>73</v>
      </c>
      <c r="U1102" s="298" t="s">
        <v>99</v>
      </c>
      <c r="V1102" s="298" t="s">
        <v>2945</v>
      </c>
      <c r="W1102" s="304">
        <v>21613.0</v>
      </c>
      <c r="X1102" s="304">
        <v>86452.0</v>
      </c>
      <c r="Y1102" s="303"/>
      <c r="Z1102" s="303"/>
      <c r="AA1102" s="304">
        <v>0.0</v>
      </c>
      <c r="AB1102" s="304">
        <v>0.0</v>
      </c>
      <c r="AC1102" s="24" t="s">
        <v>3177</v>
      </c>
      <c r="AD1102" s="195">
        <v>9220.0</v>
      </c>
      <c r="AE1102" s="38"/>
      <c r="AF1102" s="298" t="str">
        <f t="shared" si="1"/>
        <v>Tierra de Fuego, Argentina</v>
      </c>
      <c r="AG1102" s="298">
        <f t="shared" si="2"/>
        <v>0</v>
      </c>
      <c r="AH1102" s="305">
        <f t="shared" si="3"/>
        <v>108065</v>
      </c>
      <c r="AI1102" s="305">
        <f t="shared" si="4"/>
        <v>0</v>
      </c>
      <c r="AJ1102" s="304">
        <f t="shared" si="5"/>
        <v>0</v>
      </c>
      <c r="AK1102" s="304">
        <f t="shared" si="6"/>
        <v>108065</v>
      </c>
      <c r="AL1102" s="306"/>
      <c r="AM1102" s="306"/>
    </row>
    <row r="1103">
      <c r="A1103" s="298">
        <v>1102.0</v>
      </c>
      <c r="B1103" s="299">
        <v>44923.0</v>
      </c>
      <c r="C1103" s="195" t="str">
        <f t="shared" si="9"/>
        <v>122022</v>
      </c>
      <c r="D1103" s="300" t="s">
        <v>3087</v>
      </c>
      <c r="E1103" s="298" t="s">
        <v>3088</v>
      </c>
      <c r="F1103" s="300" t="s">
        <v>1357</v>
      </c>
      <c r="G1103" s="298" t="s">
        <v>64</v>
      </c>
      <c r="H1103" s="298" t="s">
        <v>41</v>
      </c>
      <c r="I1103" s="298" t="s">
        <v>643</v>
      </c>
      <c r="J1103" s="301"/>
      <c r="K1103" s="301"/>
      <c r="L1103" s="301"/>
      <c r="M1103" s="301"/>
      <c r="N1103" s="301"/>
      <c r="O1103" s="301"/>
      <c r="P1103" s="307">
        <v>1.0</v>
      </c>
      <c r="Q1103" s="302"/>
      <c r="R1103" s="302"/>
      <c r="S1103" s="298" t="s">
        <v>105</v>
      </c>
      <c r="T1103" s="298" t="s">
        <v>73</v>
      </c>
      <c r="U1103" s="298" t="s">
        <v>99</v>
      </c>
      <c r="V1103" s="298" t="s">
        <v>2945</v>
      </c>
      <c r="W1103" s="303"/>
      <c r="X1103" s="303"/>
      <c r="Y1103" s="303"/>
      <c r="Z1103" s="303"/>
      <c r="AA1103" s="304">
        <v>12562.0</v>
      </c>
      <c r="AB1103" s="304">
        <v>50248.0</v>
      </c>
      <c r="AC1103" s="24" t="s">
        <v>3178</v>
      </c>
      <c r="AD1103" s="195">
        <v>9278.0</v>
      </c>
      <c r="AE1103" s="38"/>
      <c r="AF1103" s="298" t="str">
        <f t="shared" si="1"/>
        <v>Tierra de Fuego, Argentina</v>
      </c>
      <c r="AG1103" s="298">
        <f t="shared" si="2"/>
        <v>1</v>
      </c>
      <c r="AH1103" s="305">
        <f t="shared" si="3"/>
        <v>0</v>
      </c>
      <c r="AI1103" s="305">
        <f t="shared" si="4"/>
        <v>0</v>
      </c>
      <c r="AJ1103" s="304">
        <f t="shared" si="5"/>
        <v>62810</v>
      </c>
      <c r="AK1103" s="304">
        <f t="shared" si="6"/>
        <v>62810</v>
      </c>
      <c r="AL1103" s="306"/>
      <c r="AM1103" s="306"/>
    </row>
    <row r="1104">
      <c r="A1104" s="298">
        <v>1103.0</v>
      </c>
      <c r="B1104" s="299">
        <v>44924.0</v>
      </c>
      <c r="C1104" s="195" t="str">
        <f t="shared" si="9"/>
        <v>122022</v>
      </c>
      <c r="D1104" s="300" t="s">
        <v>3179</v>
      </c>
      <c r="E1104" s="298" t="s">
        <v>3180</v>
      </c>
      <c r="F1104" s="300" t="s">
        <v>2506</v>
      </c>
      <c r="G1104" s="298" t="s">
        <v>40</v>
      </c>
      <c r="H1104" s="298" t="s">
        <v>547</v>
      </c>
      <c r="I1104" s="298" t="s">
        <v>42</v>
      </c>
      <c r="J1104" s="307">
        <v>3.0</v>
      </c>
      <c r="K1104" s="307">
        <v>3.0</v>
      </c>
      <c r="L1104" s="301"/>
      <c r="M1104" s="307">
        <v>1.0</v>
      </c>
      <c r="N1104" s="301"/>
      <c r="O1104" s="301"/>
      <c r="P1104" s="301"/>
      <c r="Q1104" s="302"/>
      <c r="R1104" s="302"/>
      <c r="S1104" s="298" t="s">
        <v>114</v>
      </c>
      <c r="T1104" s="298" t="s">
        <v>83</v>
      </c>
      <c r="U1104" s="298" t="s">
        <v>342</v>
      </c>
      <c r="V1104" s="298" t="s">
        <v>2922</v>
      </c>
      <c r="W1104" s="303"/>
      <c r="X1104" s="303"/>
      <c r="Y1104" s="303"/>
      <c r="Z1104" s="303"/>
      <c r="AA1104" s="304">
        <v>62811.0</v>
      </c>
      <c r="AB1104" s="304">
        <v>198984.0</v>
      </c>
      <c r="AC1104" s="24" t="s">
        <v>3181</v>
      </c>
      <c r="AD1104" s="195">
        <v>9338.0</v>
      </c>
      <c r="AE1104" s="38"/>
      <c r="AF1104" s="298" t="str">
        <f t="shared" si="1"/>
        <v>Capital Federal, Argentina</v>
      </c>
      <c r="AG1104" s="298">
        <f t="shared" si="2"/>
        <v>7</v>
      </c>
      <c r="AH1104" s="305">
        <f t="shared" si="3"/>
        <v>0</v>
      </c>
      <c r="AI1104" s="305">
        <f t="shared" si="4"/>
        <v>0</v>
      </c>
      <c r="AJ1104" s="304">
        <f t="shared" si="5"/>
        <v>261795</v>
      </c>
      <c r="AK1104" s="304">
        <f t="shared" si="6"/>
        <v>261795</v>
      </c>
      <c r="AL1104" s="306"/>
      <c r="AM1104" s="306"/>
    </row>
    <row r="1105">
      <c r="A1105" s="298">
        <v>1104.0</v>
      </c>
      <c r="B1105" s="299">
        <v>44925.0</v>
      </c>
      <c r="C1105" s="195" t="str">
        <f t="shared" si="9"/>
        <v>122022</v>
      </c>
      <c r="D1105" s="300" t="s">
        <v>2084</v>
      </c>
      <c r="E1105" s="298" t="s">
        <v>2085</v>
      </c>
      <c r="F1105" s="300" t="s">
        <v>2983</v>
      </c>
      <c r="G1105" s="298" t="s">
        <v>64</v>
      </c>
      <c r="H1105" s="298" t="s">
        <v>41</v>
      </c>
      <c r="I1105" s="298" t="s">
        <v>643</v>
      </c>
      <c r="J1105" s="301"/>
      <c r="K1105" s="301"/>
      <c r="L1105" s="301"/>
      <c r="M1105" s="301"/>
      <c r="N1105" s="301"/>
      <c r="O1105" s="301"/>
      <c r="P1105" s="301"/>
      <c r="Q1105" s="302"/>
      <c r="R1105" s="302"/>
      <c r="S1105" s="298" t="s">
        <v>167</v>
      </c>
      <c r="T1105" s="298" t="s">
        <v>83</v>
      </c>
      <c r="U1105" s="298" t="s">
        <v>99</v>
      </c>
      <c r="V1105" s="298" t="s">
        <v>1984</v>
      </c>
      <c r="W1105" s="303"/>
      <c r="X1105" s="303"/>
      <c r="Y1105" s="303"/>
      <c r="Z1105" s="303"/>
      <c r="AA1105" s="304">
        <v>0.0</v>
      </c>
      <c r="AB1105" s="304">
        <v>26800.0</v>
      </c>
      <c r="AC1105" s="24" t="s">
        <v>3182</v>
      </c>
      <c r="AD1105" s="195">
        <v>9326.0</v>
      </c>
      <c r="AE1105" s="38"/>
      <c r="AF1105" s="298" t="str">
        <f t="shared" si="1"/>
        <v>Capital Federal, Argentina</v>
      </c>
      <c r="AG1105" s="298">
        <f t="shared" si="2"/>
        <v>0</v>
      </c>
      <c r="AH1105" s="305">
        <f t="shared" si="3"/>
        <v>0</v>
      </c>
      <c r="AI1105" s="305">
        <f t="shared" si="4"/>
        <v>0</v>
      </c>
      <c r="AJ1105" s="304">
        <f t="shared" si="5"/>
        <v>26800</v>
      </c>
      <c r="AK1105" s="304">
        <f t="shared" si="6"/>
        <v>26800</v>
      </c>
      <c r="AL1105" s="306"/>
      <c r="AM1105" s="306"/>
    </row>
    <row r="1106">
      <c r="A1106" s="298">
        <v>1105.0</v>
      </c>
      <c r="B1106" s="299">
        <v>44925.0</v>
      </c>
      <c r="C1106" s="195" t="str">
        <f t="shared" si="9"/>
        <v>122022</v>
      </c>
      <c r="D1106" s="300" t="s">
        <v>3159</v>
      </c>
      <c r="E1106" s="298" t="s">
        <v>3160</v>
      </c>
      <c r="F1106" s="300" t="s">
        <v>1423</v>
      </c>
      <c r="G1106" s="298" t="s">
        <v>64</v>
      </c>
      <c r="H1106" s="298" t="s">
        <v>41</v>
      </c>
      <c r="I1106" s="298" t="s">
        <v>643</v>
      </c>
      <c r="J1106" s="307">
        <v>1.0</v>
      </c>
      <c r="K1106" s="301"/>
      <c r="L1106" s="301"/>
      <c r="M1106" s="301"/>
      <c r="N1106" s="301"/>
      <c r="O1106" s="301"/>
      <c r="P1106" s="301"/>
      <c r="Q1106" s="302"/>
      <c r="R1106" s="302"/>
      <c r="S1106" s="298" t="s">
        <v>105</v>
      </c>
      <c r="T1106" s="298" t="s">
        <v>263</v>
      </c>
      <c r="U1106" s="298" t="s">
        <v>99</v>
      </c>
      <c r="V1106" s="298" t="s">
        <v>1984</v>
      </c>
      <c r="W1106" s="303"/>
      <c r="X1106" s="303"/>
      <c r="Y1106" s="303"/>
      <c r="Z1106" s="303"/>
      <c r="AA1106" s="304">
        <v>15700.0</v>
      </c>
      <c r="AB1106" s="304">
        <v>67000.0</v>
      </c>
      <c r="AC1106" s="24" t="s">
        <v>3183</v>
      </c>
      <c r="AD1106" s="195">
        <v>9376.0</v>
      </c>
      <c r="AE1106" s="38"/>
      <c r="AF1106" s="298" t="str">
        <f t="shared" si="1"/>
        <v>Santa Fé, Argentina</v>
      </c>
      <c r="AG1106" s="298">
        <f t="shared" si="2"/>
        <v>1</v>
      </c>
      <c r="AH1106" s="305">
        <f t="shared" si="3"/>
        <v>0</v>
      </c>
      <c r="AI1106" s="305">
        <f t="shared" si="4"/>
        <v>0</v>
      </c>
      <c r="AJ1106" s="304">
        <f t="shared" si="5"/>
        <v>82700</v>
      </c>
      <c r="AK1106" s="304">
        <f t="shared" si="6"/>
        <v>82700</v>
      </c>
      <c r="AL1106" s="306"/>
      <c r="AM1106" s="306"/>
    </row>
    <row r="1107">
      <c r="A1107" s="298">
        <v>1106.0</v>
      </c>
      <c r="B1107" s="299">
        <v>44925.0</v>
      </c>
      <c r="C1107" s="195" t="str">
        <f t="shared" si="9"/>
        <v>122022</v>
      </c>
      <c r="D1107" s="300" t="s">
        <v>2866</v>
      </c>
      <c r="E1107" s="298" t="s">
        <v>2867</v>
      </c>
      <c r="F1107" s="300" t="s">
        <v>1878</v>
      </c>
      <c r="G1107" s="298" t="s">
        <v>64</v>
      </c>
      <c r="H1107" s="298" t="s">
        <v>547</v>
      </c>
      <c r="I1107" s="298" t="s">
        <v>643</v>
      </c>
      <c r="J1107" s="301"/>
      <c r="K1107" s="301"/>
      <c r="L1107" s="301"/>
      <c r="M1107" s="301"/>
      <c r="N1107" s="307">
        <v>1.0</v>
      </c>
      <c r="O1107" s="301"/>
      <c r="P1107" s="301"/>
      <c r="Q1107" s="302"/>
      <c r="R1107" s="302"/>
      <c r="S1107" s="298" t="s">
        <v>51</v>
      </c>
      <c r="T1107" s="298" t="s">
        <v>83</v>
      </c>
      <c r="U1107" s="298" t="s">
        <v>99</v>
      </c>
      <c r="V1107" s="298" t="s">
        <v>1984</v>
      </c>
      <c r="W1107" s="303"/>
      <c r="X1107" s="303"/>
      <c r="Y1107" s="303"/>
      <c r="Z1107" s="303"/>
      <c r="AA1107" s="304">
        <v>10050.0</v>
      </c>
      <c r="AB1107" s="304">
        <v>40200.0</v>
      </c>
      <c r="AC1107" s="24" t="s">
        <v>3184</v>
      </c>
      <c r="AD1107" s="195">
        <v>9384.0</v>
      </c>
      <c r="AE1107" s="38"/>
      <c r="AF1107" s="298" t="str">
        <f t="shared" si="1"/>
        <v>Capital Federal, Argentina</v>
      </c>
      <c r="AG1107" s="298">
        <f t="shared" si="2"/>
        <v>1</v>
      </c>
      <c r="AH1107" s="305">
        <f t="shared" si="3"/>
        <v>0</v>
      </c>
      <c r="AI1107" s="305">
        <f t="shared" si="4"/>
        <v>0</v>
      </c>
      <c r="AJ1107" s="304">
        <f t="shared" si="5"/>
        <v>50250</v>
      </c>
      <c r="AK1107" s="304">
        <f t="shared" si="6"/>
        <v>50250</v>
      </c>
      <c r="AL1107" s="306"/>
      <c r="AM1107" s="306"/>
    </row>
    <row r="1108">
      <c r="A1108" s="298">
        <v>1107.0</v>
      </c>
      <c r="B1108" s="299">
        <v>44925.0</v>
      </c>
      <c r="C1108" s="195" t="str">
        <f t="shared" si="9"/>
        <v>122022</v>
      </c>
      <c r="D1108" s="300" t="s">
        <v>3185</v>
      </c>
      <c r="E1108" s="298" t="s">
        <v>3186</v>
      </c>
      <c r="F1108" s="300" t="s">
        <v>2056</v>
      </c>
      <c r="G1108" s="298" t="s">
        <v>40</v>
      </c>
      <c r="H1108" s="298" t="s">
        <v>41</v>
      </c>
      <c r="I1108" s="298" t="s">
        <v>42</v>
      </c>
      <c r="J1108" s="307">
        <v>1.0</v>
      </c>
      <c r="K1108" s="301"/>
      <c r="L1108" s="301"/>
      <c r="M1108" s="307">
        <v>1.0</v>
      </c>
      <c r="N1108" s="301"/>
      <c r="O1108" s="301"/>
      <c r="P1108" s="301"/>
      <c r="Q1108" s="302"/>
      <c r="R1108" s="302"/>
      <c r="S1108" s="298" t="s">
        <v>105</v>
      </c>
      <c r="T1108" s="298" t="s">
        <v>73</v>
      </c>
      <c r="U1108" s="298" t="s">
        <v>99</v>
      </c>
      <c r="V1108" s="298" t="s">
        <v>2922</v>
      </c>
      <c r="W1108" s="303"/>
      <c r="X1108" s="303"/>
      <c r="Y1108" s="303"/>
      <c r="Z1108" s="303"/>
      <c r="AA1108" s="304">
        <v>17800.0</v>
      </c>
      <c r="AB1108" s="304">
        <v>142400.0</v>
      </c>
      <c r="AC1108" s="24" t="s">
        <v>3187</v>
      </c>
      <c r="AD1108" s="195">
        <v>9366.0</v>
      </c>
      <c r="AE1108" s="38"/>
      <c r="AF1108" s="298" t="str">
        <f t="shared" si="1"/>
        <v>Tierra de Fuego, Argentina</v>
      </c>
      <c r="AG1108" s="298">
        <f t="shared" si="2"/>
        <v>2</v>
      </c>
      <c r="AH1108" s="305">
        <f t="shared" si="3"/>
        <v>0</v>
      </c>
      <c r="AI1108" s="305">
        <f t="shared" si="4"/>
        <v>0</v>
      </c>
      <c r="AJ1108" s="304">
        <f t="shared" si="5"/>
        <v>160200</v>
      </c>
      <c r="AK1108" s="304">
        <f t="shared" si="6"/>
        <v>160200</v>
      </c>
      <c r="AL1108" s="306"/>
      <c r="AM1108" s="306"/>
    </row>
    <row r="1109">
      <c r="A1109" s="298">
        <v>1108.0</v>
      </c>
      <c r="B1109" s="299">
        <v>44925.0</v>
      </c>
      <c r="C1109" s="195" t="str">
        <f t="shared" si="9"/>
        <v>122022</v>
      </c>
      <c r="D1109" s="300" t="s">
        <v>1821</v>
      </c>
      <c r="E1109" s="298" t="s">
        <v>1822</v>
      </c>
      <c r="F1109" s="300" t="s">
        <v>1423</v>
      </c>
      <c r="G1109" s="298" t="s">
        <v>64</v>
      </c>
      <c r="H1109" s="298" t="s">
        <v>41</v>
      </c>
      <c r="I1109" s="298" t="s">
        <v>643</v>
      </c>
      <c r="J1109" s="307">
        <v>1.0</v>
      </c>
      <c r="K1109" s="301"/>
      <c r="L1109" s="301"/>
      <c r="M1109" s="301"/>
      <c r="N1109" s="301"/>
      <c r="O1109" s="301"/>
      <c r="P1109" s="301"/>
      <c r="Q1109" s="302"/>
      <c r="R1109" s="302"/>
      <c r="S1109" s="298" t="s">
        <v>65</v>
      </c>
      <c r="T1109" s="298" t="s">
        <v>66</v>
      </c>
      <c r="U1109" s="298" t="s">
        <v>99</v>
      </c>
      <c r="V1109" s="298" t="s">
        <v>1984</v>
      </c>
      <c r="W1109" s="303"/>
      <c r="X1109" s="303"/>
      <c r="Y1109" s="303"/>
      <c r="Z1109" s="303"/>
      <c r="AA1109" s="304">
        <v>15075.0</v>
      </c>
      <c r="AB1109" s="304">
        <v>67837.0</v>
      </c>
      <c r="AC1109" s="24" t="s">
        <v>3188</v>
      </c>
      <c r="AD1109" s="195">
        <v>9380.0</v>
      </c>
      <c r="AE1109" s="38"/>
      <c r="AF1109" s="298" t="str">
        <f t="shared" si="1"/>
        <v>Buenos Aires, Argentina</v>
      </c>
      <c r="AG1109" s="298">
        <f t="shared" si="2"/>
        <v>1</v>
      </c>
      <c r="AH1109" s="305">
        <f t="shared" si="3"/>
        <v>0</v>
      </c>
      <c r="AI1109" s="305">
        <f t="shared" si="4"/>
        <v>0</v>
      </c>
      <c r="AJ1109" s="304">
        <f t="shared" si="5"/>
        <v>82912</v>
      </c>
      <c r="AK1109" s="304">
        <f t="shared" si="6"/>
        <v>82912</v>
      </c>
      <c r="AL1109" s="306"/>
      <c r="AM1109" s="306"/>
    </row>
    <row r="1110">
      <c r="A1110" s="298">
        <v>1109.0</v>
      </c>
      <c r="B1110" s="299">
        <v>44925.0</v>
      </c>
      <c r="C1110" s="195" t="str">
        <f t="shared" si="9"/>
        <v>122022</v>
      </c>
      <c r="D1110" s="300" t="s">
        <v>3189</v>
      </c>
      <c r="E1110" s="298" t="s">
        <v>3190</v>
      </c>
      <c r="F1110" s="300" t="s">
        <v>1415</v>
      </c>
      <c r="G1110" s="298" t="s">
        <v>64</v>
      </c>
      <c r="H1110" s="298" t="s">
        <v>41</v>
      </c>
      <c r="I1110" s="298" t="s">
        <v>643</v>
      </c>
      <c r="J1110" s="301"/>
      <c r="K1110" s="307">
        <v>1.0</v>
      </c>
      <c r="L1110" s="301"/>
      <c r="M1110" s="301"/>
      <c r="N1110" s="301"/>
      <c r="O1110" s="301"/>
      <c r="P1110" s="301"/>
      <c r="Q1110" s="302"/>
      <c r="R1110" s="302"/>
      <c r="S1110" s="298" t="s">
        <v>189</v>
      </c>
      <c r="T1110" s="298" t="s">
        <v>66</v>
      </c>
      <c r="U1110" s="298" t="s">
        <v>99</v>
      </c>
      <c r="V1110" s="298" t="s">
        <v>1984</v>
      </c>
      <c r="W1110" s="303"/>
      <c r="X1110" s="303"/>
      <c r="Y1110" s="303"/>
      <c r="Z1110" s="303"/>
      <c r="AA1110" s="304">
        <v>12562.0</v>
      </c>
      <c r="AB1110" s="304">
        <v>50248.0</v>
      </c>
      <c r="AC1110" s="24" t="s">
        <v>3191</v>
      </c>
      <c r="AD1110" s="195">
        <v>9398.0</v>
      </c>
      <c r="AE1110" s="38"/>
      <c r="AF1110" s="298" t="str">
        <f t="shared" si="1"/>
        <v>Buenos Aires, Argentina</v>
      </c>
      <c r="AG1110" s="298">
        <f t="shared" si="2"/>
        <v>1</v>
      </c>
      <c r="AH1110" s="305">
        <f t="shared" si="3"/>
        <v>0</v>
      </c>
      <c r="AI1110" s="305">
        <f t="shared" si="4"/>
        <v>0</v>
      </c>
      <c r="AJ1110" s="304">
        <f t="shared" si="5"/>
        <v>62810</v>
      </c>
      <c r="AK1110" s="304">
        <f t="shared" si="6"/>
        <v>62810</v>
      </c>
      <c r="AL1110" s="306"/>
      <c r="AM1110" s="306"/>
    </row>
    <row r="1111">
      <c r="A1111" s="298">
        <v>1110.0</v>
      </c>
      <c r="B1111" s="299">
        <v>44925.0</v>
      </c>
      <c r="C1111" s="195" t="str">
        <f t="shared" si="9"/>
        <v>122022</v>
      </c>
      <c r="D1111" s="300" t="s">
        <v>3192</v>
      </c>
      <c r="E1111" s="298" t="s">
        <v>3193</v>
      </c>
      <c r="F1111" s="300" t="s">
        <v>3194</v>
      </c>
      <c r="G1111" s="298" t="s">
        <v>64</v>
      </c>
      <c r="H1111" s="298" t="s">
        <v>41</v>
      </c>
      <c r="I1111" s="298" t="s">
        <v>643</v>
      </c>
      <c r="J1111" s="307">
        <v>1.0</v>
      </c>
      <c r="K1111" s="301"/>
      <c r="L1111" s="301"/>
      <c r="M1111" s="301"/>
      <c r="N1111" s="301"/>
      <c r="O1111" s="301"/>
      <c r="P1111" s="301"/>
      <c r="Q1111" s="302"/>
      <c r="R1111" s="302"/>
      <c r="S1111" s="298" t="s">
        <v>105</v>
      </c>
      <c r="T1111" s="298" t="s">
        <v>66</v>
      </c>
      <c r="U1111" s="298" t="s">
        <v>99</v>
      </c>
      <c r="V1111" s="298" t="s">
        <v>1984</v>
      </c>
      <c r="W1111" s="303"/>
      <c r="X1111" s="303"/>
      <c r="Y1111" s="303"/>
      <c r="Z1111" s="303"/>
      <c r="AA1111" s="304">
        <v>16750.0</v>
      </c>
      <c r="AB1111" s="304">
        <v>67000.0</v>
      </c>
      <c r="AC1111" s="24" t="s">
        <v>3195</v>
      </c>
      <c r="AD1111" s="195">
        <v>9364.0</v>
      </c>
      <c r="AE1111" s="38"/>
      <c r="AF1111" s="298" t="str">
        <f t="shared" si="1"/>
        <v>Buenos Aires, Argentina</v>
      </c>
      <c r="AG1111" s="298">
        <f t="shared" si="2"/>
        <v>1</v>
      </c>
      <c r="AH1111" s="305">
        <f t="shared" si="3"/>
        <v>0</v>
      </c>
      <c r="AI1111" s="305">
        <f t="shared" si="4"/>
        <v>0</v>
      </c>
      <c r="AJ1111" s="304">
        <f t="shared" si="5"/>
        <v>83750</v>
      </c>
      <c r="AK1111" s="304">
        <f t="shared" si="6"/>
        <v>83750</v>
      </c>
      <c r="AL1111" s="306"/>
      <c r="AM1111" s="306"/>
    </row>
    <row r="1112">
      <c r="A1112" s="298">
        <v>1111.0</v>
      </c>
      <c r="B1112" s="299">
        <v>44925.0</v>
      </c>
      <c r="C1112" s="195" t="str">
        <f t="shared" si="9"/>
        <v>122022</v>
      </c>
      <c r="D1112" s="300" t="s">
        <v>3196</v>
      </c>
      <c r="E1112" s="298" t="s">
        <v>3197</v>
      </c>
      <c r="F1112" s="300" t="s">
        <v>3198</v>
      </c>
      <c r="G1112" s="298" t="s">
        <v>40</v>
      </c>
      <c r="H1112" s="298" t="s">
        <v>41</v>
      </c>
      <c r="I1112" s="298" t="s">
        <v>643</v>
      </c>
      <c r="J1112" s="307">
        <v>2.0</v>
      </c>
      <c r="K1112" s="307">
        <v>5.0</v>
      </c>
      <c r="L1112" s="301"/>
      <c r="M1112" s="307">
        <v>1.0</v>
      </c>
      <c r="N1112" s="301"/>
      <c r="O1112" s="301"/>
      <c r="P1112" s="301"/>
      <c r="Q1112" s="302"/>
      <c r="R1112" s="302"/>
      <c r="S1112" s="298" t="s">
        <v>65</v>
      </c>
      <c r="T1112" s="298" t="s">
        <v>267</v>
      </c>
      <c r="U1112" s="298" t="s">
        <v>342</v>
      </c>
      <c r="V1112" s="298" t="s">
        <v>2935</v>
      </c>
      <c r="W1112" s="303"/>
      <c r="X1112" s="303"/>
      <c r="Y1112" s="303"/>
      <c r="Z1112" s="303"/>
      <c r="AA1112" s="304">
        <v>96310.0</v>
      </c>
      <c r="AB1112" s="304">
        <v>787240.0</v>
      </c>
      <c r="AC1112" s="24" t="s">
        <v>3199</v>
      </c>
      <c r="AD1112" s="195">
        <v>9314.0</v>
      </c>
      <c r="AE1112" s="38"/>
      <c r="AF1112" s="298" t="str">
        <f t="shared" si="1"/>
        <v>Entre Ríos, Argentina</v>
      </c>
      <c r="AG1112" s="298">
        <f t="shared" si="2"/>
        <v>8</v>
      </c>
      <c r="AH1112" s="305">
        <f t="shared" si="3"/>
        <v>0</v>
      </c>
      <c r="AI1112" s="305">
        <f t="shared" si="4"/>
        <v>0</v>
      </c>
      <c r="AJ1112" s="304">
        <f t="shared" si="5"/>
        <v>883550</v>
      </c>
      <c r="AK1112" s="304">
        <f t="shared" si="6"/>
        <v>883550</v>
      </c>
      <c r="AL1112" s="306"/>
      <c r="AM1112" s="306"/>
    </row>
    <row r="1113">
      <c r="A1113" s="298">
        <v>1112.0</v>
      </c>
      <c r="B1113" s="299">
        <v>44925.0</v>
      </c>
      <c r="C1113" s="195" t="str">
        <f t="shared" si="9"/>
        <v>122022</v>
      </c>
      <c r="D1113" s="300" t="s">
        <v>3200</v>
      </c>
      <c r="E1113" s="298" t="s">
        <v>3201</v>
      </c>
      <c r="F1113" s="300" t="s">
        <v>1423</v>
      </c>
      <c r="G1113" s="298" t="s">
        <v>64</v>
      </c>
      <c r="H1113" s="298" t="s">
        <v>41</v>
      </c>
      <c r="I1113" s="298" t="s">
        <v>643</v>
      </c>
      <c r="J1113" s="307">
        <v>1.0</v>
      </c>
      <c r="K1113" s="301"/>
      <c r="L1113" s="301"/>
      <c r="M1113" s="301"/>
      <c r="N1113" s="301"/>
      <c r="O1113" s="301"/>
      <c r="P1113" s="301"/>
      <c r="Q1113" s="302"/>
      <c r="R1113" s="302"/>
      <c r="S1113" s="298" t="s">
        <v>51</v>
      </c>
      <c r="T1113" s="298" t="s">
        <v>66</v>
      </c>
      <c r="U1113" s="298" t="s">
        <v>99</v>
      </c>
      <c r="V1113" s="298" t="s">
        <v>1984</v>
      </c>
      <c r="W1113" s="303"/>
      <c r="X1113" s="303"/>
      <c r="Y1113" s="303"/>
      <c r="Z1113" s="303"/>
      <c r="AA1113" s="304">
        <v>16750.0</v>
      </c>
      <c r="AB1113" s="304">
        <v>67000.0</v>
      </c>
      <c r="AC1113" s="24" t="s">
        <v>3202</v>
      </c>
      <c r="AD1113" s="195">
        <v>9244.0</v>
      </c>
      <c r="AE1113" s="38"/>
      <c r="AF1113" s="298" t="str">
        <f t="shared" si="1"/>
        <v>Buenos Aires, Argentina</v>
      </c>
      <c r="AG1113" s="298">
        <f t="shared" si="2"/>
        <v>1</v>
      </c>
      <c r="AH1113" s="305">
        <f t="shared" si="3"/>
        <v>0</v>
      </c>
      <c r="AI1113" s="305">
        <f t="shared" si="4"/>
        <v>0</v>
      </c>
      <c r="AJ1113" s="304">
        <f t="shared" si="5"/>
        <v>83750</v>
      </c>
      <c r="AK1113" s="304">
        <f t="shared" si="6"/>
        <v>83750</v>
      </c>
      <c r="AL1113" s="306"/>
      <c r="AM1113" s="306"/>
    </row>
    <row r="1114">
      <c r="A1114" s="298">
        <v>1113.0</v>
      </c>
      <c r="B1114" s="299">
        <v>44925.0</v>
      </c>
      <c r="C1114" s="195" t="str">
        <f t="shared" si="9"/>
        <v>122022</v>
      </c>
      <c r="D1114" s="300" t="s">
        <v>3203</v>
      </c>
      <c r="E1114" s="298" t="s">
        <v>3204</v>
      </c>
      <c r="F1114" s="300" t="s">
        <v>3205</v>
      </c>
      <c r="G1114" s="298" t="s">
        <v>40</v>
      </c>
      <c r="H1114" s="298" t="s">
        <v>41</v>
      </c>
      <c r="I1114" s="298" t="s">
        <v>643</v>
      </c>
      <c r="J1114" s="307">
        <v>1.0</v>
      </c>
      <c r="K1114" s="301"/>
      <c r="L1114" s="301"/>
      <c r="M1114" s="307">
        <v>1.0</v>
      </c>
      <c r="N1114" s="301"/>
      <c r="O1114" s="307">
        <v>1.0</v>
      </c>
      <c r="P1114" s="301"/>
      <c r="Q1114" s="302"/>
      <c r="R1114" s="302"/>
      <c r="S1114" s="298" t="s">
        <v>189</v>
      </c>
      <c r="T1114" s="298" t="s">
        <v>497</v>
      </c>
      <c r="U1114" s="298" t="s">
        <v>342</v>
      </c>
      <c r="V1114" s="298" t="s">
        <v>2945</v>
      </c>
      <c r="W1114" s="303"/>
      <c r="X1114" s="303"/>
      <c r="Y1114" s="303"/>
      <c r="Z1114" s="303"/>
      <c r="AA1114" s="304">
        <v>33550.0</v>
      </c>
      <c r="AB1114" s="304">
        <v>134000.0</v>
      </c>
      <c r="AC1114" s="24" t="s">
        <v>3206</v>
      </c>
      <c r="AD1114" s="195">
        <v>9344.0</v>
      </c>
      <c r="AE1114" s="38"/>
      <c r="AF1114" s="298" t="str">
        <f t="shared" si="1"/>
        <v>Tucumán, Argentina</v>
      </c>
      <c r="AG1114" s="298">
        <f t="shared" si="2"/>
        <v>3</v>
      </c>
      <c r="AH1114" s="305">
        <f t="shared" si="3"/>
        <v>0</v>
      </c>
      <c r="AI1114" s="305">
        <f t="shared" si="4"/>
        <v>0</v>
      </c>
      <c r="AJ1114" s="304">
        <f t="shared" si="5"/>
        <v>167550</v>
      </c>
      <c r="AK1114" s="304">
        <f t="shared" si="6"/>
        <v>167550</v>
      </c>
      <c r="AL1114" s="306"/>
      <c r="AM1114" s="306"/>
    </row>
    <row r="1115">
      <c r="A1115" s="298">
        <v>1114.0</v>
      </c>
      <c r="B1115" s="299">
        <v>44925.0</v>
      </c>
      <c r="C1115" s="17" t="str">
        <f t="shared" si="9"/>
        <v>122022</v>
      </c>
      <c r="D1115" s="300" t="s">
        <v>2260</v>
      </c>
      <c r="E1115" s="298" t="s">
        <v>2261</v>
      </c>
      <c r="F1115" s="300" t="s">
        <v>1415</v>
      </c>
      <c r="G1115" s="298" t="s">
        <v>64</v>
      </c>
      <c r="H1115" s="298" t="s">
        <v>41</v>
      </c>
      <c r="I1115" s="298" t="s">
        <v>643</v>
      </c>
      <c r="J1115" s="301"/>
      <c r="K1115" s="307">
        <v>1.0</v>
      </c>
      <c r="L1115" s="301"/>
      <c r="M1115" s="301"/>
      <c r="N1115" s="301"/>
      <c r="O1115" s="301"/>
      <c r="P1115" s="301"/>
      <c r="Q1115" s="302"/>
      <c r="R1115" s="302"/>
      <c r="S1115" s="298" t="s">
        <v>141</v>
      </c>
      <c r="T1115" s="298" t="s">
        <v>66</v>
      </c>
      <c r="U1115" s="298" t="s">
        <v>99</v>
      </c>
      <c r="V1115" s="298" t="s">
        <v>1984</v>
      </c>
      <c r="W1115" s="303"/>
      <c r="X1115" s="303"/>
      <c r="Y1115" s="303"/>
      <c r="Z1115" s="303"/>
      <c r="AA1115" s="304">
        <v>12562.0</v>
      </c>
      <c r="AB1115" s="304">
        <v>50248.0</v>
      </c>
      <c r="AC1115" s="24" t="s">
        <v>3207</v>
      </c>
      <c r="AD1115" s="195">
        <v>9428.0</v>
      </c>
      <c r="AE1115" s="38"/>
      <c r="AF1115" s="298" t="str">
        <f t="shared" si="1"/>
        <v>Buenos Aires, Argentina</v>
      </c>
      <c r="AG1115" s="298">
        <f t="shared" si="2"/>
        <v>1</v>
      </c>
      <c r="AH1115" s="305">
        <f t="shared" si="3"/>
        <v>0</v>
      </c>
      <c r="AI1115" s="305">
        <f t="shared" si="4"/>
        <v>0</v>
      </c>
      <c r="AJ1115" s="304">
        <f t="shared" si="5"/>
        <v>62810</v>
      </c>
      <c r="AK1115" s="304">
        <f t="shared" si="6"/>
        <v>62810</v>
      </c>
      <c r="AL1115" s="306"/>
      <c r="AM1115" s="306"/>
    </row>
    <row r="1116">
      <c r="A1116" s="290">
        <v>1115.0</v>
      </c>
      <c r="B1116" s="291">
        <v>44949.0</v>
      </c>
      <c r="C1116" s="195" t="str">
        <f t="shared" si="9"/>
        <v>12023</v>
      </c>
      <c r="D1116" s="292" t="s">
        <v>2288</v>
      </c>
      <c r="E1116" s="290" t="s">
        <v>2289</v>
      </c>
      <c r="F1116" s="292" t="s">
        <v>1592</v>
      </c>
      <c r="G1116" s="290" t="s">
        <v>64</v>
      </c>
      <c r="H1116" s="290" t="s">
        <v>41</v>
      </c>
      <c r="I1116" s="290" t="s">
        <v>643</v>
      </c>
      <c r="J1116" s="293">
        <v>1.0</v>
      </c>
      <c r="K1116" s="293">
        <v>1.0</v>
      </c>
      <c r="L1116" s="98"/>
      <c r="M1116" s="98"/>
      <c r="N1116" s="98"/>
      <c r="O1116" s="98"/>
      <c r="P1116" s="98"/>
      <c r="Q1116" s="99"/>
      <c r="R1116" s="99"/>
      <c r="S1116" s="290" t="s">
        <v>114</v>
      </c>
      <c r="T1116" s="290" t="s">
        <v>66</v>
      </c>
      <c r="U1116" s="290" t="s">
        <v>99</v>
      </c>
      <c r="V1116" s="290" t="s">
        <v>1984</v>
      </c>
      <c r="W1116" s="100"/>
      <c r="X1116" s="100"/>
      <c r="Y1116" s="100"/>
      <c r="Z1116" s="100"/>
      <c r="AA1116" s="294">
        <v>31150.0</v>
      </c>
      <c r="AB1116" s="294">
        <v>124600.0</v>
      </c>
      <c r="AC1116" s="24" t="s">
        <v>3208</v>
      </c>
      <c r="AD1116" s="195">
        <v>9356.0</v>
      </c>
      <c r="AE1116" s="38"/>
      <c r="AF1116" s="290" t="str">
        <f t="shared" si="1"/>
        <v>Buenos Aires, Argentina</v>
      </c>
      <c r="AG1116" s="290">
        <f t="shared" si="2"/>
        <v>2</v>
      </c>
      <c r="AH1116" s="295">
        <f t="shared" si="3"/>
        <v>0</v>
      </c>
      <c r="AI1116" s="295">
        <f t="shared" si="4"/>
        <v>0</v>
      </c>
      <c r="AJ1116" s="294">
        <f t="shared" si="5"/>
        <v>155750</v>
      </c>
      <c r="AK1116" s="294">
        <f t="shared" si="6"/>
        <v>155750</v>
      </c>
      <c r="AL1116" s="103"/>
      <c r="AM1116" s="103"/>
    </row>
    <row r="1117">
      <c r="A1117" s="290">
        <v>1116.0</v>
      </c>
      <c r="B1117" s="291">
        <v>44951.0</v>
      </c>
      <c r="C1117" s="195" t="str">
        <f t="shared" si="9"/>
        <v>12023</v>
      </c>
      <c r="D1117" s="292" t="s">
        <v>2604</v>
      </c>
      <c r="E1117" s="290" t="s">
        <v>2605</v>
      </c>
      <c r="F1117" s="292" t="s">
        <v>1357</v>
      </c>
      <c r="G1117" s="290" t="s">
        <v>64</v>
      </c>
      <c r="H1117" s="290" t="s">
        <v>41</v>
      </c>
      <c r="I1117" s="290" t="s">
        <v>643</v>
      </c>
      <c r="J1117" s="98"/>
      <c r="K1117" s="98"/>
      <c r="L1117" s="98"/>
      <c r="M1117" s="98"/>
      <c r="N1117" s="98"/>
      <c r="O1117" s="98"/>
      <c r="P1117" s="293">
        <v>1.0</v>
      </c>
      <c r="Q1117" s="99"/>
      <c r="R1117" s="99"/>
      <c r="S1117" s="290" t="s">
        <v>65</v>
      </c>
      <c r="T1117" s="290" t="s">
        <v>83</v>
      </c>
      <c r="U1117" s="290" t="s">
        <v>99</v>
      </c>
      <c r="V1117" s="290" t="s">
        <v>1984</v>
      </c>
      <c r="W1117" s="100"/>
      <c r="X1117" s="100"/>
      <c r="Y1117" s="100"/>
      <c r="Z1117" s="100"/>
      <c r="AA1117" s="294">
        <v>13350.0</v>
      </c>
      <c r="AB1117" s="294">
        <v>60075.0</v>
      </c>
      <c r="AC1117" s="24" t="s">
        <v>3209</v>
      </c>
      <c r="AD1117" s="195">
        <v>9510.0</v>
      </c>
      <c r="AE1117" s="38"/>
      <c r="AF1117" s="290" t="str">
        <f t="shared" si="1"/>
        <v>Capital Federal, Argentina</v>
      </c>
      <c r="AG1117" s="290">
        <f t="shared" si="2"/>
        <v>1</v>
      </c>
      <c r="AH1117" s="295">
        <f t="shared" si="3"/>
        <v>0</v>
      </c>
      <c r="AI1117" s="295">
        <f t="shared" si="4"/>
        <v>0</v>
      </c>
      <c r="AJ1117" s="294">
        <f t="shared" si="5"/>
        <v>73425</v>
      </c>
      <c r="AK1117" s="294">
        <f t="shared" si="6"/>
        <v>73425</v>
      </c>
      <c r="AL1117" s="103"/>
      <c r="AM1117" s="103"/>
    </row>
    <row r="1118">
      <c r="A1118" s="290">
        <v>1117.0</v>
      </c>
      <c r="B1118" s="291">
        <v>44953.0</v>
      </c>
      <c r="C1118" s="195" t="str">
        <f t="shared" si="9"/>
        <v>12023</v>
      </c>
      <c r="D1118" s="292" t="s">
        <v>3210</v>
      </c>
      <c r="E1118" s="290" t="s">
        <v>1988</v>
      </c>
      <c r="F1118" s="292" t="s">
        <v>1592</v>
      </c>
      <c r="G1118" s="290" t="s">
        <v>64</v>
      </c>
      <c r="H1118" s="290" t="s">
        <v>41</v>
      </c>
      <c r="I1118" s="290" t="s">
        <v>643</v>
      </c>
      <c r="J1118" s="293">
        <v>1.0</v>
      </c>
      <c r="K1118" s="293">
        <v>1.0</v>
      </c>
      <c r="L1118" s="98"/>
      <c r="M1118" s="98"/>
      <c r="N1118" s="98"/>
      <c r="O1118" s="98"/>
      <c r="P1118" s="98"/>
      <c r="Q1118" s="99"/>
      <c r="R1118" s="99"/>
      <c r="S1118" s="290" t="s">
        <v>114</v>
      </c>
      <c r="T1118" s="290" t="s">
        <v>66</v>
      </c>
      <c r="U1118" s="290" t="s">
        <v>99</v>
      </c>
      <c r="V1118" s="290" t="s">
        <v>1984</v>
      </c>
      <c r="W1118" s="100"/>
      <c r="X1118" s="100"/>
      <c r="Y1118" s="100"/>
      <c r="Z1118" s="100"/>
      <c r="AA1118" s="294">
        <v>17800.0</v>
      </c>
      <c r="AB1118" s="294">
        <v>124600.0</v>
      </c>
      <c r="AC1118" s="24" t="s">
        <v>3211</v>
      </c>
      <c r="AD1118" s="195">
        <v>9386.0</v>
      </c>
      <c r="AE1118" s="38"/>
      <c r="AF1118" s="290" t="str">
        <f t="shared" si="1"/>
        <v>Buenos Aires, Argentina</v>
      </c>
      <c r="AG1118" s="290">
        <f t="shared" si="2"/>
        <v>2</v>
      </c>
      <c r="AH1118" s="295">
        <f t="shared" si="3"/>
        <v>0</v>
      </c>
      <c r="AI1118" s="295">
        <f t="shared" si="4"/>
        <v>0</v>
      </c>
      <c r="AJ1118" s="294">
        <f t="shared" si="5"/>
        <v>142400</v>
      </c>
      <c r="AK1118" s="294">
        <f t="shared" si="6"/>
        <v>142400</v>
      </c>
      <c r="AL1118" s="103"/>
      <c r="AM1118" s="103"/>
    </row>
    <row r="1119">
      <c r="A1119" s="290">
        <v>1118.0</v>
      </c>
      <c r="B1119" s="291">
        <v>44953.0</v>
      </c>
      <c r="C1119" s="195" t="str">
        <f t="shared" si="9"/>
        <v>12023</v>
      </c>
      <c r="D1119" s="292" t="s">
        <v>3212</v>
      </c>
      <c r="E1119" s="290" t="s">
        <v>3213</v>
      </c>
      <c r="F1119" s="292" t="s">
        <v>3214</v>
      </c>
      <c r="G1119" s="290" t="s">
        <v>40</v>
      </c>
      <c r="H1119" s="290" t="s">
        <v>41</v>
      </c>
      <c r="I1119" s="290" t="s">
        <v>643</v>
      </c>
      <c r="J1119" s="293">
        <v>2.0</v>
      </c>
      <c r="K1119" s="293">
        <v>2.0</v>
      </c>
      <c r="L1119" s="98"/>
      <c r="M1119" s="293">
        <v>1.0</v>
      </c>
      <c r="N1119" s="98"/>
      <c r="O1119" s="293">
        <v>1.0</v>
      </c>
      <c r="P1119" s="98"/>
      <c r="Q1119" s="99"/>
      <c r="R1119" s="99"/>
      <c r="S1119" s="290" t="s">
        <v>189</v>
      </c>
      <c r="T1119" s="290" t="s">
        <v>2609</v>
      </c>
      <c r="U1119" s="290" t="s">
        <v>163</v>
      </c>
      <c r="V1119" s="290" t="s">
        <v>2935</v>
      </c>
      <c r="W1119" s="100"/>
      <c r="X1119" s="100"/>
      <c r="Y1119" s="100"/>
      <c r="Z1119" s="100"/>
      <c r="AA1119" s="294">
        <v>90780.0</v>
      </c>
      <c r="AB1119" s="294">
        <v>320400.0</v>
      </c>
      <c r="AC1119" s="24" t="s">
        <v>3215</v>
      </c>
      <c r="AD1119" s="195">
        <v>9368.0</v>
      </c>
      <c r="AE1119" s="38"/>
      <c r="AF1119" s="290" t="str">
        <f t="shared" si="1"/>
        <v>San Juan, Argentina</v>
      </c>
      <c r="AG1119" s="290">
        <f t="shared" si="2"/>
        <v>6</v>
      </c>
      <c r="AH1119" s="295">
        <f t="shared" si="3"/>
        <v>0</v>
      </c>
      <c r="AI1119" s="295">
        <f t="shared" si="4"/>
        <v>0</v>
      </c>
      <c r="AJ1119" s="294">
        <f t="shared" si="5"/>
        <v>411180</v>
      </c>
      <c r="AK1119" s="294">
        <f t="shared" si="6"/>
        <v>411180</v>
      </c>
      <c r="AL1119" s="103"/>
      <c r="AM1119" s="103"/>
    </row>
    <row r="1120">
      <c r="A1120" s="290">
        <v>1119.0</v>
      </c>
      <c r="B1120" s="291">
        <v>44953.0</v>
      </c>
      <c r="C1120" s="195" t="str">
        <f t="shared" si="9"/>
        <v>12023</v>
      </c>
      <c r="D1120" s="292" t="s">
        <v>795</v>
      </c>
      <c r="E1120" s="290" t="s">
        <v>796</v>
      </c>
      <c r="F1120" s="292" t="s">
        <v>1427</v>
      </c>
      <c r="G1120" s="290" t="s">
        <v>64</v>
      </c>
      <c r="H1120" s="290" t="s">
        <v>41</v>
      </c>
      <c r="I1120" s="290" t="s">
        <v>643</v>
      </c>
      <c r="J1120" s="98"/>
      <c r="K1120" s="293">
        <v>2.0</v>
      </c>
      <c r="L1120" s="98"/>
      <c r="M1120" s="98"/>
      <c r="N1120" s="98"/>
      <c r="O1120" s="98"/>
      <c r="P1120" s="98"/>
      <c r="Q1120" s="99"/>
      <c r="R1120" s="99"/>
      <c r="S1120" s="290" t="s">
        <v>98</v>
      </c>
      <c r="T1120" s="290" t="s">
        <v>66</v>
      </c>
      <c r="U1120" s="290" t="s">
        <v>99</v>
      </c>
      <c r="V1120" s="290" t="s">
        <v>1984</v>
      </c>
      <c r="W1120" s="100"/>
      <c r="X1120" s="100"/>
      <c r="Y1120" s="100"/>
      <c r="Z1120" s="100"/>
      <c r="AA1120" s="294">
        <v>26700.0</v>
      </c>
      <c r="AB1120" s="294">
        <v>106800.0</v>
      </c>
      <c r="AC1120" s="24" t="s">
        <v>3216</v>
      </c>
      <c r="AD1120" s="195">
        <v>9550.0</v>
      </c>
      <c r="AE1120" s="38"/>
      <c r="AF1120" s="290" t="str">
        <f t="shared" si="1"/>
        <v>Buenos Aires, Argentina</v>
      </c>
      <c r="AG1120" s="290">
        <f t="shared" si="2"/>
        <v>2</v>
      </c>
      <c r="AH1120" s="295">
        <f t="shared" si="3"/>
        <v>0</v>
      </c>
      <c r="AI1120" s="295">
        <f t="shared" si="4"/>
        <v>0</v>
      </c>
      <c r="AJ1120" s="294">
        <f t="shared" si="5"/>
        <v>133500</v>
      </c>
      <c r="AK1120" s="294">
        <f t="shared" si="6"/>
        <v>133500</v>
      </c>
      <c r="AL1120" s="103"/>
      <c r="AM1120" s="103"/>
    </row>
    <row r="1121">
      <c r="A1121" s="290">
        <v>1120.0</v>
      </c>
      <c r="B1121" s="291">
        <v>44956.0</v>
      </c>
      <c r="C1121" s="195" t="str">
        <f t="shared" si="9"/>
        <v>12023</v>
      </c>
      <c r="D1121" s="292" t="s">
        <v>3217</v>
      </c>
      <c r="E1121" s="290" t="s">
        <v>3218</v>
      </c>
      <c r="F1121" s="292" t="s">
        <v>2161</v>
      </c>
      <c r="G1121" s="290" t="s">
        <v>40</v>
      </c>
      <c r="H1121" s="290" t="s">
        <v>41</v>
      </c>
      <c r="I1121" s="290" t="s">
        <v>643</v>
      </c>
      <c r="J1121" s="293">
        <v>3.0</v>
      </c>
      <c r="K1121" s="98"/>
      <c r="L1121" s="98"/>
      <c r="M1121" s="293">
        <v>1.0</v>
      </c>
      <c r="N1121" s="98"/>
      <c r="O1121" s="98"/>
      <c r="P1121" s="98"/>
      <c r="Q1121" s="99"/>
      <c r="R1121" s="99"/>
      <c r="S1121" s="290" t="s">
        <v>114</v>
      </c>
      <c r="T1121" s="290" t="s">
        <v>66</v>
      </c>
      <c r="U1121" s="290" t="s">
        <v>342</v>
      </c>
      <c r="V1121" s="290" t="s">
        <v>2935</v>
      </c>
      <c r="W1121" s="100"/>
      <c r="X1121" s="100"/>
      <c r="Y1121" s="100"/>
      <c r="Z1121" s="100"/>
      <c r="AA1121" s="294">
        <v>71200.0</v>
      </c>
      <c r="AB1121" s="294">
        <v>320400.0</v>
      </c>
      <c r="AC1121" s="24" t="s">
        <v>3219</v>
      </c>
      <c r="AD1121" s="195">
        <v>9360.0</v>
      </c>
      <c r="AE1121" s="38"/>
      <c r="AF1121" s="290" t="str">
        <f t="shared" si="1"/>
        <v>Buenos Aires, Argentina</v>
      </c>
      <c r="AG1121" s="290">
        <f t="shared" si="2"/>
        <v>4</v>
      </c>
      <c r="AH1121" s="295">
        <f t="shared" si="3"/>
        <v>0</v>
      </c>
      <c r="AI1121" s="295">
        <f t="shared" si="4"/>
        <v>0</v>
      </c>
      <c r="AJ1121" s="294">
        <f t="shared" si="5"/>
        <v>391600</v>
      </c>
      <c r="AK1121" s="294">
        <f t="shared" si="6"/>
        <v>391600</v>
      </c>
      <c r="AL1121" s="103"/>
      <c r="AM1121" s="103"/>
    </row>
    <row r="1122">
      <c r="A1122" s="290">
        <v>1121.0</v>
      </c>
      <c r="B1122" s="291">
        <v>44957.0</v>
      </c>
      <c r="C1122" s="195" t="str">
        <f t="shared" si="9"/>
        <v>12023</v>
      </c>
      <c r="D1122" s="292" t="s">
        <v>3220</v>
      </c>
      <c r="E1122" s="290" t="s">
        <v>3221</v>
      </c>
      <c r="F1122" s="292" t="s">
        <v>2559</v>
      </c>
      <c r="G1122" s="290" t="s">
        <v>64</v>
      </c>
      <c r="H1122" s="290" t="s">
        <v>41</v>
      </c>
      <c r="I1122" s="290" t="s">
        <v>643</v>
      </c>
      <c r="J1122" s="98"/>
      <c r="K1122" s="98"/>
      <c r="L1122" s="98"/>
      <c r="M1122" s="98"/>
      <c r="N1122" s="98"/>
      <c r="O1122" s="98"/>
      <c r="P1122" s="98"/>
      <c r="Q1122" s="99"/>
      <c r="R1122" s="99"/>
      <c r="S1122" s="290" t="s">
        <v>105</v>
      </c>
      <c r="T1122" s="290" t="s">
        <v>66</v>
      </c>
      <c r="U1122" s="290" t="s">
        <v>99</v>
      </c>
      <c r="V1122" s="290" t="s">
        <v>1984</v>
      </c>
      <c r="W1122" s="100"/>
      <c r="X1122" s="100"/>
      <c r="Y1122" s="100"/>
      <c r="Z1122" s="100"/>
      <c r="AA1122" s="294">
        <v>0.0</v>
      </c>
      <c r="AB1122" s="294">
        <v>14240.0</v>
      </c>
      <c r="AC1122" s="24" t="s">
        <v>3222</v>
      </c>
      <c r="AD1122" s="195">
        <v>9538.0</v>
      </c>
      <c r="AE1122" s="38"/>
      <c r="AF1122" s="290" t="str">
        <f t="shared" si="1"/>
        <v>Buenos Aires, Argentina</v>
      </c>
      <c r="AG1122" s="290">
        <f t="shared" si="2"/>
        <v>0</v>
      </c>
      <c r="AH1122" s="295">
        <f t="shared" si="3"/>
        <v>0</v>
      </c>
      <c r="AI1122" s="295">
        <f t="shared" si="4"/>
        <v>0</v>
      </c>
      <c r="AJ1122" s="294">
        <f t="shared" si="5"/>
        <v>14240</v>
      </c>
      <c r="AK1122" s="294">
        <f t="shared" si="6"/>
        <v>14240</v>
      </c>
      <c r="AL1122" s="103"/>
      <c r="AM1122" s="103"/>
    </row>
    <row r="1123">
      <c r="A1123" s="290">
        <v>1122.0</v>
      </c>
      <c r="B1123" s="291">
        <v>44957.0</v>
      </c>
      <c r="C1123" s="195" t="str">
        <f t="shared" si="9"/>
        <v>12023</v>
      </c>
      <c r="D1123" s="292" t="s">
        <v>3223</v>
      </c>
      <c r="E1123" s="290" t="s">
        <v>3224</v>
      </c>
      <c r="F1123" s="292" t="s">
        <v>3113</v>
      </c>
      <c r="G1123" s="290" t="s">
        <v>40</v>
      </c>
      <c r="H1123" s="290" t="s">
        <v>41</v>
      </c>
      <c r="I1123" s="290" t="s">
        <v>643</v>
      </c>
      <c r="J1123" s="293">
        <v>1.0</v>
      </c>
      <c r="K1123" s="293">
        <v>4.0</v>
      </c>
      <c r="L1123" s="98"/>
      <c r="M1123" s="98"/>
      <c r="N1123" s="98"/>
      <c r="O1123" s="98"/>
      <c r="P1123" s="98"/>
      <c r="Q1123" s="99"/>
      <c r="R1123" s="99"/>
      <c r="S1123" s="290" t="s">
        <v>105</v>
      </c>
      <c r="T1123" s="290" t="s">
        <v>66</v>
      </c>
      <c r="U1123" s="290" t="s">
        <v>99</v>
      </c>
      <c r="V1123" s="290" t="s">
        <v>2935</v>
      </c>
      <c r="W1123" s="100"/>
      <c r="X1123" s="100"/>
      <c r="Y1123" s="100"/>
      <c r="Z1123" s="100"/>
      <c r="AA1123" s="294">
        <v>60520.0</v>
      </c>
      <c r="AB1123" s="294">
        <v>242080.0</v>
      </c>
      <c r="AC1123" s="24" t="s">
        <v>3225</v>
      </c>
      <c r="AD1123" s="195">
        <v>9482.0</v>
      </c>
      <c r="AE1123" s="38"/>
      <c r="AF1123" s="290" t="str">
        <f t="shared" si="1"/>
        <v>Buenos Aires, Argentina</v>
      </c>
      <c r="AG1123" s="290">
        <f t="shared" si="2"/>
        <v>5</v>
      </c>
      <c r="AH1123" s="295">
        <f t="shared" si="3"/>
        <v>0</v>
      </c>
      <c r="AI1123" s="295">
        <f t="shared" si="4"/>
        <v>0</v>
      </c>
      <c r="AJ1123" s="294">
        <f t="shared" si="5"/>
        <v>302600</v>
      </c>
      <c r="AK1123" s="294">
        <f t="shared" si="6"/>
        <v>302600</v>
      </c>
      <c r="AL1123" s="103"/>
      <c r="AM1123" s="103"/>
    </row>
    <row r="1124">
      <c r="A1124" s="290">
        <v>1123.0</v>
      </c>
      <c r="B1124" s="291">
        <v>44957.0</v>
      </c>
      <c r="C1124" s="195" t="str">
        <f t="shared" si="9"/>
        <v>12023</v>
      </c>
      <c r="D1124" s="292" t="s">
        <v>2818</v>
      </c>
      <c r="E1124" s="290" t="s">
        <v>2819</v>
      </c>
      <c r="F1124" s="292" t="s">
        <v>3226</v>
      </c>
      <c r="G1124" s="290" t="s">
        <v>40</v>
      </c>
      <c r="H1124" s="290" t="s">
        <v>547</v>
      </c>
      <c r="I1124" s="290" t="s">
        <v>643</v>
      </c>
      <c r="J1124" s="293">
        <v>1.0</v>
      </c>
      <c r="K1124" s="293">
        <v>3.0</v>
      </c>
      <c r="L1124" s="98"/>
      <c r="M1124" s="98"/>
      <c r="N1124" s="98"/>
      <c r="O1124" s="98"/>
      <c r="P1124" s="98"/>
      <c r="Q1124" s="99"/>
      <c r="R1124" s="99"/>
      <c r="S1124" s="290" t="s">
        <v>105</v>
      </c>
      <c r="T1124" s="290" t="s">
        <v>66</v>
      </c>
      <c r="U1124" s="290" t="s">
        <v>99</v>
      </c>
      <c r="V1124" s="290" t="s">
        <v>2945</v>
      </c>
      <c r="W1124" s="100"/>
      <c r="X1124" s="100"/>
      <c r="Y1124" s="100"/>
      <c r="Z1124" s="100"/>
      <c r="AA1124" s="294">
        <v>29904.0</v>
      </c>
      <c r="AB1124" s="294">
        <v>107654.0</v>
      </c>
      <c r="AC1124" s="24" t="s">
        <v>3227</v>
      </c>
      <c r="AD1124" s="195">
        <v>9296.0</v>
      </c>
      <c r="AE1124" s="38"/>
      <c r="AF1124" s="290" t="str">
        <f t="shared" si="1"/>
        <v>Buenos Aires, Argentina</v>
      </c>
      <c r="AG1124" s="290">
        <f t="shared" si="2"/>
        <v>4</v>
      </c>
      <c r="AH1124" s="295">
        <f t="shared" si="3"/>
        <v>0</v>
      </c>
      <c r="AI1124" s="295">
        <f t="shared" si="4"/>
        <v>0</v>
      </c>
      <c r="AJ1124" s="294">
        <f t="shared" si="5"/>
        <v>137558</v>
      </c>
      <c r="AK1124" s="294">
        <f t="shared" si="6"/>
        <v>137558</v>
      </c>
      <c r="AL1124" s="103"/>
      <c r="AM1124" s="103"/>
    </row>
    <row r="1125">
      <c r="A1125" s="290">
        <v>1124.0</v>
      </c>
      <c r="B1125" s="291">
        <v>44957.0</v>
      </c>
      <c r="C1125" s="195" t="str">
        <f t="shared" si="9"/>
        <v>12023</v>
      </c>
      <c r="D1125" s="292" t="s">
        <v>2877</v>
      </c>
      <c r="E1125" s="290" t="s">
        <v>2878</v>
      </c>
      <c r="F1125" s="292" t="s">
        <v>2559</v>
      </c>
      <c r="G1125" s="290" t="s">
        <v>64</v>
      </c>
      <c r="H1125" s="290" t="s">
        <v>41</v>
      </c>
      <c r="I1125" s="290" t="s">
        <v>643</v>
      </c>
      <c r="J1125" s="98"/>
      <c r="K1125" s="98"/>
      <c r="L1125" s="98"/>
      <c r="M1125" s="98"/>
      <c r="N1125" s="98"/>
      <c r="O1125" s="98"/>
      <c r="P1125" s="98"/>
      <c r="Q1125" s="99"/>
      <c r="R1125" s="99"/>
      <c r="S1125" s="290" t="s">
        <v>65</v>
      </c>
      <c r="T1125" s="290" t="s">
        <v>58</v>
      </c>
      <c r="U1125" s="290" t="s">
        <v>99</v>
      </c>
      <c r="V1125" s="290" t="s">
        <v>1984</v>
      </c>
      <c r="W1125" s="100"/>
      <c r="X1125" s="100"/>
      <c r="Y1125" s="100"/>
      <c r="Z1125" s="100"/>
      <c r="AA1125" s="294">
        <v>0.0</v>
      </c>
      <c r="AB1125" s="294">
        <v>16020.0</v>
      </c>
      <c r="AC1125" s="24" t="s">
        <v>3228</v>
      </c>
      <c r="AD1125" s="195">
        <v>9480.0</v>
      </c>
      <c r="AE1125" s="38"/>
      <c r="AF1125" s="290" t="str">
        <f t="shared" si="1"/>
        <v>Córdoba, Argentina</v>
      </c>
      <c r="AG1125" s="290">
        <f t="shared" si="2"/>
        <v>0</v>
      </c>
      <c r="AH1125" s="295">
        <f t="shared" si="3"/>
        <v>0</v>
      </c>
      <c r="AI1125" s="295">
        <f t="shared" si="4"/>
        <v>0</v>
      </c>
      <c r="AJ1125" s="294">
        <f t="shared" si="5"/>
        <v>16020</v>
      </c>
      <c r="AK1125" s="294">
        <f t="shared" si="6"/>
        <v>16020</v>
      </c>
      <c r="AL1125" s="103"/>
      <c r="AM1125" s="103"/>
    </row>
    <row r="1126">
      <c r="A1126" s="290">
        <v>1125.0</v>
      </c>
      <c r="B1126" s="291">
        <v>44957.0</v>
      </c>
      <c r="C1126" s="195" t="str">
        <f t="shared" si="9"/>
        <v>12023</v>
      </c>
      <c r="D1126" s="292" t="s">
        <v>3229</v>
      </c>
      <c r="E1126" s="290" t="s">
        <v>3008</v>
      </c>
      <c r="F1126" s="292" t="s">
        <v>2276</v>
      </c>
      <c r="G1126" s="290" t="s">
        <v>64</v>
      </c>
      <c r="H1126" s="290" t="s">
        <v>41</v>
      </c>
      <c r="I1126" s="290" t="s">
        <v>643</v>
      </c>
      <c r="J1126" s="98"/>
      <c r="K1126" s="293">
        <v>1.0</v>
      </c>
      <c r="L1126" s="293">
        <v>1.0</v>
      </c>
      <c r="M1126" s="98"/>
      <c r="N1126" s="98"/>
      <c r="O1126" s="98"/>
      <c r="P1126" s="98"/>
      <c r="Q1126" s="99"/>
      <c r="R1126" s="99"/>
      <c r="S1126" s="290" t="s">
        <v>51</v>
      </c>
      <c r="T1126" s="290" t="s">
        <v>66</v>
      </c>
      <c r="U1126" s="290" t="s">
        <v>99</v>
      </c>
      <c r="V1126" s="290" t="s">
        <v>1984</v>
      </c>
      <c r="W1126" s="100"/>
      <c r="X1126" s="100"/>
      <c r="Y1126" s="100"/>
      <c r="Z1126" s="100"/>
      <c r="AA1126" s="294">
        <v>22250.0</v>
      </c>
      <c r="AB1126" s="294">
        <v>89000.0</v>
      </c>
      <c r="AC1126" s="24" t="s">
        <v>3230</v>
      </c>
      <c r="AD1126" s="195">
        <v>9530.0</v>
      </c>
      <c r="AE1126" s="38"/>
      <c r="AF1126" s="290" t="str">
        <f t="shared" si="1"/>
        <v>Buenos Aires, Argentina</v>
      </c>
      <c r="AG1126" s="290">
        <f t="shared" si="2"/>
        <v>2</v>
      </c>
      <c r="AH1126" s="295">
        <f t="shared" si="3"/>
        <v>0</v>
      </c>
      <c r="AI1126" s="295">
        <f t="shared" si="4"/>
        <v>0</v>
      </c>
      <c r="AJ1126" s="294">
        <f t="shared" si="5"/>
        <v>111250</v>
      </c>
      <c r="AK1126" s="294">
        <f t="shared" si="6"/>
        <v>111250</v>
      </c>
      <c r="AL1126" s="103"/>
      <c r="AM1126" s="103"/>
    </row>
    <row r="1127">
      <c r="A1127" s="290">
        <v>1126.0</v>
      </c>
      <c r="B1127" s="291">
        <v>44957.0</v>
      </c>
      <c r="C1127" s="195" t="str">
        <f t="shared" si="9"/>
        <v>12023</v>
      </c>
      <c r="D1127" s="292" t="s">
        <v>3231</v>
      </c>
      <c r="E1127" s="290" t="s">
        <v>2612</v>
      </c>
      <c r="F1127" s="292" t="s">
        <v>2983</v>
      </c>
      <c r="G1127" s="290" t="s">
        <v>64</v>
      </c>
      <c r="H1127" s="290" t="s">
        <v>41</v>
      </c>
      <c r="I1127" s="290" t="s">
        <v>643</v>
      </c>
      <c r="J1127" s="98"/>
      <c r="K1127" s="98"/>
      <c r="L1127" s="98"/>
      <c r="M1127" s="98"/>
      <c r="N1127" s="98"/>
      <c r="O1127" s="98"/>
      <c r="P1127" s="98"/>
      <c r="Q1127" s="99"/>
      <c r="R1127" s="99"/>
      <c r="S1127" s="290" t="s">
        <v>98</v>
      </c>
      <c r="T1127" s="290" t="s">
        <v>2609</v>
      </c>
      <c r="U1127" s="290" t="s">
        <v>99</v>
      </c>
      <c r="V1127" s="290" t="s">
        <v>1984</v>
      </c>
      <c r="W1127" s="100"/>
      <c r="X1127" s="100"/>
      <c r="Y1127" s="100"/>
      <c r="Z1127" s="100"/>
      <c r="AA1127" s="294">
        <v>0.0</v>
      </c>
      <c r="AB1127" s="294">
        <v>28480.0</v>
      </c>
      <c r="AC1127" s="24" t="s">
        <v>3232</v>
      </c>
      <c r="AD1127" s="195">
        <v>9274.0</v>
      </c>
      <c r="AE1127" s="38"/>
      <c r="AF1127" s="290" t="str">
        <f t="shared" si="1"/>
        <v>San Juan, Argentina</v>
      </c>
      <c r="AG1127" s="290">
        <f t="shared" si="2"/>
        <v>0</v>
      </c>
      <c r="AH1127" s="295">
        <f t="shared" si="3"/>
        <v>0</v>
      </c>
      <c r="AI1127" s="295">
        <f t="shared" si="4"/>
        <v>0</v>
      </c>
      <c r="AJ1127" s="294">
        <f t="shared" si="5"/>
        <v>28480</v>
      </c>
      <c r="AK1127" s="294">
        <f t="shared" si="6"/>
        <v>28480</v>
      </c>
      <c r="AL1127" s="103"/>
      <c r="AM1127" s="103"/>
    </row>
    <row r="1128">
      <c r="A1128" s="290">
        <v>1127.0</v>
      </c>
      <c r="B1128" s="291">
        <v>44957.0</v>
      </c>
      <c r="C1128" s="195" t="str">
        <f t="shared" si="9"/>
        <v>12023</v>
      </c>
      <c r="D1128" s="292" t="s">
        <v>2454</v>
      </c>
      <c r="E1128" s="290" t="s">
        <v>1810</v>
      </c>
      <c r="F1128" s="292" t="s">
        <v>1415</v>
      </c>
      <c r="G1128" s="290" t="s">
        <v>64</v>
      </c>
      <c r="H1128" s="290" t="s">
        <v>41</v>
      </c>
      <c r="I1128" s="290" t="s">
        <v>643</v>
      </c>
      <c r="J1128" s="98"/>
      <c r="K1128" s="293">
        <v>1.0</v>
      </c>
      <c r="L1128" s="98"/>
      <c r="M1128" s="98"/>
      <c r="N1128" s="98"/>
      <c r="O1128" s="98"/>
      <c r="P1128" s="98"/>
      <c r="Q1128" s="99"/>
      <c r="R1128" s="99"/>
      <c r="S1128" s="290" t="s">
        <v>65</v>
      </c>
      <c r="T1128" s="290" t="s">
        <v>66</v>
      </c>
      <c r="U1128" s="290" t="s">
        <v>99</v>
      </c>
      <c r="V1128" s="290" t="s">
        <v>1984</v>
      </c>
      <c r="W1128" s="100"/>
      <c r="X1128" s="100"/>
      <c r="Y1128" s="100"/>
      <c r="Z1128" s="100"/>
      <c r="AA1128" s="294">
        <v>12015.0</v>
      </c>
      <c r="AB1128" s="294">
        <v>48059.0</v>
      </c>
      <c r="AC1128" s="24" t="s">
        <v>3233</v>
      </c>
      <c r="AD1128" s="195">
        <v>9556.0</v>
      </c>
      <c r="AE1128" s="38"/>
      <c r="AF1128" s="290" t="str">
        <f t="shared" si="1"/>
        <v>Buenos Aires, Argentina</v>
      </c>
      <c r="AG1128" s="290">
        <f t="shared" si="2"/>
        <v>1</v>
      </c>
      <c r="AH1128" s="295">
        <f t="shared" si="3"/>
        <v>0</v>
      </c>
      <c r="AI1128" s="295">
        <f t="shared" si="4"/>
        <v>0</v>
      </c>
      <c r="AJ1128" s="294">
        <f t="shared" si="5"/>
        <v>60074</v>
      </c>
      <c r="AK1128" s="294">
        <f t="shared" si="6"/>
        <v>60074</v>
      </c>
      <c r="AL1128" s="103"/>
      <c r="AM1128" s="103"/>
    </row>
    <row r="1129">
      <c r="A1129" s="290">
        <v>1128.0</v>
      </c>
      <c r="B1129" s="291">
        <v>44957.0</v>
      </c>
      <c r="C1129" s="195" t="str">
        <f t="shared" si="9"/>
        <v>12023</v>
      </c>
      <c r="D1129" s="292" t="s">
        <v>3234</v>
      </c>
      <c r="E1129" s="290" t="s">
        <v>3235</v>
      </c>
      <c r="F1129" s="292" t="s">
        <v>2141</v>
      </c>
      <c r="G1129" s="290" t="s">
        <v>40</v>
      </c>
      <c r="H1129" s="290" t="s">
        <v>547</v>
      </c>
      <c r="I1129" s="290" t="s">
        <v>643</v>
      </c>
      <c r="J1129" s="293">
        <v>1.0</v>
      </c>
      <c r="K1129" s="293">
        <v>1.0</v>
      </c>
      <c r="L1129" s="98"/>
      <c r="M1129" s="293">
        <v>1.0</v>
      </c>
      <c r="N1129" s="98"/>
      <c r="O1129" s="98"/>
      <c r="P1129" s="98"/>
      <c r="Q1129" s="99"/>
      <c r="R1129" s="99"/>
      <c r="S1129" s="290" t="s">
        <v>105</v>
      </c>
      <c r="T1129" s="290" t="s">
        <v>83</v>
      </c>
      <c r="U1129" s="290" t="s">
        <v>342</v>
      </c>
      <c r="V1129" s="290" t="s">
        <v>2935</v>
      </c>
      <c r="W1129" s="100"/>
      <c r="X1129" s="100"/>
      <c r="Y1129" s="100"/>
      <c r="Z1129" s="100"/>
      <c r="AA1129" s="294">
        <v>18690.0</v>
      </c>
      <c r="AB1129" s="294">
        <v>134568.0</v>
      </c>
      <c r="AC1129" s="24" t="s">
        <v>3236</v>
      </c>
      <c r="AD1129" s="195">
        <v>9574.0</v>
      </c>
      <c r="AE1129" s="38"/>
      <c r="AF1129" s="290" t="str">
        <f t="shared" si="1"/>
        <v>Capital Federal, Argentina</v>
      </c>
      <c r="AG1129" s="290">
        <f t="shared" si="2"/>
        <v>3</v>
      </c>
      <c r="AH1129" s="295">
        <f t="shared" si="3"/>
        <v>0</v>
      </c>
      <c r="AI1129" s="295">
        <f t="shared" si="4"/>
        <v>0</v>
      </c>
      <c r="AJ1129" s="294">
        <f t="shared" si="5"/>
        <v>153258</v>
      </c>
      <c r="AK1129" s="294">
        <f t="shared" si="6"/>
        <v>153258</v>
      </c>
      <c r="AL1129" s="103"/>
      <c r="AM1129" s="103"/>
    </row>
    <row r="1130">
      <c r="A1130" s="290">
        <v>1129.0</v>
      </c>
      <c r="B1130" s="291">
        <v>44957.0</v>
      </c>
      <c r="C1130" s="195" t="str">
        <f t="shared" si="9"/>
        <v>12023</v>
      </c>
      <c r="D1130" s="292" t="s">
        <v>3237</v>
      </c>
      <c r="E1130" s="290" t="s">
        <v>3238</v>
      </c>
      <c r="F1130" s="292" t="s">
        <v>3239</v>
      </c>
      <c r="G1130" s="290" t="s">
        <v>40</v>
      </c>
      <c r="H1130" s="290" t="s">
        <v>41</v>
      </c>
      <c r="I1130" s="290" t="s">
        <v>643</v>
      </c>
      <c r="J1130" s="293">
        <v>1.0</v>
      </c>
      <c r="K1130" s="293">
        <v>10.0</v>
      </c>
      <c r="L1130" s="98"/>
      <c r="M1130" s="293">
        <v>1.0</v>
      </c>
      <c r="N1130" s="98"/>
      <c r="O1130" s="98"/>
      <c r="P1130" s="98"/>
      <c r="Q1130" s="99"/>
      <c r="R1130" s="99"/>
      <c r="S1130" s="290" t="s">
        <v>43</v>
      </c>
      <c r="T1130" s="290" t="s">
        <v>879</v>
      </c>
      <c r="U1130" s="290" t="s">
        <v>45</v>
      </c>
      <c r="V1130" s="290" t="s">
        <v>2922</v>
      </c>
      <c r="W1130" s="100"/>
      <c r="X1130" s="100"/>
      <c r="Y1130" s="100"/>
      <c r="Z1130" s="100"/>
      <c r="AA1130" s="294">
        <v>169100.0</v>
      </c>
      <c r="AB1130" s="294">
        <v>676400.0</v>
      </c>
      <c r="AC1130" s="24" t="s">
        <v>3240</v>
      </c>
      <c r="AD1130" s="195">
        <v>9526.0</v>
      </c>
      <c r="AE1130" s="38"/>
      <c r="AF1130" s="290" t="str">
        <f t="shared" si="1"/>
        <v>Salta, Argentina</v>
      </c>
      <c r="AG1130" s="290">
        <f t="shared" si="2"/>
        <v>12</v>
      </c>
      <c r="AH1130" s="295">
        <f t="shared" si="3"/>
        <v>0</v>
      </c>
      <c r="AI1130" s="295">
        <f t="shared" si="4"/>
        <v>0</v>
      </c>
      <c r="AJ1130" s="294">
        <f t="shared" si="5"/>
        <v>845500</v>
      </c>
      <c r="AK1130" s="294">
        <f t="shared" si="6"/>
        <v>845500</v>
      </c>
      <c r="AL1130" s="103"/>
      <c r="AM1130" s="103"/>
    </row>
    <row r="1131">
      <c r="A1131" s="310">
        <v>1130.0</v>
      </c>
      <c r="B1131" s="311">
        <v>44971.0</v>
      </c>
      <c r="C1131" s="195" t="str">
        <f t="shared" si="9"/>
        <v>22023</v>
      </c>
      <c r="D1131" s="312" t="s">
        <v>3241</v>
      </c>
      <c r="E1131" s="310" t="s">
        <v>3242</v>
      </c>
      <c r="F1131" s="312" t="s">
        <v>3243</v>
      </c>
      <c r="G1131" s="310" t="s">
        <v>64</v>
      </c>
      <c r="H1131" s="310" t="s">
        <v>41</v>
      </c>
      <c r="I1131" s="310" t="s">
        <v>643</v>
      </c>
      <c r="J1131" s="138"/>
      <c r="K1131" s="138"/>
      <c r="L1131" s="138"/>
      <c r="M1131" s="138"/>
      <c r="N1131" s="138"/>
      <c r="O1131" s="138"/>
      <c r="P1131" s="138"/>
      <c r="Q1131" s="140"/>
      <c r="R1131" s="140"/>
      <c r="S1131" s="310" t="s">
        <v>65</v>
      </c>
      <c r="T1131" s="310" t="s">
        <v>839</v>
      </c>
      <c r="U1131" s="310" t="s">
        <v>99</v>
      </c>
      <c r="V1131" s="310" t="s">
        <v>1984</v>
      </c>
      <c r="W1131" s="141"/>
      <c r="X1131" s="141"/>
      <c r="Y1131" s="141"/>
      <c r="Z1131" s="141"/>
      <c r="AA1131" s="313">
        <v>0.0</v>
      </c>
      <c r="AB1131" s="313">
        <v>90720.0</v>
      </c>
      <c r="AC1131" s="24" t="s">
        <v>3244</v>
      </c>
      <c r="AD1131" s="195">
        <v>8606.0</v>
      </c>
      <c r="AE1131" s="38"/>
      <c r="AF1131" s="310" t="str">
        <f t="shared" si="1"/>
        <v>Neuquén, Argentina</v>
      </c>
      <c r="AG1131" s="310">
        <f t="shared" si="2"/>
        <v>0</v>
      </c>
      <c r="AH1131" s="314">
        <f t="shared" si="3"/>
        <v>0</v>
      </c>
      <c r="AI1131" s="314">
        <f t="shared" si="4"/>
        <v>0</v>
      </c>
      <c r="AJ1131" s="313">
        <f t="shared" si="5"/>
        <v>90720</v>
      </c>
      <c r="AK1131" s="313">
        <f t="shared" si="6"/>
        <v>90720</v>
      </c>
      <c r="AL1131" s="144"/>
      <c r="AM1131" s="144"/>
    </row>
    <row r="1132">
      <c r="A1132" s="310">
        <v>1131.0</v>
      </c>
      <c r="B1132" s="311">
        <v>44972.0</v>
      </c>
      <c r="C1132" s="195" t="str">
        <f t="shared" si="9"/>
        <v>22023</v>
      </c>
      <c r="D1132" s="312" t="s">
        <v>3245</v>
      </c>
      <c r="E1132" s="310" t="s">
        <v>1739</v>
      </c>
      <c r="F1132" s="312" t="s">
        <v>1415</v>
      </c>
      <c r="G1132" s="310" t="s">
        <v>64</v>
      </c>
      <c r="H1132" s="310" t="s">
        <v>41</v>
      </c>
      <c r="I1132" s="310" t="s">
        <v>643</v>
      </c>
      <c r="J1132" s="138"/>
      <c r="K1132" s="315">
        <v>1.0</v>
      </c>
      <c r="L1132" s="138"/>
      <c r="M1132" s="138"/>
      <c r="N1132" s="138"/>
      <c r="O1132" s="138"/>
      <c r="P1132" s="138"/>
      <c r="Q1132" s="140"/>
      <c r="R1132" s="140"/>
      <c r="S1132" s="310" t="s">
        <v>137</v>
      </c>
      <c r="T1132" s="310" t="s">
        <v>66</v>
      </c>
      <c r="U1132" s="310" t="s">
        <v>99</v>
      </c>
      <c r="V1132" s="310" t="s">
        <v>1984</v>
      </c>
      <c r="W1132" s="141"/>
      <c r="X1132" s="141"/>
      <c r="Y1132" s="141"/>
      <c r="Z1132" s="141"/>
      <c r="AA1132" s="313">
        <v>14175.0</v>
      </c>
      <c r="AB1132" s="313">
        <v>56669.0</v>
      </c>
      <c r="AC1132" s="24" t="s">
        <v>3246</v>
      </c>
      <c r="AD1132" s="195">
        <v>9646.0</v>
      </c>
      <c r="AE1132" s="38"/>
      <c r="AF1132" s="310" t="str">
        <f t="shared" si="1"/>
        <v>Buenos Aires, Argentina</v>
      </c>
      <c r="AG1132" s="310">
        <f t="shared" si="2"/>
        <v>1</v>
      </c>
      <c r="AH1132" s="314">
        <f t="shared" si="3"/>
        <v>0</v>
      </c>
      <c r="AI1132" s="314">
        <f t="shared" si="4"/>
        <v>0</v>
      </c>
      <c r="AJ1132" s="313">
        <f t="shared" si="5"/>
        <v>70844</v>
      </c>
      <c r="AK1132" s="313">
        <f t="shared" si="6"/>
        <v>70844</v>
      </c>
      <c r="AL1132" s="144"/>
      <c r="AM1132" s="144"/>
    </row>
    <row r="1133">
      <c r="A1133" s="310">
        <v>1132.0</v>
      </c>
      <c r="B1133" s="311">
        <v>44973.0</v>
      </c>
      <c r="C1133" s="195" t="str">
        <f t="shared" si="9"/>
        <v>22023</v>
      </c>
      <c r="D1133" s="312" t="s">
        <v>2706</v>
      </c>
      <c r="E1133" s="310" t="s">
        <v>3247</v>
      </c>
      <c r="F1133" s="312" t="s">
        <v>2262</v>
      </c>
      <c r="G1133" s="310" t="s">
        <v>64</v>
      </c>
      <c r="H1133" s="310" t="s">
        <v>41</v>
      </c>
      <c r="I1133" s="310" t="s">
        <v>643</v>
      </c>
      <c r="J1133" s="315">
        <v>1.0</v>
      </c>
      <c r="K1133" s="315">
        <v>2.0</v>
      </c>
      <c r="L1133" s="138"/>
      <c r="M1133" s="138"/>
      <c r="N1133" s="138"/>
      <c r="O1133" s="138"/>
      <c r="P1133" s="138"/>
      <c r="Q1133" s="140"/>
      <c r="R1133" s="140"/>
      <c r="S1133" s="310" t="s">
        <v>189</v>
      </c>
      <c r="T1133" s="310" t="s">
        <v>73</v>
      </c>
      <c r="U1133" s="310" t="s">
        <v>99</v>
      </c>
      <c r="V1133" s="310" t="s">
        <v>1984</v>
      </c>
      <c r="W1133" s="141"/>
      <c r="X1133" s="141"/>
      <c r="Y1133" s="141"/>
      <c r="Z1133" s="141"/>
      <c r="AA1133" s="313">
        <v>47250.0</v>
      </c>
      <c r="AB1133" s="313">
        <v>189000.0</v>
      </c>
      <c r="AC1133" s="24" t="s">
        <v>3248</v>
      </c>
      <c r="AD1133" s="195">
        <v>9676.0</v>
      </c>
      <c r="AE1133" s="38"/>
      <c r="AF1133" s="310" t="str">
        <f t="shared" si="1"/>
        <v>Tierra de Fuego, Argentina</v>
      </c>
      <c r="AG1133" s="310">
        <f t="shared" si="2"/>
        <v>3</v>
      </c>
      <c r="AH1133" s="314">
        <f t="shared" si="3"/>
        <v>0</v>
      </c>
      <c r="AI1133" s="314">
        <f t="shared" si="4"/>
        <v>0</v>
      </c>
      <c r="AJ1133" s="313">
        <f t="shared" si="5"/>
        <v>236250</v>
      </c>
      <c r="AK1133" s="313">
        <f t="shared" si="6"/>
        <v>236250</v>
      </c>
      <c r="AL1133" s="144"/>
      <c r="AM1133" s="144"/>
    </row>
    <row r="1134">
      <c r="A1134" s="310">
        <v>1133.0</v>
      </c>
      <c r="B1134" s="311">
        <v>44973.0</v>
      </c>
      <c r="C1134" s="195" t="str">
        <f t="shared" si="9"/>
        <v>22023</v>
      </c>
      <c r="D1134" s="312" t="s">
        <v>3249</v>
      </c>
      <c r="E1134" s="310" t="s">
        <v>1843</v>
      </c>
      <c r="F1134" s="312" t="s">
        <v>1415</v>
      </c>
      <c r="G1134" s="310" t="s">
        <v>64</v>
      </c>
      <c r="H1134" s="310" t="s">
        <v>41</v>
      </c>
      <c r="I1134" s="310" t="s">
        <v>643</v>
      </c>
      <c r="J1134" s="138"/>
      <c r="K1134" s="315">
        <v>1.0</v>
      </c>
      <c r="L1134" s="138"/>
      <c r="M1134" s="138"/>
      <c r="N1134" s="138"/>
      <c r="O1134" s="138"/>
      <c r="P1134" s="138"/>
      <c r="Q1134" s="140"/>
      <c r="R1134" s="140"/>
      <c r="S1134" s="310" t="s">
        <v>98</v>
      </c>
      <c r="T1134" s="310" t="s">
        <v>879</v>
      </c>
      <c r="U1134" s="310" t="s">
        <v>99</v>
      </c>
      <c r="V1134" s="310" t="s">
        <v>1984</v>
      </c>
      <c r="W1134" s="141"/>
      <c r="X1134" s="141"/>
      <c r="Y1134" s="141"/>
      <c r="Z1134" s="141"/>
      <c r="AA1134" s="313">
        <v>14175.0</v>
      </c>
      <c r="AB1134" s="313">
        <v>59699.0</v>
      </c>
      <c r="AC1134" s="24" t="s">
        <v>3250</v>
      </c>
      <c r="AD1134" s="195">
        <v>9648.0</v>
      </c>
      <c r="AE1134" s="38"/>
      <c r="AF1134" s="310" t="str">
        <f t="shared" si="1"/>
        <v>Salta, Argentina</v>
      </c>
      <c r="AG1134" s="310">
        <f t="shared" si="2"/>
        <v>1</v>
      </c>
      <c r="AH1134" s="314">
        <f t="shared" si="3"/>
        <v>0</v>
      </c>
      <c r="AI1134" s="314">
        <f t="shared" si="4"/>
        <v>0</v>
      </c>
      <c r="AJ1134" s="313">
        <f t="shared" si="5"/>
        <v>73874</v>
      </c>
      <c r="AK1134" s="313">
        <f t="shared" si="6"/>
        <v>73874</v>
      </c>
      <c r="AL1134" s="144"/>
      <c r="AM1134" s="144"/>
    </row>
    <row r="1135">
      <c r="A1135" s="310">
        <v>1134.0</v>
      </c>
      <c r="B1135" s="311">
        <v>44973.0</v>
      </c>
      <c r="C1135" s="195" t="str">
        <f t="shared" si="9"/>
        <v>22023</v>
      </c>
      <c r="D1135" s="312" t="s">
        <v>2638</v>
      </c>
      <c r="E1135" s="310" t="s">
        <v>1909</v>
      </c>
      <c r="F1135" s="312" t="s">
        <v>1423</v>
      </c>
      <c r="G1135" s="310" t="s">
        <v>64</v>
      </c>
      <c r="H1135" s="310" t="s">
        <v>41</v>
      </c>
      <c r="I1135" s="310" t="s">
        <v>643</v>
      </c>
      <c r="J1135" s="315">
        <v>1.0</v>
      </c>
      <c r="K1135" s="138"/>
      <c r="L1135" s="138"/>
      <c r="M1135" s="138"/>
      <c r="N1135" s="138"/>
      <c r="O1135" s="138"/>
      <c r="P1135" s="138"/>
      <c r="Q1135" s="140"/>
      <c r="R1135" s="140"/>
      <c r="S1135" s="310" t="s">
        <v>98</v>
      </c>
      <c r="T1135" s="310" t="s">
        <v>83</v>
      </c>
      <c r="U1135" s="310" t="s">
        <v>99</v>
      </c>
      <c r="V1135" s="310" t="s">
        <v>1984</v>
      </c>
      <c r="W1135" s="141"/>
      <c r="X1135" s="141"/>
      <c r="Y1135" s="141"/>
      <c r="Z1135" s="141"/>
      <c r="AA1135" s="313">
        <v>18900.0</v>
      </c>
      <c r="AB1135" s="313">
        <v>75600.0</v>
      </c>
      <c r="AC1135" s="24" t="s">
        <v>3251</v>
      </c>
      <c r="AD1135" s="195">
        <v>9664.0</v>
      </c>
      <c r="AE1135" s="38"/>
      <c r="AF1135" s="310" t="str">
        <f t="shared" si="1"/>
        <v>Capital Federal, Argentina</v>
      </c>
      <c r="AG1135" s="310">
        <f t="shared" si="2"/>
        <v>1</v>
      </c>
      <c r="AH1135" s="314">
        <f t="shared" si="3"/>
        <v>0</v>
      </c>
      <c r="AI1135" s="314">
        <f t="shared" si="4"/>
        <v>0</v>
      </c>
      <c r="AJ1135" s="313">
        <f t="shared" si="5"/>
        <v>94500</v>
      </c>
      <c r="AK1135" s="313">
        <f t="shared" si="6"/>
        <v>94500</v>
      </c>
      <c r="AL1135" s="144"/>
      <c r="AM1135" s="144"/>
    </row>
    <row r="1136">
      <c r="A1136" s="310">
        <v>1135.0</v>
      </c>
      <c r="B1136" s="311">
        <v>44974.0</v>
      </c>
      <c r="C1136" s="195" t="str">
        <f t="shared" si="9"/>
        <v>22023</v>
      </c>
      <c r="D1136" s="312" t="s">
        <v>1821</v>
      </c>
      <c r="E1136" s="310" t="s">
        <v>1822</v>
      </c>
      <c r="F1136" s="312" t="s">
        <v>1423</v>
      </c>
      <c r="G1136" s="310" t="s">
        <v>64</v>
      </c>
      <c r="H1136" s="310" t="s">
        <v>41</v>
      </c>
      <c r="I1136" s="310" t="s">
        <v>643</v>
      </c>
      <c r="J1136" s="315">
        <v>1.0</v>
      </c>
      <c r="K1136" s="138"/>
      <c r="L1136" s="138"/>
      <c r="M1136" s="138"/>
      <c r="N1136" s="138"/>
      <c r="O1136" s="138"/>
      <c r="P1136" s="138"/>
      <c r="Q1136" s="140"/>
      <c r="R1136" s="140"/>
      <c r="S1136" s="310" t="s">
        <v>65</v>
      </c>
      <c r="T1136" s="310" t="s">
        <v>66</v>
      </c>
      <c r="U1136" s="310" t="s">
        <v>99</v>
      </c>
      <c r="V1136" s="310" t="s">
        <v>1984</v>
      </c>
      <c r="W1136" s="141"/>
      <c r="X1136" s="141"/>
      <c r="Y1136" s="141"/>
      <c r="Z1136" s="141"/>
      <c r="AA1136" s="313">
        <v>17010.0</v>
      </c>
      <c r="AB1136" s="313">
        <v>76545.0</v>
      </c>
      <c r="AC1136" s="254" t="s">
        <v>3252</v>
      </c>
      <c r="AD1136" s="195">
        <v>9720.0</v>
      </c>
      <c r="AE1136" s="38"/>
      <c r="AF1136" s="310" t="str">
        <f t="shared" si="1"/>
        <v>Buenos Aires, Argentina</v>
      </c>
      <c r="AG1136" s="310">
        <f t="shared" si="2"/>
        <v>1</v>
      </c>
      <c r="AH1136" s="314">
        <f t="shared" si="3"/>
        <v>0</v>
      </c>
      <c r="AI1136" s="314">
        <f t="shared" si="4"/>
        <v>0</v>
      </c>
      <c r="AJ1136" s="313">
        <f t="shared" si="5"/>
        <v>93555</v>
      </c>
      <c r="AK1136" s="313">
        <f t="shared" si="6"/>
        <v>93555</v>
      </c>
      <c r="AL1136" s="144"/>
      <c r="AM1136" s="144"/>
    </row>
    <row r="1137">
      <c r="A1137" s="310">
        <v>1136.0</v>
      </c>
      <c r="B1137" s="311">
        <v>44985.0</v>
      </c>
      <c r="C1137" s="195" t="str">
        <f t="shared" si="9"/>
        <v>22023</v>
      </c>
      <c r="D1137" s="312" t="s">
        <v>2934</v>
      </c>
      <c r="E1137" s="310" t="s">
        <v>2243</v>
      </c>
      <c r="F1137" s="312" t="s">
        <v>1357</v>
      </c>
      <c r="G1137" s="310" t="s">
        <v>64</v>
      </c>
      <c r="H1137" s="310" t="s">
        <v>41</v>
      </c>
      <c r="I1137" s="310" t="s">
        <v>643</v>
      </c>
      <c r="J1137" s="138"/>
      <c r="K1137" s="138"/>
      <c r="L1137" s="138"/>
      <c r="M1137" s="138"/>
      <c r="N1137" s="138"/>
      <c r="O1137" s="138"/>
      <c r="P1137" s="315">
        <v>1.0</v>
      </c>
      <c r="Q1137" s="140"/>
      <c r="R1137" s="140"/>
      <c r="S1137" s="310" t="s">
        <v>65</v>
      </c>
      <c r="T1137" s="310" t="s">
        <v>66</v>
      </c>
      <c r="U1137" s="310" t="s">
        <v>99</v>
      </c>
      <c r="V1137" s="310" t="s">
        <v>1984</v>
      </c>
      <c r="W1137" s="141"/>
      <c r="X1137" s="141"/>
      <c r="Y1137" s="141"/>
      <c r="Z1137" s="141"/>
      <c r="AA1137" s="313">
        <v>14175.0</v>
      </c>
      <c r="AB1137" s="313">
        <v>63788.0</v>
      </c>
      <c r="AC1137" s="24" t="s">
        <v>3253</v>
      </c>
      <c r="AD1137" s="195">
        <v>9712.0</v>
      </c>
      <c r="AE1137" s="38"/>
      <c r="AF1137" s="310" t="str">
        <f t="shared" si="1"/>
        <v>Buenos Aires, Argentina</v>
      </c>
      <c r="AG1137" s="310">
        <f t="shared" si="2"/>
        <v>1</v>
      </c>
      <c r="AH1137" s="314">
        <f t="shared" si="3"/>
        <v>0</v>
      </c>
      <c r="AI1137" s="314">
        <f t="shared" si="4"/>
        <v>0</v>
      </c>
      <c r="AJ1137" s="313">
        <f t="shared" si="5"/>
        <v>77963</v>
      </c>
      <c r="AK1137" s="313">
        <f t="shared" si="6"/>
        <v>77963</v>
      </c>
      <c r="AL1137" s="144"/>
      <c r="AM1137" s="144"/>
    </row>
    <row r="1138">
      <c r="A1138" s="310">
        <v>1137.0</v>
      </c>
      <c r="B1138" s="311">
        <v>44985.0</v>
      </c>
      <c r="C1138" s="195" t="str">
        <f t="shared" si="9"/>
        <v>22023</v>
      </c>
      <c r="D1138" s="312" t="s">
        <v>1821</v>
      </c>
      <c r="E1138" s="310" t="s">
        <v>1822</v>
      </c>
      <c r="F1138" s="312" t="s">
        <v>1423</v>
      </c>
      <c r="G1138" s="310" t="s">
        <v>64</v>
      </c>
      <c r="H1138" s="310" t="s">
        <v>41</v>
      </c>
      <c r="I1138" s="310" t="s">
        <v>643</v>
      </c>
      <c r="J1138" s="315">
        <v>1.0</v>
      </c>
      <c r="K1138" s="138"/>
      <c r="L1138" s="138"/>
      <c r="M1138" s="138"/>
      <c r="N1138" s="138"/>
      <c r="O1138" s="138"/>
      <c r="P1138" s="138"/>
      <c r="Q1138" s="140"/>
      <c r="R1138" s="140"/>
      <c r="S1138" s="310" t="s">
        <v>65</v>
      </c>
      <c r="T1138" s="310" t="s">
        <v>66</v>
      </c>
      <c r="U1138" s="310" t="s">
        <v>99</v>
      </c>
      <c r="V1138" s="310" t="s">
        <v>1984</v>
      </c>
      <c r="W1138" s="141"/>
      <c r="X1138" s="141"/>
      <c r="Y1138" s="141"/>
      <c r="Z1138" s="141"/>
      <c r="AA1138" s="313">
        <v>17010.0</v>
      </c>
      <c r="AB1138" s="313">
        <v>76545.0</v>
      </c>
      <c r="AC1138" s="24" t="s">
        <v>3254</v>
      </c>
      <c r="AD1138" s="195">
        <v>9654.0</v>
      </c>
      <c r="AE1138" s="38"/>
      <c r="AF1138" s="310" t="str">
        <f t="shared" si="1"/>
        <v>Buenos Aires, Argentina</v>
      </c>
      <c r="AG1138" s="310">
        <f t="shared" si="2"/>
        <v>1</v>
      </c>
      <c r="AH1138" s="314">
        <f t="shared" si="3"/>
        <v>0</v>
      </c>
      <c r="AI1138" s="314">
        <f t="shared" si="4"/>
        <v>0</v>
      </c>
      <c r="AJ1138" s="313">
        <f t="shared" si="5"/>
        <v>93555</v>
      </c>
      <c r="AK1138" s="313">
        <f t="shared" si="6"/>
        <v>93555</v>
      </c>
      <c r="AL1138" s="144"/>
      <c r="AM1138" s="144"/>
    </row>
    <row r="1139">
      <c r="A1139" s="310">
        <v>1138.0</v>
      </c>
      <c r="B1139" s="311">
        <v>44985.0</v>
      </c>
      <c r="C1139" s="195" t="str">
        <f t="shared" si="9"/>
        <v>22023</v>
      </c>
      <c r="D1139" s="312" t="s">
        <v>1502</v>
      </c>
      <c r="E1139" s="310" t="s">
        <v>3255</v>
      </c>
      <c r="F1139" s="312" t="s">
        <v>3256</v>
      </c>
      <c r="G1139" s="310" t="s">
        <v>64</v>
      </c>
      <c r="H1139" s="310" t="s">
        <v>41</v>
      </c>
      <c r="I1139" s="310" t="s">
        <v>643</v>
      </c>
      <c r="J1139" s="138"/>
      <c r="K1139" s="315">
        <v>1.0</v>
      </c>
      <c r="L1139" s="138"/>
      <c r="M1139" s="138"/>
      <c r="N1139" s="138"/>
      <c r="O1139" s="138"/>
      <c r="P1139" s="138"/>
      <c r="Q1139" s="140"/>
      <c r="R1139" s="140"/>
      <c r="S1139" s="310" t="s">
        <v>89</v>
      </c>
      <c r="T1139" s="310" t="s">
        <v>66</v>
      </c>
      <c r="U1139" s="310" t="s">
        <v>99</v>
      </c>
      <c r="V1139" s="310" t="s">
        <v>1984</v>
      </c>
      <c r="W1139" s="141"/>
      <c r="X1139" s="141"/>
      <c r="Y1139" s="141"/>
      <c r="Z1139" s="141"/>
      <c r="AA1139" s="313">
        <v>14175.0</v>
      </c>
      <c r="AB1139" s="313">
        <v>86940.0</v>
      </c>
      <c r="AC1139" s="24" t="s">
        <v>3257</v>
      </c>
      <c r="AD1139" s="195">
        <v>9270.0</v>
      </c>
      <c r="AE1139" s="38"/>
      <c r="AF1139" s="310" t="str">
        <f t="shared" si="1"/>
        <v>Buenos Aires, Argentina</v>
      </c>
      <c r="AG1139" s="310">
        <f t="shared" si="2"/>
        <v>1</v>
      </c>
      <c r="AH1139" s="314">
        <f t="shared" si="3"/>
        <v>0</v>
      </c>
      <c r="AI1139" s="314">
        <f t="shared" si="4"/>
        <v>0</v>
      </c>
      <c r="AJ1139" s="313">
        <f t="shared" si="5"/>
        <v>101115</v>
      </c>
      <c r="AK1139" s="313">
        <f t="shared" si="6"/>
        <v>101115</v>
      </c>
      <c r="AL1139" s="144"/>
      <c r="AM1139" s="144"/>
    </row>
    <row r="1140">
      <c r="A1140" s="310">
        <v>1139.0</v>
      </c>
      <c r="B1140" s="311">
        <v>44985.0</v>
      </c>
      <c r="C1140" s="195" t="str">
        <f t="shared" si="9"/>
        <v>22023</v>
      </c>
      <c r="D1140" s="312" t="s">
        <v>3258</v>
      </c>
      <c r="E1140" s="310" t="s">
        <v>3259</v>
      </c>
      <c r="F1140" s="312" t="s">
        <v>1592</v>
      </c>
      <c r="G1140" s="310" t="s">
        <v>40</v>
      </c>
      <c r="H1140" s="310" t="s">
        <v>41</v>
      </c>
      <c r="I1140" s="310" t="s">
        <v>643</v>
      </c>
      <c r="J1140" s="315">
        <v>1.0</v>
      </c>
      <c r="K1140" s="315">
        <v>1.0</v>
      </c>
      <c r="L1140" s="138"/>
      <c r="M1140" s="138"/>
      <c r="N1140" s="138"/>
      <c r="O1140" s="138"/>
      <c r="P1140" s="138"/>
      <c r="Q1140" s="140"/>
      <c r="R1140" s="140"/>
      <c r="S1140" s="310" t="s">
        <v>65</v>
      </c>
      <c r="T1140" s="310" t="s">
        <v>73</v>
      </c>
      <c r="U1140" s="310" t="s">
        <v>45</v>
      </c>
      <c r="V1140" s="310" t="s">
        <v>2935</v>
      </c>
      <c r="W1140" s="141"/>
      <c r="X1140" s="141"/>
      <c r="Y1140" s="141"/>
      <c r="Z1140" s="141"/>
      <c r="AA1140" s="313">
        <v>33075.0</v>
      </c>
      <c r="AB1140" s="313">
        <v>210260.0</v>
      </c>
      <c r="AC1140" s="24" t="s">
        <v>3260</v>
      </c>
      <c r="AD1140" s="195">
        <v>9744.0</v>
      </c>
      <c r="AE1140" s="38"/>
      <c r="AF1140" s="310" t="str">
        <f t="shared" si="1"/>
        <v>Tierra de Fuego, Argentina</v>
      </c>
      <c r="AG1140" s="310">
        <f t="shared" si="2"/>
        <v>2</v>
      </c>
      <c r="AH1140" s="314">
        <f t="shared" si="3"/>
        <v>0</v>
      </c>
      <c r="AI1140" s="314">
        <f t="shared" si="4"/>
        <v>0</v>
      </c>
      <c r="AJ1140" s="313">
        <f t="shared" si="5"/>
        <v>243335</v>
      </c>
      <c r="AK1140" s="313">
        <f t="shared" si="6"/>
        <v>243335</v>
      </c>
      <c r="AL1140" s="144"/>
      <c r="AM1140" s="144"/>
    </row>
    <row r="1141">
      <c r="A1141" s="310">
        <v>1140.0</v>
      </c>
      <c r="B1141" s="311">
        <v>44985.0</v>
      </c>
      <c r="C1141" s="195" t="str">
        <f t="shared" si="9"/>
        <v>22023</v>
      </c>
      <c r="D1141" s="312" t="s">
        <v>3261</v>
      </c>
      <c r="E1141" s="310" t="s">
        <v>3262</v>
      </c>
      <c r="F1141" s="312" t="s">
        <v>3263</v>
      </c>
      <c r="G1141" s="310" t="s">
        <v>40</v>
      </c>
      <c r="H1141" s="310" t="s">
        <v>41</v>
      </c>
      <c r="I1141" s="310" t="s">
        <v>643</v>
      </c>
      <c r="J1141" s="315">
        <v>1.0</v>
      </c>
      <c r="K1141" s="315">
        <v>1.0</v>
      </c>
      <c r="L1141" s="138"/>
      <c r="M1141" s="138"/>
      <c r="N1141" s="138"/>
      <c r="O1141" s="138"/>
      <c r="P1141" s="315">
        <v>1.0</v>
      </c>
      <c r="Q1141" s="140"/>
      <c r="R1141" s="140"/>
      <c r="S1141" s="310" t="s">
        <v>89</v>
      </c>
      <c r="T1141" s="310" t="s">
        <v>66</v>
      </c>
      <c r="U1141" s="310" t="s">
        <v>342</v>
      </c>
      <c r="V1141" s="310" t="s">
        <v>2945</v>
      </c>
      <c r="W1141" s="141"/>
      <c r="X1141" s="141"/>
      <c r="Y1141" s="141"/>
      <c r="Z1141" s="141"/>
      <c r="AA1141" s="313">
        <v>47250.0</v>
      </c>
      <c r="AB1141" s="313">
        <v>189000.0</v>
      </c>
      <c r="AC1141" s="24" t="s">
        <v>3264</v>
      </c>
      <c r="AD1141" s="195">
        <v>9484.0</v>
      </c>
      <c r="AE1141" s="38"/>
      <c r="AF1141" s="310" t="str">
        <f t="shared" si="1"/>
        <v>Buenos Aires, Argentina</v>
      </c>
      <c r="AG1141" s="310">
        <f t="shared" si="2"/>
        <v>3</v>
      </c>
      <c r="AH1141" s="314">
        <f t="shared" si="3"/>
        <v>0</v>
      </c>
      <c r="AI1141" s="314">
        <f t="shared" si="4"/>
        <v>0</v>
      </c>
      <c r="AJ1141" s="313">
        <f t="shared" si="5"/>
        <v>236250</v>
      </c>
      <c r="AK1141" s="313">
        <f t="shared" si="6"/>
        <v>236250</v>
      </c>
      <c r="AL1141" s="144"/>
      <c r="AM1141" s="144"/>
    </row>
    <row r="1142">
      <c r="A1142" s="310">
        <v>1141.0</v>
      </c>
      <c r="B1142" s="311">
        <v>44985.0</v>
      </c>
      <c r="C1142" s="195" t="str">
        <f t="shared" si="9"/>
        <v>22023</v>
      </c>
      <c r="D1142" s="312" t="s">
        <v>3265</v>
      </c>
      <c r="E1142" s="310" t="s">
        <v>3266</v>
      </c>
      <c r="F1142" s="312" t="s">
        <v>1423</v>
      </c>
      <c r="G1142" s="310" t="s">
        <v>64</v>
      </c>
      <c r="H1142" s="310" t="s">
        <v>41</v>
      </c>
      <c r="I1142" s="310" t="s">
        <v>643</v>
      </c>
      <c r="J1142" s="315">
        <v>1.0</v>
      </c>
      <c r="K1142" s="138"/>
      <c r="L1142" s="138"/>
      <c r="M1142" s="138"/>
      <c r="N1142" s="138"/>
      <c r="O1142" s="138"/>
      <c r="P1142" s="138"/>
      <c r="Q1142" s="140"/>
      <c r="R1142" s="140"/>
      <c r="S1142" s="310" t="s">
        <v>105</v>
      </c>
      <c r="T1142" s="310" t="s">
        <v>66</v>
      </c>
      <c r="U1142" s="310" t="s">
        <v>99</v>
      </c>
      <c r="V1142" s="310" t="s">
        <v>1984</v>
      </c>
      <c r="W1142" s="141"/>
      <c r="X1142" s="141"/>
      <c r="Y1142" s="141"/>
      <c r="Z1142" s="141"/>
      <c r="AA1142" s="313">
        <v>18900.0</v>
      </c>
      <c r="AB1142" s="313">
        <v>75600.0</v>
      </c>
      <c r="AC1142" s="24" t="s">
        <v>3267</v>
      </c>
      <c r="AD1142" s="195">
        <v>9740.0</v>
      </c>
      <c r="AE1142" s="38"/>
      <c r="AF1142" s="310" t="str">
        <f t="shared" si="1"/>
        <v>Buenos Aires, Argentina</v>
      </c>
      <c r="AG1142" s="310">
        <f t="shared" si="2"/>
        <v>1</v>
      </c>
      <c r="AH1142" s="314">
        <f t="shared" si="3"/>
        <v>0</v>
      </c>
      <c r="AI1142" s="314">
        <f t="shared" si="4"/>
        <v>0</v>
      </c>
      <c r="AJ1142" s="313">
        <f t="shared" si="5"/>
        <v>94500</v>
      </c>
      <c r="AK1142" s="313">
        <f t="shared" si="6"/>
        <v>94500</v>
      </c>
      <c r="AL1142" s="144"/>
      <c r="AM1142" s="144"/>
    </row>
    <row r="1143">
      <c r="A1143" s="310">
        <v>1142.0</v>
      </c>
      <c r="B1143" s="311">
        <v>44985.0</v>
      </c>
      <c r="C1143" s="195" t="str">
        <f t="shared" si="9"/>
        <v>22023</v>
      </c>
      <c r="D1143" s="312" t="s">
        <v>2084</v>
      </c>
      <c r="E1143" s="310" t="s">
        <v>2085</v>
      </c>
      <c r="F1143" s="312" t="s">
        <v>3268</v>
      </c>
      <c r="G1143" s="310" t="s">
        <v>64</v>
      </c>
      <c r="H1143" s="310" t="s">
        <v>41</v>
      </c>
      <c r="I1143" s="310" t="s">
        <v>643</v>
      </c>
      <c r="J1143" s="315">
        <v>4.0</v>
      </c>
      <c r="K1143" s="138"/>
      <c r="L1143" s="138"/>
      <c r="M1143" s="138"/>
      <c r="N1143" s="138"/>
      <c r="O1143" s="138"/>
      <c r="P1143" s="138"/>
      <c r="Q1143" s="140"/>
      <c r="R1143" s="140"/>
      <c r="S1143" s="310" t="s">
        <v>167</v>
      </c>
      <c r="T1143" s="310" t="s">
        <v>83</v>
      </c>
      <c r="U1143" s="310" t="s">
        <v>99</v>
      </c>
      <c r="V1143" s="310" t="s">
        <v>1984</v>
      </c>
      <c r="W1143" s="141"/>
      <c r="X1143" s="141"/>
      <c r="Y1143" s="141"/>
      <c r="Z1143" s="141"/>
      <c r="AA1143" s="313">
        <v>75600.0</v>
      </c>
      <c r="AB1143" s="313">
        <v>264600.0</v>
      </c>
      <c r="AC1143" s="24" t="s">
        <v>3269</v>
      </c>
      <c r="AD1143" s="195">
        <v>9786.0</v>
      </c>
      <c r="AE1143" s="38"/>
      <c r="AF1143" s="310" t="str">
        <f t="shared" si="1"/>
        <v>Capital Federal, Argentina</v>
      </c>
      <c r="AG1143" s="310">
        <f t="shared" si="2"/>
        <v>4</v>
      </c>
      <c r="AH1143" s="314">
        <f t="shared" si="3"/>
        <v>0</v>
      </c>
      <c r="AI1143" s="314">
        <f t="shared" si="4"/>
        <v>0</v>
      </c>
      <c r="AJ1143" s="313">
        <f t="shared" si="5"/>
        <v>340200</v>
      </c>
      <c r="AK1143" s="313">
        <f t="shared" si="6"/>
        <v>340200</v>
      </c>
      <c r="AL1143" s="144"/>
      <c r="AM1143" s="144"/>
    </row>
    <row r="1144">
      <c r="A1144" s="310">
        <v>1143.0</v>
      </c>
      <c r="B1144" s="311">
        <v>44985.0</v>
      </c>
      <c r="C1144" s="195" t="str">
        <f t="shared" si="9"/>
        <v>22023</v>
      </c>
      <c r="D1144" s="312" t="s">
        <v>3270</v>
      </c>
      <c r="E1144" s="310" t="s">
        <v>3271</v>
      </c>
      <c r="F1144" s="312" t="s">
        <v>3214</v>
      </c>
      <c r="G1144" s="310" t="s">
        <v>40</v>
      </c>
      <c r="H1144" s="310" t="s">
        <v>547</v>
      </c>
      <c r="I1144" s="310" t="s">
        <v>643</v>
      </c>
      <c r="J1144" s="315">
        <v>2.0</v>
      </c>
      <c r="K1144" s="315">
        <v>2.0</v>
      </c>
      <c r="L1144" s="138"/>
      <c r="M1144" s="315">
        <v>1.0</v>
      </c>
      <c r="N1144" s="138"/>
      <c r="O1144" s="315">
        <v>1.0</v>
      </c>
      <c r="P1144" s="138"/>
      <c r="Q1144" s="140"/>
      <c r="R1144" s="140"/>
      <c r="S1144" s="310" t="s">
        <v>43</v>
      </c>
      <c r="T1144" s="310" t="s">
        <v>66</v>
      </c>
      <c r="U1144" s="310" t="s">
        <v>342</v>
      </c>
      <c r="V1144" s="310" t="s">
        <v>2935</v>
      </c>
      <c r="W1144" s="141"/>
      <c r="X1144" s="141"/>
      <c r="Y1144" s="141"/>
      <c r="Z1144" s="141"/>
      <c r="AA1144" s="313">
        <v>39690.0</v>
      </c>
      <c r="AB1144" s="313">
        <v>183708.0</v>
      </c>
      <c r="AC1144" s="24" t="s">
        <v>3272</v>
      </c>
      <c r="AD1144" s="195">
        <v>9658.0</v>
      </c>
      <c r="AE1144" s="38"/>
      <c r="AF1144" s="310" t="str">
        <f t="shared" si="1"/>
        <v>Buenos Aires, Argentina</v>
      </c>
      <c r="AG1144" s="310">
        <f t="shared" si="2"/>
        <v>6</v>
      </c>
      <c r="AH1144" s="314">
        <f t="shared" si="3"/>
        <v>0</v>
      </c>
      <c r="AI1144" s="314">
        <f t="shared" si="4"/>
        <v>0</v>
      </c>
      <c r="AJ1144" s="313">
        <f t="shared" si="5"/>
        <v>223398</v>
      </c>
      <c r="AK1144" s="313">
        <f t="shared" si="6"/>
        <v>223398</v>
      </c>
      <c r="AL1144" s="144"/>
      <c r="AM1144" s="144"/>
    </row>
    <row r="1145">
      <c r="A1145" s="310">
        <v>1144.0</v>
      </c>
      <c r="B1145" s="311">
        <v>44985.0</v>
      </c>
      <c r="C1145" s="195" t="str">
        <f t="shared" si="9"/>
        <v>22023</v>
      </c>
      <c r="D1145" s="312" t="s">
        <v>3273</v>
      </c>
      <c r="E1145" s="310" t="s">
        <v>2261</v>
      </c>
      <c r="F1145" s="312" t="s">
        <v>3274</v>
      </c>
      <c r="G1145" s="310" t="s">
        <v>64</v>
      </c>
      <c r="H1145" s="310" t="s">
        <v>41</v>
      </c>
      <c r="I1145" s="310" t="s">
        <v>643</v>
      </c>
      <c r="J1145" s="315">
        <v>1.0</v>
      </c>
      <c r="K1145" s="138"/>
      <c r="L1145" s="138"/>
      <c r="M1145" s="138"/>
      <c r="N1145" s="138"/>
      <c r="O1145" s="138"/>
      <c r="P1145" s="138"/>
      <c r="Q1145" s="140"/>
      <c r="R1145" s="140"/>
      <c r="S1145" s="310" t="s">
        <v>141</v>
      </c>
      <c r="T1145" s="310" t="s">
        <v>66</v>
      </c>
      <c r="U1145" s="310" t="s">
        <v>99</v>
      </c>
      <c r="V1145" s="310" t="s">
        <v>1984</v>
      </c>
      <c r="W1145" s="141"/>
      <c r="X1145" s="141"/>
      <c r="Y1145" s="141"/>
      <c r="Z1145" s="141"/>
      <c r="AA1145" s="313">
        <v>20000.0</v>
      </c>
      <c r="AB1145" s="313">
        <v>80000.0</v>
      </c>
      <c r="AC1145" s="24" t="s">
        <v>3275</v>
      </c>
      <c r="AD1145" s="195">
        <v>9794.0</v>
      </c>
      <c r="AE1145" s="38"/>
      <c r="AF1145" s="310" t="str">
        <f t="shared" si="1"/>
        <v>Buenos Aires, Argentina</v>
      </c>
      <c r="AG1145" s="310">
        <f t="shared" si="2"/>
        <v>1</v>
      </c>
      <c r="AH1145" s="314">
        <f t="shared" si="3"/>
        <v>0</v>
      </c>
      <c r="AI1145" s="314">
        <f t="shared" si="4"/>
        <v>0</v>
      </c>
      <c r="AJ1145" s="313">
        <f t="shared" si="5"/>
        <v>100000</v>
      </c>
      <c r="AK1145" s="313">
        <f t="shared" si="6"/>
        <v>100000</v>
      </c>
      <c r="AL1145" s="144"/>
      <c r="AM1145" s="144"/>
    </row>
    <row r="1146">
      <c r="A1146" s="256">
        <v>1145.0</v>
      </c>
      <c r="B1146" s="257">
        <v>45001.0</v>
      </c>
      <c r="C1146" s="195" t="str">
        <f t="shared" si="9"/>
        <v>32023</v>
      </c>
      <c r="D1146" s="258" t="s">
        <v>3276</v>
      </c>
      <c r="E1146" s="256" t="s">
        <v>3026</v>
      </c>
      <c r="F1146" s="258" t="s">
        <v>1423</v>
      </c>
      <c r="G1146" s="256" t="s">
        <v>64</v>
      </c>
      <c r="H1146" s="256" t="s">
        <v>41</v>
      </c>
      <c r="I1146" s="256" t="s">
        <v>643</v>
      </c>
      <c r="J1146" s="259">
        <v>1.0</v>
      </c>
      <c r="K1146" s="260"/>
      <c r="L1146" s="260"/>
      <c r="M1146" s="260"/>
      <c r="N1146" s="260"/>
      <c r="O1146" s="260"/>
      <c r="P1146" s="260"/>
      <c r="Q1146" s="261"/>
      <c r="R1146" s="261"/>
      <c r="S1146" s="256" t="s">
        <v>65</v>
      </c>
      <c r="T1146" s="256" t="s">
        <v>66</v>
      </c>
      <c r="U1146" s="256" t="s">
        <v>99</v>
      </c>
      <c r="V1146" s="256" t="s">
        <v>1984</v>
      </c>
      <c r="W1146" s="262"/>
      <c r="X1146" s="262"/>
      <c r="Y1146" s="262"/>
      <c r="Z1146" s="262"/>
      <c r="AA1146" s="263">
        <v>18000.0</v>
      </c>
      <c r="AB1146" s="263">
        <v>72000.0</v>
      </c>
      <c r="AC1146" s="24" t="s">
        <v>3277</v>
      </c>
      <c r="AD1146" s="195">
        <v>9652.0</v>
      </c>
      <c r="AE1146" s="38"/>
      <c r="AF1146" s="256" t="str">
        <f t="shared" si="1"/>
        <v>Buenos Aires, Argentina</v>
      </c>
      <c r="AG1146" s="256">
        <f t="shared" si="2"/>
        <v>1</v>
      </c>
      <c r="AH1146" s="264">
        <f t="shared" si="3"/>
        <v>0</v>
      </c>
      <c r="AI1146" s="264">
        <f t="shared" si="4"/>
        <v>0</v>
      </c>
      <c r="AJ1146" s="263">
        <f t="shared" si="5"/>
        <v>90000</v>
      </c>
      <c r="AK1146" s="263">
        <f t="shared" si="6"/>
        <v>90000</v>
      </c>
      <c r="AL1146" s="265"/>
      <c r="AM1146" s="265"/>
    </row>
    <row r="1147">
      <c r="A1147" s="256">
        <v>1146.0</v>
      </c>
      <c r="B1147" s="257">
        <v>45007.0</v>
      </c>
      <c r="C1147" s="195" t="str">
        <f t="shared" si="9"/>
        <v>32023</v>
      </c>
      <c r="D1147" s="258" t="s">
        <v>3278</v>
      </c>
      <c r="E1147" s="256" t="s">
        <v>3279</v>
      </c>
      <c r="F1147" s="258" t="s">
        <v>1503</v>
      </c>
      <c r="G1147" s="256" t="s">
        <v>64</v>
      </c>
      <c r="H1147" s="256" t="s">
        <v>41</v>
      </c>
      <c r="I1147" s="256" t="s">
        <v>643</v>
      </c>
      <c r="J1147" s="260"/>
      <c r="K1147" s="259">
        <v>4.0</v>
      </c>
      <c r="L1147" s="260"/>
      <c r="M1147" s="260"/>
      <c r="N1147" s="260"/>
      <c r="O1147" s="260"/>
      <c r="P1147" s="260"/>
      <c r="Q1147" s="261"/>
      <c r="R1147" s="261"/>
      <c r="S1147" s="256" t="s">
        <v>72</v>
      </c>
      <c r="T1147" s="256" t="s">
        <v>66</v>
      </c>
      <c r="U1147" s="256" t="s">
        <v>99</v>
      </c>
      <c r="V1147" s="256" t="s">
        <v>1984</v>
      </c>
      <c r="W1147" s="262"/>
      <c r="X1147" s="262"/>
      <c r="Y1147" s="262"/>
      <c r="Z1147" s="262"/>
      <c r="AA1147" s="263">
        <v>60000.0</v>
      </c>
      <c r="AB1147" s="263">
        <v>240000.0</v>
      </c>
      <c r="AC1147" s="24" t="s">
        <v>3280</v>
      </c>
      <c r="AD1147" s="195">
        <v>9854.0</v>
      </c>
      <c r="AE1147" s="38"/>
      <c r="AF1147" s="256" t="str">
        <f t="shared" si="1"/>
        <v>Buenos Aires, Argentina</v>
      </c>
      <c r="AG1147" s="256">
        <f t="shared" si="2"/>
        <v>4</v>
      </c>
      <c r="AH1147" s="264">
        <f t="shared" si="3"/>
        <v>0</v>
      </c>
      <c r="AI1147" s="264">
        <f t="shared" si="4"/>
        <v>0</v>
      </c>
      <c r="AJ1147" s="263">
        <f t="shared" si="5"/>
        <v>300000</v>
      </c>
      <c r="AK1147" s="263">
        <f t="shared" si="6"/>
        <v>300000</v>
      </c>
      <c r="AL1147" s="265"/>
      <c r="AM1147" s="265"/>
    </row>
    <row r="1148">
      <c r="A1148" s="256">
        <v>1147.0</v>
      </c>
      <c r="B1148" s="257">
        <v>45013.0</v>
      </c>
      <c r="C1148" s="195" t="str">
        <f t="shared" si="9"/>
        <v>32023</v>
      </c>
      <c r="D1148" s="258" t="s">
        <v>1717</v>
      </c>
      <c r="E1148" s="256" t="s">
        <v>2629</v>
      </c>
      <c r="F1148" s="258" t="s">
        <v>1423</v>
      </c>
      <c r="G1148" s="256" t="s">
        <v>64</v>
      </c>
      <c r="H1148" s="256" t="s">
        <v>547</v>
      </c>
      <c r="I1148" s="256" t="s">
        <v>643</v>
      </c>
      <c r="J1148" s="259">
        <v>1.0</v>
      </c>
      <c r="K1148" s="260"/>
      <c r="L1148" s="260"/>
      <c r="M1148" s="260"/>
      <c r="N1148" s="260"/>
      <c r="O1148" s="260"/>
      <c r="P1148" s="260"/>
      <c r="Q1148" s="261"/>
      <c r="R1148" s="261"/>
      <c r="S1148" s="256" t="s">
        <v>137</v>
      </c>
      <c r="T1148" s="256" t="s">
        <v>263</v>
      </c>
      <c r="U1148" s="256" t="s">
        <v>99</v>
      </c>
      <c r="V1148" s="256" t="s">
        <v>1984</v>
      </c>
      <c r="W1148" s="262"/>
      <c r="X1148" s="262"/>
      <c r="Y1148" s="262"/>
      <c r="Z1148" s="262"/>
      <c r="AA1148" s="263">
        <v>12000.0</v>
      </c>
      <c r="AB1148" s="263">
        <v>38400.0</v>
      </c>
      <c r="AC1148" s="24" t="s">
        <v>3281</v>
      </c>
      <c r="AD1148" s="195">
        <v>9868.0</v>
      </c>
      <c r="AE1148" s="38"/>
      <c r="AF1148" s="256" t="str">
        <f t="shared" si="1"/>
        <v>Santa Fé, Argentina</v>
      </c>
      <c r="AG1148" s="256">
        <f t="shared" si="2"/>
        <v>1</v>
      </c>
      <c r="AH1148" s="264">
        <f t="shared" si="3"/>
        <v>0</v>
      </c>
      <c r="AI1148" s="264">
        <f t="shared" si="4"/>
        <v>0</v>
      </c>
      <c r="AJ1148" s="263">
        <f t="shared" si="5"/>
        <v>50400</v>
      </c>
      <c r="AK1148" s="263">
        <f t="shared" si="6"/>
        <v>50400</v>
      </c>
      <c r="AL1148" s="265"/>
      <c r="AM1148" s="265"/>
    </row>
    <row r="1149">
      <c r="A1149" s="256">
        <v>1148.0</v>
      </c>
      <c r="B1149" s="257">
        <v>45015.0</v>
      </c>
      <c r="C1149" s="195" t="str">
        <f t="shared" si="9"/>
        <v>32023</v>
      </c>
      <c r="D1149" s="258" t="s">
        <v>2383</v>
      </c>
      <c r="E1149" s="256" t="s">
        <v>2384</v>
      </c>
      <c r="F1149" s="258" t="s">
        <v>1423</v>
      </c>
      <c r="G1149" s="256" t="s">
        <v>64</v>
      </c>
      <c r="H1149" s="256" t="s">
        <v>41</v>
      </c>
      <c r="I1149" s="256" t="s">
        <v>643</v>
      </c>
      <c r="J1149" s="259">
        <v>1.0</v>
      </c>
      <c r="K1149" s="260"/>
      <c r="L1149" s="260"/>
      <c r="M1149" s="260"/>
      <c r="N1149" s="260"/>
      <c r="O1149" s="260"/>
      <c r="P1149" s="260"/>
      <c r="Q1149" s="261"/>
      <c r="R1149" s="261"/>
      <c r="S1149" s="256" t="s">
        <v>141</v>
      </c>
      <c r="T1149" s="256" t="s">
        <v>73</v>
      </c>
      <c r="U1149" s="256" t="s">
        <v>99</v>
      </c>
      <c r="V1149" s="256" t="s">
        <v>1984</v>
      </c>
      <c r="W1149" s="262"/>
      <c r="X1149" s="262"/>
      <c r="Y1149" s="262"/>
      <c r="Z1149" s="262"/>
      <c r="AA1149" s="263">
        <v>20000.0</v>
      </c>
      <c r="AB1149" s="263">
        <v>80000.0</v>
      </c>
      <c r="AC1149" s="24" t="s">
        <v>3282</v>
      </c>
      <c r="AD1149" s="195">
        <v>9898.0</v>
      </c>
      <c r="AE1149" s="38"/>
      <c r="AF1149" s="256" t="str">
        <f t="shared" si="1"/>
        <v>Tierra de Fuego, Argentina</v>
      </c>
      <c r="AG1149" s="256">
        <f t="shared" si="2"/>
        <v>1</v>
      </c>
      <c r="AH1149" s="264">
        <f t="shared" si="3"/>
        <v>0</v>
      </c>
      <c r="AI1149" s="264">
        <f t="shared" si="4"/>
        <v>0</v>
      </c>
      <c r="AJ1149" s="263">
        <f t="shared" si="5"/>
        <v>100000</v>
      </c>
      <c r="AK1149" s="263">
        <f t="shared" si="6"/>
        <v>100000</v>
      </c>
      <c r="AL1149" s="265"/>
      <c r="AM1149" s="265"/>
    </row>
    <row r="1150">
      <c r="A1150" s="256">
        <v>1149.0</v>
      </c>
      <c r="B1150" s="257">
        <v>45015.0</v>
      </c>
      <c r="C1150" s="195" t="str">
        <f t="shared" si="9"/>
        <v>32023</v>
      </c>
      <c r="D1150" s="258" t="s">
        <v>2638</v>
      </c>
      <c r="E1150" s="256" t="s">
        <v>1909</v>
      </c>
      <c r="F1150" s="258" t="s">
        <v>1412</v>
      </c>
      <c r="G1150" s="256" t="s">
        <v>64</v>
      </c>
      <c r="H1150" s="256" t="s">
        <v>41</v>
      </c>
      <c r="I1150" s="256" t="s">
        <v>643</v>
      </c>
      <c r="J1150" s="259">
        <v>2.0</v>
      </c>
      <c r="K1150" s="260"/>
      <c r="L1150" s="260"/>
      <c r="M1150" s="260"/>
      <c r="N1150" s="260"/>
      <c r="O1150" s="260"/>
      <c r="P1150" s="260"/>
      <c r="Q1150" s="261"/>
      <c r="R1150" s="261"/>
      <c r="S1150" s="256" t="s">
        <v>98</v>
      </c>
      <c r="T1150" s="256" t="s">
        <v>83</v>
      </c>
      <c r="U1150" s="256" t="s">
        <v>99</v>
      </c>
      <c r="V1150" s="256" t="s">
        <v>1984</v>
      </c>
      <c r="W1150" s="262"/>
      <c r="X1150" s="262"/>
      <c r="Y1150" s="262"/>
      <c r="Z1150" s="262"/>
      <c r="AA1150" s="263">
        <v>40000.0</v>
      </c>
      <c r="AB1150" s="263">
        <v>160000.0</v>
      </c>
      <c r="AC1150" s="24" t="s">
        <v>3283</v>
      </c>
      <c r="AD1150" s="195">
        <v>9904.0</v>
      </c>
      <c r="AE1150" s="38"/>
      <c r="AF1150" s="256" t="str">
        <f t="shared" si="1"/>
        <v>Capital Federal, Argentina</v>
      </c>
      <c r="AG1150" s="256">
        <f t="shared" si="2"/>
        <v>2</v>
      </c>
      <c r="AH1150" s="264">
        <f t="shared" si="3"/>
        <v>0</v>
      </c>
      <c r="AI1150" s="264">
        <f t="shared" si="4"/>
        <v>0</v>
      </c>
      <c r="AJ1150" s="263">
        <f t="shared" si="5"/>
        <v>200000</v>
      </c>
      <c r="AK1150" s="263">
        <f t="shared" si="6"/>
        <v>200000</v>
      </c>
      <c r="AL1150" s="265"/>
      <c r="AM1150" s="265"/>
    </row>
    <row r="1151">
      <c r="A1151" s="256">
        <v>1150.0</v>
      </c>
      <c r="B1151" s="257">
        <v>45015.0</v>
      </c>
      <c r="C1151" s="195" t="str">
        <f t="shared" si="9"/>
        <v>32023</v>
      </c>
      <c r="D1151" s="258" t="s">
        <v>2614</v>
      </c>
      <c r="E1151" s="256" t="s">
        <v>2615</v>
      </c>
      <c r="F1151" s="258" t="s">
        <v>1423</v>
      </c>
      <c r="G1151" s="256" t="s">
        <v>64</v>
      </c>
      <c r="H1151" s="256" t="s">
        <v>41</v>
      </c>
      <c r="I1151" s="256" t="s">
        <v>643</v>
      </c>
      <c r="J1151" s="259">
        <v>1.0</v>
      </c>
      <c r="K1151" s="260"/>
      <c r="L1151" s="260"/>
      <c r="M1151" s="260"/>
      <c r="N1151" s="260"/>
      <c r="O1151" s="260"/>
      <c r="P1151" s="260"/>
      <c r="Q1151" s="261"/>
      <c r="R1151" s="261"/>
      <c r="S1151" s="256" t="s">
        <v>141</v>
      </c>
      <c r="T1151" s="256" t="s">
        <v>83</v>
      </c>
      <c r="U1151" s="256" t="s">
        <v>99</v>
      </c>
      <c r="V1151" s="256" t="s">
        <v>1984</v>
      </c>
      <c r="W1151" s="262"/>
      <c r="X1151" s="262"/>
      <c r="Y1151" s="262"/>
      <c r="Z1151" s="262"/>
      <c r="AA1151" s="263">
        <v>20000.0</v>
      </c>
      <c r="AB1151" s="263">
        <v>70000.0</v>
      </c>
      <c r="AC1151" s="24" t="s">
        <v>3284</v>
      </c>
      <c r="AD1151" s="195">
        <v>9910.0</v>
      </c>
      <c r="AE1151" s="38"/>
      <c r="AF1151" s="256" t="str">
        <f t="shared" si="1"/>
        <v>Capital Federal, Argentina</v>
      </c>
      <c r="AG1151" s="256">
        <f t="shared" si="2"/>
        <v>1</v>
      </c>
      <c r="AH1151" s="264">
        <f t="shared" si="3"/>
        <v>0</v>
      </c>
      <c r="AI1151" s="264">
        <f t="shared" si="4"/>
        <v>0</v>
      </c>
      <c r="AJ1151" s="263">
        <f t="shared" si="5"/>
        <v>90000</v>
      </c>
      <c r="AK1151" s="263">
        <f t="shared" si="6"/>
        <v>90000</v>
      </c>
      <c r="AL1151" s="265"/>
      <c r="AM1151" s="265"/>
    </row>
    <row r="1152">
      <c r="A1152" s="256">
        <v>1151.0</v>
      </c>
      <c r="B1152" s="257">
        <v>45016.0</v>
      </c>
      <c r="C1152" s="195" t="str">
        <f t="shared" si="9"/>
        <v>32023</v>
      </c>
      <c r="D1152" s="258" t="s">
        <v>3285</v>
      </c>
      <c r="E1152" s="256" t="s">
        <v>3286</v>
      </c>
      <c r="F1152" s="258" t="s">
        <v>3287</v>
      </c>
      <c r="G1152" s="256" t="s">
        <v>40</v>
      </c>
      <c r="H1152" s="256" t="s">
        <v>41</v>
      </c>
      <c r="I1152" s="256" t="s">
        <v>643</v>
      </c>
      <c r="J1152" s="259">
        <v>2.0</v>
      </c>
      <c r="K1152" s="259">
        <v>25.0</v>
      </c>
      <c r="L1152" s="260"/>
      <c r="M1152" s="259">
        <v>1.0</v>
      </c>
      <c r="N1152" s="260"/>
      <c r="O1152" s="259">
        <v>1.0</v>
      </c>
      <c r="P1152" s="260"/>
      <c r="Q1152" s="261"/>
      <c r="R1152" s="261"/>
      <c r="S1152" s="256" t="s">
        <v>65</v>
      </c>
      <c r="T1152" s="256" t="s">
        <v>539</v>
      </c>
      <c r="U1152" s="256" t="s">
        <v>342</v>
      </c>
      <c r="V1152" s="256" t="s">
        <v>2935</v>
      </c>
      <c r="W1152" s="262"/>
      <c r="X1152" s="262"/>
      <c r="Y1152" s="262"/>
      <c r="Z1152" s="262"/>
      <c r="AA1152" s="263">
        <v>406000.0</v>
      </c>
      <c r="AB1152" s="263">
        <v>1911000.0</v>
      </c>
      <c r="AC1152" s="24" t="s">
        <v>3288</v>
      </c>
      <c r="AD1152" s="195">
        <v>9888.0</v>
      </c>
      <c r="AE1152" s="38"/>
      <c r="AF1152" s="256" t="str">
        <f t="shared" si="1"/>
        <v>Misiones, Argentina</v>
      </c>
      <c r="AG1152" s="256">
        <f t="shared" si="2"/>
        <v>29</v>
      </c>
      <c r="AH1152" s="264">
        <f t="shared" si="3"/>
        <v>0</v>
      </c>
      <c r="AI1152" s="264">
        <f t="shared" si="4"/>
        <v>0</v>
      </c>
      <c r="AJ1152" s="263">
        <f t="shared" si="5"/>
        <v>2317000</v>
      </c>
      <c r="AK1152" s="263">
        <f t="shared" si="6"/>
        <v>2317000</v>
      </c>
      <c r="AL1152" s="265"/>
      <c r="AM1152" s="265"/>
    </row>
    <row r="1153">
      <c r="A1153" s="256">
        <v>1152.0</v>
      </c>
      <c r="B1153" s="257">
        <v>45016.0</v>
      </c>
      <c r="C1153" s="195" t="str">
        <f t="shared" si="9"/>
        <v>32023</v>
      </c>
      <c r="D1153" s="258" t="s">
        <v>3289</v>
      </c>
      <c r="E1153" s="256" t="s">
        <v>3290</v>
      </c>
      <c r="F1153" s="258" t="s">
        <v>1423</v>
      </c>
      <c r="G1153" s="256" t="s">
        <v>40</v>
      </c>
      <c r="H1153" s="256" t="s">
        <v>41</v>
      </c>
      <c r="I1153" s="256" t="s">
        <v>643</v>
      </c>
      <c r="J1153" s="259">
        <v>1.0</v>
      </c>
      <c r="K1153" s="260"/>
      <c r="L1153" s="260"/>
      <c r="M1153" s="260"/>
      <c r="N1153" s="260"/>
      <c r="O1153" s="260"/>
      <c r="P1153" s="260"/>
      <c r="Q1153" s="261"/>
      <c r="R1153" s="261"/>
      <c r="S1153" s="256" t="s">
        <v>189</v>
      </c>
      <c r="T1153" s="256" t="s">
        <v>66</v>
      </c>
      <c r="U1153" s="256" t="s">
        <v>342</v>
      </c>
      <c r="V1153" s="256" t="s">
        <v>1984</v>
      </c>
      <c r="W1153" s="262"/>
      <c r="X1153" s="262"/>
      <c r="Y1153" s="262"/>
      <c r="Z1153" s="262"/>
      <c r="AA1153" s="263">
        <v>20000.0</v>
      </c>
      <c r="AB1153" s="263">
        <v>70000.0</v>
      </c>
      <c r="AC1153" s="24" t="s">
        <v>3291</v>
      </c>
      <c r="AD1153" s="195">
        <v>9672.0</v>
      </c>
      <c r="AE1153" s="38"/>
      <c r="AF1153" s="256" t="str">
        <f t="shared" si="1"/>
        <v>Buenos Aires, Argentina</v>
      </c>
      <c r="AG1153" s="256">
        <f t="shared" si="2"/>
        <v>1</v>
      </c>
      <c r="AH1153" s="264">
        <f t="shared" si="3"/>
        <v>0</v>
      </c>
      <c r="AI1153" s="264">
        <f t="shared" si="4"/>
        <v>0</v>
      </c>
      <c r="AJ1153" s="263">
        <f t="shared" si="5"/>
        <v>90000</v>
      </c>
      <c r="AK1153" s="263">
        <f t="shared" si="6"/>
        <v>90000</v>
      </c>
      <c r="AL1153" s="265"/>
      <c r="AM1153" s="265"/>
    </row>
    <row r="1154">
      <c r="A1154" s="256">
        <v>1153.0</v>
      </c>
      <c r="B1154" s="257">
        <v>45016.0</v>
      </c>
      <c r="C1154" s="195" t="str">
        <f t="shared" si="9"/>
        <v>32023</v>
      </c>
      <c r="D1154" s="258" t="s">
        <v>1982</v>
      </c>
      <c r="E1154" s="256" t="s">
        <v>1983</v>
      </c>
      <c r="F1154" s="258" t="s">
        <v>3292</v>
      </c>
      <c r="G1154" s="256" t="s">
        <v>64</v>
      </c>
      <c r="H1154" s="256" t="s">
        <v>41</v>
      </c>
      <c r="I1154" s="256" t="s">
        <v>643</v>
      </c>
      <c r="J1154" s="260"/>
      <c r="K1154" s="260"/>
      <c r="L1154" s="260"/>
      <c r="M1154" s="260"/>
      <c r="N1154" s="260"/>
      <c r="O1154" s="260"/>
      <c r="P1154" s="260"/>
      <c r="Q1154" s="261"/>
      <c r="R1154" s="261"/>
      <c r="S1154" s="256" t="s">
        <v>65</v>
      </c>
      <c r="T1154" s="256" t="s">
        <v>66</v>
      </c>
      <c r="U1154" s="256" t="s">
        <v>99</v>
      </c>
      <c r="V1154" s="256" t="s">
        <v>1984</v>
      </c>
      <c r="W1154" s="262"/>
      <c r="X1154" s="262"/>
      <c r="Y1154" s="262"/>
      <c r="Z1154" s="262"/>
      <c r="AA1154" s="263">
        <v>0.0</v>
      </c>
      <c r="AB1154" s="263">
        <v>320000.0</v>
      </c>
      <c r="AC1154" s="24" t="s">
        <v>3293</v>
      </c>
      <c r="AD1154" s="195">
        <v>9814.0</v>
      </c>
      <c r="AE1154" s="38"/>
      <c r="AF1154" s="256" t="str">
        <f t="shared" si="1"/>
        <v>Buenos Aires, Argentina</v>
      </c>
      <c r="AG1154" s="256">
        <f t="shared" si="2"/>
        <v>0</v>
      </c>
      <c r="AH1154" s="264">
        <f t="shared" si="3"/>
        <v>0</v>
      </c>
      <c r="AI1154" s="264">
        <f t="shared" si="4"/>
        <v>0</v>
      </c>
      <c r="AJ1154" s="263">
        <f t="shared" si="5"/>
        <v>320000</v>
      </c>
      <c r="AK1154" s="263">
        <f t="shared" si="6"/>
        <v>320000</v>
      </c>
      <c r="AL1154" s="265"/>
      <c r="AM1154" s="265"/>
    </row>
    <row r="1155">
      <c r="A1155" s="256">
        <v>1154.0</v>
      </c>
      <c r="B1155" s="257">
        <v>45016.0</v>
      </c>
      <c r="C1155" s="195" t="str">
        <f t="shared" si="9"/>
        <v>32023</v>
      </c>
      <c r="D1155" s="258" t="s">
        <v>3294</v>
      </c>
      <c r="E1155" s="256" t="s">
        <v>3295</v>
      </c>
      <c r="F1155" s="258" t="s">
        <v>2141</v>
      </c>
      <c r="G1155" s="256" t="s">
        <v>40</v>
      </c>
      <c r="H1155" s="256" t="s">
        <v>547</v>
      </c>
      <c r="I1155" s="256" t="s">
        <v>42</v>
      </c>
      <c r="J1155" s="259">
        <v>1.0</v>
      </c>
      <c r="K1155" s="259">
        <v>1.0</v>
      </c>
      <c r="L1155" s="260"/>
      <c r="M1155" s="259">
        <v>1.0</v>
      </c>
      <c r="N1155" s="260"/>
      <c r="O1155" s="260"/>
      <c r="P1155" s="260"/>
      <c r="Q1155" s="261"/>
      <c r="R1155" s="261"/>
      <c r="S1155" s="256" t="s">
        <v>114</v>
      </c>
      <c r="T1155" s="256" t="s">
        <v>66</v>
      </c>
      <c r="U1155" s="256" t="s">
        <v>342</v>
      </c>
      <c r="V1155" s="256" t="s">
        <v>2922</v>
      </c>
      <c r="W1155" s="262"/>
      <c r="X1155" s="262"/>
      <c r="Y1155" s="262"/>
      <c r="Z1155" s="262"/>
      <c r="AA1155" s="263">
        <v>21000.0</v>
      </c>
      <c r="AB1155" s="263">
        <v>118800.0</v>
      </c>
      <c r="AC1155" s="24" t="s">
        <v>3296</v>
      </c>
      <c r="AD1155" s="195">
        <v>9922.0</v>
      </c>
      <c r="AE1155" s="38"/>
      <c r="AF1155" s="256" t="str">
        <f t="shared" si="1"/>
        <v>Buenos Aires, Argentina</v>
      </c>
      <c r="AG1155" s="256">
        <f t="shared" si="2"/>
        <v>3</v>
      </c>
      <c r="AH1155" s="264">
        <f t="shared" si="3"/>
        <v>0</v>
      </c>
      <c r="AI1155" s="264">
        <f t="shared" si="4"/>
        <v>0</v>
      </c>
      <c r="AJ1155" s="263">
        <f t="shared" si="5"/>
        <v>139800</v>
      </c>
      <c r="AK1155" s="263">
        <f t="shared" si="6"/>
        <v>139800</v>
      </c>
      <c r="AL1155" s="265"/>
      <c r="AM1155" s="265"/>
    </row>
    <row r="1156">
      <c r="A1156" s="256">
        <v>1155.0</v>
      </c>
      <c r="B1156" s="257">
        <v>45016.0</v>
      </c>
      <c r="C1156" s="195" t="str">
        <f t="shared" si="9"/>
        <v>32023</v>
      </c>
      <c r="D1156" s="258" t="s">
        <v>3127</v>
      </c>
      <c r="E1156" s="256" t="s">
        <v>3128</v>
      </c>
      <c r="F1156" s="258" t="s">
        <v>1415</v>
      </c>
      <c r="G1156" s="256" t="s">
        <v>64</v>
      </c>
      <c r="H1156" s="256" t="s">
        <v>41</v>
      </c>
      <c r="I1156" s="256" t="s">
        <v>643</v>
      </c>
      <c r="J1156" s="260"/>
      <c r="K1156" s="259">
        <v>1.0</v>
      </c>
      <c r="L1156" s="260"/>
      <c r="M1156" s="260"/>
      <c r="N1156" s="260"/>
      <c r="O1156" s="260"/>
      <c r="P1156" s="260"/>
      <c r="Q1156" s="261"/>
      <c r="R1156" s="261"/>
      <c r="S1156" s="256" t="s">
        <v>65</v>
      </c>
      <c r="T1156" s="256" t="s">
        <v>83</v>
      </c>
      <c r="U1156" s="256" t="s">
        <v>99</v>
      </c>
      <c r="V1156" s="256" t="s">
        <v>1984</v>
      </c>
      <c r="W1156" s="262"/>
      <c r="X1156" s="262"/>
      <c r="Y1156" s="262"/>
      <c r="Z1156" s="262"/>
      <c r="AA1156" s="263">
        <v>15000.0</v>
      </c>
      <c r="AB1156" s="263">
        <v>60000.0</v>
      </c>
      <c r="AC1156" s="24" t="s">
        <v>3297</v>
      </c>
      <c r="AD1156" s="195">
        <v>9932.0</v>
      </c>
      <c r="AE1156" s="38"/>
      <c r="AF1156" s="256" t="str">
        <f t="shared" si="1"/>
        <v>Capital Federal, Argentina</v>
      </c>
      <c r="AG1156" s="256">
        <f t="shared" si="2"/>
        <v>1</v>
      </c>
      <c r="AH1156" s="264">
        <f t="shared" si="3"/>
        <v>0</v>
      </c>
      <c r="AI1156" s="264">
        <f t="shared" si="4"/>
        <v>0</v>
      </c>
      <c r="AJ1156" s="263">
        <f t="shared" si="5"/>
        <v>75000</v>
      </c>
      <c r="AK1156" s="263">
        <f t="shared" si="6"/>
        <v>75000</v>
      </c>
      <c r="AL1156" s="265"/>
      <c r="AM1156" s="265"/>
    </row>
    <row r="1157">
      <c r="A1157" s="256">
        <v>1156.0</v>
      </c>
      <c r="B1157" s="257">
        <v>45016.0</v>
      </c>
      <c r="C1157" s="195" t="str">
        <f t="shared" si="9"/>
        <v>32023</v>
      </c>
      <c r="D1157" s="258" t="s">
        <v>3298</v>
      </c>
      <c r="E1157" s="256" t="s">
        <v>1792</v>
      </c>
      <c r="F1157" s="258" t="s">
        <v>3299</v>
      </c>
      <c r="G1157" s="256" t="s">
        <v>64</v>
      </c>
      <c r="H1157" s="256" t="s">
        <v>41</v>
      </c>
      <c r="I1157" s="256" t="s">
        <v>643</v>
      </c>
      <c r="J1157" s="260"/>
      <c r="K1157" s="260"/>
      <c r="L1157" s="260"/>
      <c r="M1157" s="260"/>
      <c r="N1157" s="260"/>
      <c r="O1157" s="260"/>
      <c r="P1157" s="260"/>
      <c r="Q1157" s="261"/>
      <c r="R1157" s="261"/>
      <c r="S1157" s="256" t="s">
        <v>72</v>
      </c>
      <c r="T1157" s="256" t="s">
        <v>66</v>
      </c>
      <c r="U1157" s="256" t="s">
        <v>99</v>
      </c>
      <c r="V1157" s="256" t="s">
        <v>1984</v>
      </c>
      <c r="W1157" s="263">
        <v>52482.0</v>
      </c>
      <c r="X1157" s="263">
        <v>0.0</v>
      </c>
      <c r="Y1157" s="262"/>
      <c r="Z1157" s="262"/>
      <c r="AA1157" s="263">
        <v>0.0</v>
      </c>
      <c r="AB1157" s="263">
        <v>0.0</v>
      </c>
      <c r="AC1157" s="24" t="s">
        <v>3300</v>
      </c>
      <c r="AD1157" s="195">
        <v>9964.0</v>
      </c>
      <c r="AE1157" s="38"/>
      <c r="AF1157" s="256" t="str">
        <f t="shared" si="1"/>
        <v>Buenos Aires, Argentina</v>
      </c>
      <c r="AG1157" s="256">
        <f t="shared" si="2"/>
        <v>0</v>
      </c>
      <c r="AH1157" s="264">
        <f t="shared" si="3"/>
        <v>52482</v>
      </c>
      <c r="AI1157" s="264">
        <f t="shared" si="4"/>
        <v>0</v>
      </c>
      <c r="AJ1157" s="263">
        <f t="shared" si="5"/>
        <v>0</v>
      </c>
      <c r="AK1157" s="263">
        <f t="shared" si="6"/>
        <v>52482</v>
      </c>
      <c r="AL1157" s="265"/>
      <c r="AM1157" s="265"/>
    </row>
    <row r="1158">
      <c r="A1158" s="256">
        <v>1157.0</v>
      </c>
      <c r="B1158" s="257">
        <v>45016.0</v>
      </c>
      <c r="C1158" s="195" t="str">
        <f t="shared" si="9"/>
        <v>32023</v>
      </c>
      <c r="D1158" s="258" t="s">
        <v>2048</v>
      </c>
      <c r="E1158" s="256" t="s">
        <v>2049</v>
      </c>
      <c r="F1158" s="258" t="s">
        <v>3301</v>
      </c>
      <c r="G1158" s="256" t="s">
        <v>64</v>
      </c>
      <c r="H1158" s="256" t="s">
        <v>41</v>
      </c>
      <c r="I1158" s="256" t="s">
        <v>643</v>
      </c>
      <c r="J1158" s="259">
        <v>3.0</v>
      </c>
      <c r="K1158" s="259">
        <v>4.0</v>
      </c>
      <c r="L1158" s="260"/>
      <c r="M1158" s="260"/>
      <c r="N1158" s="260"/>
      <c r="O1158" s="260"/>
      <c r="P1158" s="260"/>
      <c r="Q1158" s="261"/>
      <c r="R1158" s="261"/>
      <c r="S1158" s="256" t="s">
        <v>98</v>
      </c>
      <c r="T1158" s="256" t="s">
        <v>58</v>
      </c>
      <c r="U1158" s="256" t="s">
        <v>99</v>
      </c>
      <c r="V1158" s="256" t="s">
        <v>1984</v>
      </c>
      <c r="W1158" s="262"/>
      <c r="X1158" s="262"/>
      <c r="Y1158" s="262"/>
      <c r="Z1158" s="262"/>
      <c r="AA1158" s="263">
        <v>120000.0</v>
      </c>
      <c r="AB1158" s="263">
        <v>540000.0</v>
      </c>
      <c r="AC1158" s="24" t="s">
        <v>3302</v>
      </c>
      <c r="AD1158" s="195">
        <v>9866.0</v>
      </c>
      <c r="AE1158" s="38"/>
      <c r="AF1158" s="256" t="str">
        <f t="shared" si="1"/>
        <v>Córdoba, Argentina</v>
      </c>
      <c r="AG1158" s="256">
        <f t="shared" si="2"/>
        <v>7</v>
      </c>
      <c r="AH1158" s="264">
        <f t="shared" si="3"/>
        <v>0</v>
      </c>
      <c r="AI1158" s="264">
        <f t="shared" si="4"/>
        <v>0</v>
      </c>
      <c r="AJ1158" s="263">
        <f t="shared" si="5"/>
        <v>660000</v>
      </c>
      <c r="AK1158" s="263">
        <f t="shared" si="6"/>
        <v>660000</v>
      </c>
      <c r="AL1158" s="265"/>
      <c r="AM1158" s="265"/>
    </row>
    <row r="1159">
      <c r="A1159" s="256">
        <v>1158.0</v>
      </c>
      <c r="B1159" s="257">
        <v>45016.0</v>
      </c>
      <c r="C1159" s="195" t="str">
        <f t="shared" si="9"/>
        <v>32023</v>
      </c>
      <c r="D1159" s="258" t="s">
        <v>3303</v>
      </c>
      <c r="E1159" s="256" t="s">
        <v>3304</v>
      </c>
      <c r="F1159" s="258" t="s">
        <v>2056</v>
      </c>
      <c r="G1159" s="256" t="s">
        <v>40</v>
      </c>
      <c r="H1159" s="256" t="s">
        <v>41</v>
      </c>
      <c r="I1159" s="256" t="s">
        <v>42</v>
      </c>
      <c r="J1159" s="259">
        <v>1.0</v>
      </c>
      <c r="K1159" s="260"/>
      <c r="L1159" s="260"/>
      <c r="M1159" s="259">
        <v>1.0</v>
      </c>
      <c r="N1159" s="260"/>
      <c r="O1159" s="260"/>
      <c r="P1159" s="260"/>
      <c r="Q1159" s="261"/>
      <c r="R1159" s="261"/>
      <c r="S1159" s="256" t="s">
        <v>65</v>
      </c>
      <c r="T1159" s="256" t="s">
        <v>66</v>
      </c>
      <c r="U1159" s="256" t="s">
        <v>45</v>
      </c>
      <c r="V1159" s="256" t="s">
        <v>2922</v>
      </c>
      <c r="W1159" s="262"/>
      <c r="X1159" s="262"/>
      <c r="Y1159" s="262"/>
      <c r="Z1159" s="262"/>
      <c r="AA1159" s="263">
        <v>20000.0</v>
      </c>
      <c r="AB1159" s="263">
        <v>160000.0</v>
      </c>
      <c r="AC1159" s="24" t="s">
        <v>3305</v>
      </c>
      <c r="AD1159" s="195">
        <v>9916.0</v>
      </c>
      <c r="AE1159" s="38"/>
      <c r="AF1159" s="256" t="str">
        <f t="shared" si="1"/>
        <v>Buenos Aires, Argentina</v>
      </c>
      <c r="AG1159" s="256">
        <f t="shared" si="2"/>
        <v>2</v>
      </c>
      <c r="AH1159" s="264">
        <f t="shared" si="3"/>
        <v>0</v>
      </c>
      <c r="AI1159" s="264">
        <f t="shared" si="4"/>
        <v>0</v>
      </c>
      <c r="AJ1159" s="263">
        <f t="shared" si="5"/>
        <v>180000</v>
      </c>
      <c r="AK1159" s="263">
        <f t="shared" si="6"/>
        <v>180000</v>
      </c>
      <c r="AL1159" s="265"/>
      <c r="AM1159" s="265"/>
    </row>
    <row r="1160">
      <c r="A1160" s="256">
        <v>1159.0</v>
      </c>
      <c r="B1160" s="257">
        <v>45016.0</v>
      </c>
      <c r="C1160" s="195" t="str">
        <f t="shared" si="9"/>
        <v>32023</v>
      </c>
      <c r="D1160" s="258" t="s">
        <v>3306</v>
      </c>
      <c r="E1160" s="256" t="s">
        <v>3307</v>
      </c>
      <c r="F1160" s="258" t="s">
        <v>2056</v>
      </c>
      <c r="G1160" s="256" t="s">
        <v>40</v>
      </c>
      <c r="H1160" s="256" t="s">
        <v>41</v>
      </c>
      <c r="I1160" s="256" t="s">
        <v>42</v>
      </c>
      <c r="J1160" s="259">
        <v>1.0</v>
      </c>
      <c r="K1160" s="260"/>
      <c r="L1160" s="260"/>
      <c r="M1160" s="259">
        <v>1.0</v>
      </c>
      <c r="N1160" s="260"/>
      <c r="O1160" s="260"/>
      <c r="P1160" s="260"/>
      <c r="Q1160" s="261"/>
      <c r="R1160" s="261"/>
      <c r="S1160" s="256" t="s">
        <v>167</v>
      </c>
      <c r="T1160" s="256" t="s">
        <v>2609</v>
      </c>
      <c r="U1160" s="256" t="s">
        <v>45</v>
      </c>
      <c r="V1160" s="256" t="s">
        <v>3308</v>
      </c>
      <c r="W1160" s="262"/>
      <c r="X1160" s="262"/>
      <c r="Y1160" s="262"/>
      <c r="Z1160" s="262"/>
      <c r="AA1160" s="263">
        <v>40000.0</v>
      </c>
      <c r="AB1160" s="263">
        <v>160000.0</v>
      </c>
      <c r="AC1160" s="24" t="s">
        <v>3309</v>
      </c>
      <c r="AD1160" s="195">
        <v>9840.0</v>
      </c>
      <c r="AE1160" s="38"/>
      <c r="AF1160" s="256" t="str">
        <f t="shared" si="1"/>
        <v>San Juan, Argentina</v>
      </c>
      <c r="AG1160" s="256">
        <f t="shared" si="2"/>
        <v>2</v>
      </c>
      <c r="AH1160" s="264">
        <f t="shared" si="3"/>
        <v>0</v>
      </c>
      <c r="AI1160" s="264">
        <f t="shared" si="4"/>
        <v>0</v>
      </c>
      <c r="AJ1160" s="263">
        <f t="shared" si="5"/>
        <v>200000</v>
      </c>
      <c r="AK1160" s="263">
        <f t="shared" si="6"/>
        <v>200000</v>
      </c>
      <c r="AL1160" s="265"/>
      <c r="AM1160" s="265"/>
    </row>
    <row r="1161">
      <c r="A1161" s="256">
        <v>1160.0</v>
      </c>
      <c r="B1161" s="257">
        <v>45016.0</v>
      </c>
      <c r="C1161" s="195" t="str">
        <f t="shared" si="9"/>
        <v>32023</v>
      </c>
      <c r="D1161" s="258" t="s">
        <v>3310</v>
      </c>
      <c r="E1161" s="256" t="s">
        <v>3311</v>
      </c>
      <c r="F1161" s="258" t="s">
        <v>2063</v>
      </c>
      <c r="G1161" s="256" t="s">
        <v>40</v>
      </c>
      <c r="H1161" s="256" t="s">
        <v>41</v>
      </c>
      <c r="I1161" s="256" t="s">
        <v>643</v>
      </c>
      <c r="J1161" s="259">
        <v>2.0</v>
      </c>
      <c r="K1161" s="259">
        <v>2.0</v>
      </c>
      <c r="L1161" s="260"/>
      <c r="M1161" s="259">
        <v>1.0</v>
      </c>
      <c r="N1161" s="260"/>
      <c r="O1161" s="260"/>
      <c r="P1161" s="260"/>
      <c r="Q1161" s="261"/>
      <c r="R1161" s="261"/>
      <c r="S1161" s="256" t="s">
        <v>114</v>
      </c>
      <c r="T1161" s="256" t="s">
        <v>66</v>
      </c>
      <c r="U1161" s="256" t="s">
        <v>342</v>
      </c>
      <c r="V1161" s="256" t="s">
        <v>988</v>
      </c>
      <c r="W1161" s="262"/>
      <c r="X1161" s="262"/>
      <c r="Y1161" s="262"/>
      <c r="Z1161" s="262"/>
      <c r="AA1161" s="263">
        <v>90000.0</v>
      </c>
      <c r="AB1161" s="263">
        <v>360000.0</v>
      </c>
      <c r="AC1161" s="24" t="s">
        <v>3312</v>
      </c>
      <c r="AD1161" s="195">
        <v>9994.0</v>
      </c>
      <c r="AE1161" s="38"/>
      <c r="AF1161" s="256" t="str">
        <f t="shared" si="1"/>
        <v>Buenos Aires, Argentina</v>
      </c>
      <c r="AG1161" s="256">
        <f t="shared" si="2"/>
        <v>5</v>
      </c>
      <c r="AH1161" s="264">
        <f t="shared" si="3"/>
        <v>0</v>
      </c>
      <c r="AI1161" s="264">
        <f t="shared" si="4"/>
        <v>0</v>
      </c>
      <c r="AJ1161" s="263">
        <f t="shared" si="5"/>
        <v>450000</v>
      </c>
      <c r="AK1161" s="263">
        <f t="shared" si="6"/>
        <v>450000</v>
      </c>
      <c r="AL1161" s="265"/>
      <c r="AM1161" s="265"/>
    </row>
    <row r="1162">
      <c r="A1162" s="256">
        <v>1161.0</v>
      </c>
      <c r="B1162" s="257">
        <v>45016.0</v>
      </c>
      <c r="C1162" s="195" t="str">
        <f t="shared" si="9"/>
        <v>32023</v>
      </c>
      <c r="D1162" s="258" t="s">
        <v>3313</v>
      </c>
      <c r="E1162" s="256" t="s">
        <v>3314</v>
      </c>
      <c r="F1162" s="258" t="s">
        <v>1423</v>
      </c>
      <c r="G1162" s="256" t="s">
        <v>40</v>
      </c>
      <c r="H1162" s="256" t="s">
        <v>41</v>
      </c>
      <c r="I1162" s="256" t="s">
        <v>643</v>
      </c>
      <c r="J1162" s="259">
        <v>1.0</v>
      </c>
      <c r="K1162" s="260"/>
      <c r="L1162" s="260"/>
      <c r="M1162" s="260"/>
      <c r="N1162" s="260"/>
      <c r="O1162" s="260"/>
      <c r="P1162" s="260"/>
      <c r="Q1162" s="261"/>
      <c r="R1162" s="261"/>
      <c r="S1162" s="256" t="s">
        <v>141</v>
      </c>
      <c r="T1162" s="256" t="s">
        <v>66</v>
      </c>
      <c r="U1162" s="256" t="s">
        <v>342</v>
      </c>
      <c r="V1162" s="256" t="s">
        <v>988</v>
      </c>
      <c r="W1162" s="262"/>
      <c r="X1162" s="262"/>
      <c r="Y1162" s="262"/>
      <c r="Z1162" s="262"/>
      <c r="AA1162" s="263">
        <v>20000.0</v>
      </c>
      <c r="AB1162" s="263">
        <v>90000.0</v>
      </c>
      <c r="AC1162" s="24" t="s">
        <v>3315</v>
      </c>
      <c r="AD1162" s="195">
        <v>10016.0</v>
      </c>
      <c r="AE1162" s="38"/>
      <c r="AF1162" s="256" t="str">
        <f t="shared" si="1"/>
        <v>Buenos Aires, Argentina</v>
      </c>
      <c r="AG1162" s="256">
        <f t="shared" si="2"/>
        <v>1</v>
      </c>
      <c r="AH1162" s="264">
        <f t="shared" si="3"/>
        <v>0</v>
      </c>
      <c r="AI1162" s="264">
        <f t="shared" si="4"/>
        <v>0</v>
      </c>
      <c r="AJ1162" s="263">
        <f t="shared" si="5"/>
        <v>110000</v>
      </c>
      <c r="AK1162" s="263">
        <f t="shared" si="6"/>
        <v>110000</v>
      </c>
      <c r="AL1162" s="265"/>
      <c r="AM1162" s="265"/>
    </row>
    <row r="1163">
      <c r="A1163" s="278">
        <v>1162.0</v>
      </c>
      <c r="B1163" s="279">
        <v>45026.0</v>
      </c>
      <c r="C1163" s="195" t="str">
        <f t="shared" si="9"/>
        <v>42023</v>
      </c>
      <c r="D1163" s="280" t="s">
        <v>3029</v>
      </c>
      <c r="E1163" s="278" t="s">
        <v>3030</v>
      </c>
      <c r="F1163" s="280" t="s">
        <v>1423</v>
      </c>
      <c r="G1163" s="278" t="s">
        <v>64</v>
      </c>
      <c r="H1163" s="278" t="s">
        <v>41</v>
      </c>
      <c r="I1163" s="278" t="s">
        <v>643</v>
      </c>
      <c r="J1163" s="281">
        <v>1.0</v>
      </c>
      <c r="K1163" s="282"/>
      <c r="L1163" s="282"/>
      <c r="M1163" s="282"/>
      <c r="N1163" s="282"/>
      <c r="O1163" s="282"/>
      <c r="P1163" s="282"/>
      <c r="Q1163" s="283"/>
      <c r="R1163" s="283"/>
      <c r="S1163" s="278" t="s">
        <v>98</v>
      </c>
      <c r="T1163" s="278" t="s">
        <v>66</v>
      </c>
      <c r="U1163" s="278" t="s">
        <v>99</v>
      </c>
      <c r="V1163" s="278" t="s">
        <v>1984</v>
      </c>
      <c r="W1163" s="284"/>
      <c r="X1163" s="284"/>
      <c r="Y1163" s="284"/>
      <c r="Z1163" s="284"/>
      <c r="AA1163" s="285">
        <v>21250.0</v>
      </c>
      <c r="AB1163" s="285">
        <v>85000.0</v>
      </c>
      <c r="AC1163" s="24" t="s">
        <v>3316</v>
      </c>
      <c r="AD1163" s="195">
        <v>9956.0</v>
      </c>
      <c r="AE1163" s="38"/>
      <c r="AF1163" s="278" t="str">
        <f t="shared" si="1"/>
        <v>Buenos Aires, Argentina</v>
      </c>
      <c r="AG1163" s="278">
        <f t="shared" si="2"/>
        <v>1</v>
      </c>
      <c r="AH1163" s="286">
        <f t="shared" si="3"/>
        <v>0</v>
      </c>
      <c r="AI1163" s="286">
        <f t="shared" si="4"/>
        <v>0</v>
      </c>
      <c r="AJ1163" s="285">
        <f t="shared" si="5"/>
        <v>106250</v>
      </c>
      <c r="AK1163" s="285">
        <f t="shared" si="6"/>
        <v>106250</v>
      </c>
      <c r="AL1163" s="287"/>
      <c r="AM1163" s="287"/>
    </row>
    <row r="1164">
      <c r="A1164" s="278">
        <v>1163.0</v>
      </c>
      <c r="B1164" s="279">
        <v>45029.0</v>
      </c>
      <c r="C1164" s="195" t="str">
        <f t="shared" si="9"/>
        <v>42023</v>
      </c>
      <c r="D1164" s="280" t="s">
        <v>3317</v>
      </c>
      <c r="E1164" s="278" t="s">
        <v>3318</v>
      </c>
      <c r="F1164" s="280" t="s">
        <v>3319</v>
      </c>
      <c r="G1164" s="278" t="s">
        <v>40</v>
      </c>
      <c r="H1164" s="278" t="s">
        <v>41</v>
      </c>
      <c r="I1164" s="278" t="s">
        <v>42</v>
      </c>
      <c r="J1164" s="281">
        <v>2.0</v>
      </c>
      <c r="K1164" s="281">
        <v>5.0</v>
      </c>
      <c r="L1164" s="282"/>
      <c r="M1164" s="281">
        <v>1.0</v>
      </c>
      <c r="N1164" s="282"/>
      <c r="O1164" s="282"/>
      <c r="P1164" s="282"/>
      <c r="Q1164" s="283"/>
      <c r="R1164" s="283"/>
      <c r="S1164" s="278" t="s">
        <v>114</v>
      </c>
      <c r="T1164" s="278" t="s">
        <v>66</v>
      </c>
      <c r="U1164" s="278" t="s">
        <v>53</v>
      </c>
      <c r="V1164" s="278" t="s">
        <v>2922</v>
      </c>
      <c r="W1164" s="284"/>
      <c r="X1164" s="284"/>
      <c r="Y1164" s="284"/>
      <c r="Z1164" s="284"/>
      <c r="AA1164" s="285">
        <v>122185.0</v>
      </c>
      <c r="AB1164" s="285">
        <v>573740.0</v>
      </c>
      <c r="AC1164" s="24" t="s">
        <v>3320</v>
      </c>
      <c r="AD1164" s="195">
        <v>9990.0</v>
      </c>
      <c r="AE1164" s="38"/>
      <c r="AF1164" s="278" t="str">
        <f t="shared" si="1"/>
        <v>Buenos Aires, Argentina</v>
      </c>
      <c r="AG1164" s="278">
        <f t="shared" si="2"/>
        <v>8</v>
      </c>
      <c r="AH1164" s="286">
        <f t="shared" si="3"/>
        <v>0</v>
      </c>
      <c r="AI1164" s="286">
        <f t="shared" si="4"/>
        <v>0</v>
      </c>
      <c r="AJ1164" s="285">
        <f t="shared" si="5"/>
        <v>695925</v>
      </c>
      <c r="AK1164" s="285">
        <f t="shared" si="6"/>
        <v>695925</v>
      </c>
      <c r="AL1164" s="287"/>
      <c r="AM1164" s="287"/>
    </row>
    <row r="1165">
      <c r="A1165" s="278">
        <v>1164.0</v>
      </c>
      <c r="B1165" s="279">
        <v>45029.0</v>
      </c>
      <c r="C1165" s="195" t="str">
        <f t="shared" si="9"/>
        <v>42023</v>
      </c>
      <c r="D1165" s="280" t="s">
        <v>3321</v>
      </c>
      <c r="E1165" s="278" t="s">
        <v>3322</v>
      </c>
      <c r="F1165" s="280" t="s">
        <v>2237</v>
      </c>
      <c r="G1165" s="278" t="s">
        <v>40</v>
      </c>
      <c r="H1165" s="278" t="s">
        <v>547</v>
      </c>
      <c r="I1165" s="278" t="s">
        <v>42</v>
      </c>
      <c r="J1165" s="281">
        <v>1.0</v>
      </c>
      <c r="K1165" s="281">
        <v>2.0</v>
      </c>
      <c r="L1165" s="282"/>
      <c r="M1165" s="281">
        <v>1.0</v>
      </c>
      <c r="N1165" s="282"/>
      <c r="O1165" s="282"/>
      <c r="P1165" s="282"/>
      <c r="Q1165" s="283"/>
      <c r="R1165" s="283"/>
      <c r="S1165" s="278" t="s">
        <v>907</v>
      </c>
      <c r="T1165" s="278" t="s">
        <v>66</v>
      </c>
      <c r="U1165" s="278" t="s">
        <v>342</v>
      </c>
      <c r="V1165" s="278" t="s">
        <v>2922</v>
      </c>
      <c r="W1165" s="284"/>
      <c r="X1165" s="284"/>
      <c r="Y1165" s="284"/>
      <c r="Z1165" s="284"/>
      <c r="AA1165" s="285">
        <v>31874.0</v>
      </c>
      <c r="AB1165" s="285">
        <v>160646.0</v>
      </c>
      <c r="AC1165" s="24" t="s">
        <v>3323</v>
      </c>
      <c r="AD1165" s="195">
        <v>9970.0</v>
      </c>
      <c r="AE1165" s="38"/>
      <c r="AF1165" s="278" t="str">
        <f t="shared" si="1"/>
        <v>Buenos Aires, Argentina</v>
      </c>
      <c r="AG1165" s="278">
        <f t="shared" si="2"/>
        <v>4</v>
      </c>
      <c r="AH1165" s="286">
        <f t="shared" si="3"/>
        <v>0</v>
      </c>
      <c r="AI1165" s="286">
        <f t="shared" si="4"/>
        <v>0</v>
      </c>
      <c r="AJ1165" s="285">
        <f t="shared" si="5"/>
        <v>192520</v>
      </c>
      <c r="AK1165" s="285">
        <f t="shared" si="6"/>
        <v>192520</v>
      </c>
      <c r="AL1165" s="287"/>
      <c r="AM1165" s="287"/>
    </row>
    <row r="1166">
      <c r="A1166" s="278">
        <v>1165.0</v>
      </c>
      <c r="B1166" s="279">
        <v>45029.0</v>
      </c>
      <c r="C1166" s="195" t="str">
        <f t="shared" si="9"/>
        <v>42023</v>
      </c>
      <c r="D1166" s="280" t="s">
        <v>2836</v>
      </c>
      <c r="E1166" s="278" t="s">
        <v>2837</v>
      </c>
      <c r="F1166" s="280" t="s">
        <v>3324</v>
      </c>
      <c r="G1166" s="278" t="s">
        <v>64</v>
      </c>
      <c r="H1166" s="278" t="s">
        <v>41</v>
      </c>
      <c r="I1166" s="278" t="s">
        <v>643</v>
      </c>
      <c r="J1166" s="282"/>
      <c r="K1166" s="282"/>
      <c r="L1166" s="282"/>
      <c r="M1166" s="282"/>
      <c r="N1166" s="282"/>
      <c r="O1166" s="282"/>
      <c r="P1166" s="282"/>
      <c r="Q1166" s="283"/>
      <c r="R1166" s="283"/>
      <c r="S1166" s="278" t="s">
        <v>105</v>
      </c>
      <c r="T1166" s="278" t="s">
        <v>66</v>
      </c>
      <c r="U1166" s="278" t="s">
        <v>99</v>
      </c>
      <c r="V1166" s="278" t="s">
        <v>1984</v>
      </c>
      <c r="W1166" s="285">
        <v>22022.0</v>
      </c>
      <c r="X1166" s="285">
        <v>88088.0</v>
      </c>
      <c r="Y1166" s="284"/>
      <c r="Z1166" s="284"/>
      <c r="AA1166" s="285">
        <v>0.0</v>
      </c>
      <c r="AB1166" s="285">
        <v>0.0</v>
      </c>
      <c r="AC1166" s="24" t="s">
        <v>3325</v>
      </c>
      <c r="AD1166" s="195">
        <v>10042.0</v>
      </c>
      <c r="AE1166" s="38"/>
      <c r="AF1166" s="278" t="str">
        <f t="shared" si="1"/>
        <v>Buenos Aires, Argentina</v>
      </c>
      <c r="AG1166" s="278">
        <f t="shared" si="2"/>
        <v>0</v>
      </c>
      <c r="AH1166" s="286">
        <f t="shared" si="3"/>
        <v>110110</v>
      </c>
      <c r="AI1166" s="286">
        <f t="shared" si="4"/>
        <v>0</v>
      </c>
      <c r="AJ1166" s="285">
        <f t="shared" si="5"/>
        <v>0</v>
      </c>
      <c r="AK1166" s="285">
        <f t="shared" si="6"/>
        <v>110110</v>
      </c>
      <c r="AL1166" s="287"/>
      <c r="AM1166" s="287"/>
    </row>
    <row r="1167">
      <c r="A1167" s="278">
        <v>1166.0</v>
      </c>
      <c r="B1167" s="279">
        <v>45030.0</v>
      </c>
      <c r="C1167" s="195" t="str">
        <f t="shared" si="9"/>
        <v>42023</v>
      </c>
      <c r="D1167" s="280" t="s">
        <v>3326</v>
      </c>
      <c r="E1167" s="278" t="s">
        <v>2837</v>
      </c>
      <c r="F1167" s="280" t="s">
        <v>1423</v>
      </c>
      <c r="G1167" s="278" t="s">
        <v>64</v>
      </c>
      <c r="H1167" s="278" t="s">
        <v>41</v>
      </c>
      <c r="I1167" s="278" t="s">
        <v>643</v>
      </c>
      <c r="J1167" s="281">
        <v>1.0</v>
      </c>
      <c r="K1167" s="282"/>
      <c r="L1167" s="282"/>
      <c r="M1167" s="282"/>
      <c r="N1167" s="282"/>
      <c r="O1167" s="282"/>
      <c r="P1167" s="282"/>
      <c r="Q1167" s="283"/>
      <c r="R1167" s="283"/>
      <c r="S1167" s="278" t="s">
        <v>105</v>
      </c>
      <c r="T1167" s="278" t="s">
        <v>66</v>
      </c>
      <c r="U1167" s="278" t="s">
        <v>99</v>
      </c>
      <c r="V1167" s="278" t="s">
        <v>1984</v>
      </c>
      <c r="W1167" s="284"/>
      <c r="X1167" s="284"/>
      <c r="Y1167" s="284"/>
      <c r="Z1167" s="284"/>
      <c r="AA1167" s="285">
        <v>21250.0</v>
      </c>
      <c r="AB1167" s="285">
        <v>85000.0</v>
      </c>
      <c r="AC1167" s="24" t="s">
        <v>3327</v>
      </c>
      <c r="AD1167" s="195">
        <v>10008.0</v>
      </c>
      <c r="AE1167" s="38"/>
      <c r="AF1167" s="278" t="str">
        <f t="shared" si="1"/>
        <v>Buenos Aires, Argentina</v>
      </c>
      <c r="AG1167" s="278">
        <f t="shared" si="2"/>
        <v>1</v>
      </c>
      <c r="AH1167" s="286">
        <f t="shared" si="3"/>
        <v>0</v>
      </c>
      <c r="AI1167" s="286">
        <f t="shared" si="4"/>
        <v>0</v>
      </c>
      <c r="AJ1167" s="285">
        <f t="shared" si="5"/>
        <v>106250</v>
      </c>
      <c r="AK1167" s="285">
        <f t="shared" si="6"/>
        <v>106250</v>
      </c>
      <c r="AL1167" s="287"/>
      <c r="AM1167" s="287"/>
    </row>
    <row r="1168">
      <c r="A1168" s="278">
        <v>1167.0</v>
      </c>
      <c r="B1168" s="279">
        <v>45030.0</v>
      </c>
      <c r="C1168" s="195" t="str">
        <f t="shared" si="9"/>
        <v>42023</v>
      </c>
      <c r="D1168" s="280" t="s">
        <v>3328</v>
      </c>
      <c r="E1168" s="278" t="s">
        <v>3329</v>
      </c>
      <c r="F1168" s="280" t="s">
        <v>1423</v>
      </c>
      <c r="G1168" s="278" t="s">
        <v>40</v>
      </c>
      <c r="H1168" s="278" t="s">
        <v>547</v>
      </c>
      <c r="I1168" s="278" t="s">
        <v>643</v>
      </c>
      <c r="J1168" s="281">
        <v>1.0</v>
      </c>
      <c r="K1168" s="282"/>
      <c r="L1168" s="282"/>
      <c r="M1168" s="282"/>
      <c r="N1168" s="282"/>
      <c r="O1168" s="282"/>
      <c r="P1168" s="282"/>
      <c r="Q1168" s="283"/>
      <c r="R1168" s="283"/>
      <c r="S1168" s="278" t="s">
        <v>114</v>
      </c>
      <c r="T1168" s="278" t="s">
        <v>66</v>
      </c>
      <c r="U1168" s="278" t="s">
        <v>45</v>
      </c>
      <c r="V1168" s="278" t="s">
        <v>2935</v>
      </c>
      <c r="W1168" s="284"/>
      <c r="X1168" s="284"/>
      <c r="Y1168" s="284"/>
      <c r="Z1168" s="284"/>
      <c r="AA1168" s="285">
        <v>12750.0</v>
      </c>
      <c r="AB1168" s="285">
        <v>45900.0</v>
      </c>
      <c r="AC1168" s="24" t="s">
        <v>3330</v>
      </c>
      <c r="AD1168" s="195">
        <v>8378.0</v>
      </c>
      <c r="AE1168" s="38"/>
      <c r="AF1168" s="278" t="str">
        <f t="shared" si="1"/>
        <v>Buenos Aires, Argentina</v>
      </c>
      <c r="AG1168" s="278">
        <f t="shared" si="2"/>
        <v>1</v>
      </c>
      <c r="AH1168" s="286">
        <f t="shared" si="3"/>
        <v>0</v>
      </c>
      <c r="AI1168" s="286">
        <f t="shared" si="4"/>
        <v>0</v>
      </c>
      <c r="AJ1168" s="285">
        <f t="shared" si="5"/>
        <v>58650</v>
      </c>
      <c r="AK1168" s="285">
        <f t="shared" si="6"/>
        <v>58650</v>
      </c>
      <c r="AL1168" s="287"/>
      <c r="AM1168" s="287"/>
    </row>
    <row r="1169">
      <c r="A1169" s="278">
        <v>1168.0</v>
      </c>
      <c r="B1169" s="279">
        <v>45035.0</v>
      </c>
      <c r="C1169" s="195" t="str">
        <f t="shared" si="9"/>
        <v>42023</v>
      </c>
      <c r="D1169" s="280" t="s">
        <v>3331</v>
      </c>
      <c r="E1169" s="278" t="s">
        <v>3332</v>
      </c>
      <c r="F1169" s="280" t="s">
        <v>3333</v>
      </c>
      <c r="G1169" s="278" t="s">
        <v>64</v>
      </c>
      <c r="H1169" s="278" t="s">
        <v>41</v>
      </c>
      <c r="I1169" s="278" t="s">
        <v>643</v>
      </c>
      <c r="J1169" s="282"/>
      <c r="K1169" s="282"/>
      <c r="L1169" s="282"/>
      <c r="M1169" s="282"/>
      <c r="N1169" s="282"/>
      <c r="O1169" s="282"/>
      <c r="P1169" s="282"/>
      <c r="Q1169" s="283"/>
      <c r="R1169" s="283"/>
      <c r="S1169" s="278" t="s">
        <v>109</v>
      </c>
      <c r="T1169" s="278" t="s">
        <v>66</v>
      </c>
      <c r="U1169" s="278" t="s">
        <v>99</v>
      </c>
      <c r="V1169" s="278" t="s">
        <v>1984</v>
      </c>
      <c r="W1169" s="284"/>
      <c r="X1169" s="284"/>
      <c r="Y1169" s="284"/>
      <c r="Z1169" s="284"/>
      <c r="AA1169" s="285">
        <v>0.0</v>
      </c>
      <c r="AB1169" s="285">
        <v>34000.0</v>
      </c>
      <c r="AC1169" s="24" t="s">
        <v>3334</v>
      </c>
      <c r="AD1169" s="195">
        <v>10078.0</v>
      </c>
      <c r="AE1169" s="38"/>
      <c r="AF1169" s="278" t="str">
        <f t="shared" si="1"/>
        <v>Buenos Aires, Argentina</v>
      </c>
      <c r="AG1169" s="278">
        <f t="shared" si="2"/>
        <v>0</v>
      </c>
      <c r="AH1169" s="286">
        <f t="shared" si="3"/>
        <v>0</v>
      </c>
      <c r="AI1169" s="286">
        <f t="shared" si="4"/>
        <v>0</v>
      </c>
      <c r="AJ1169" s="285">
        <f t="shared" si="5"/>
        <v>34000</v>
      </c>
      <c r="AK1169" s="285">
        <f t="shared" si="6"/>
        <v>34000</v>
      </c>
      <c r="AL1169" s="287"/>
      <c r="AM1169" s="287"/>
    </row>
    <row r="1170">
      <c r="A1170" s="278">
        <v>1169.0</v>
      </c>
      <c r="B1170" s="279">
        <v>45035.0</v>
      </c>
      <c r="C1170" s="195" t="str">
        <f t="shared" si="9"/>
        <v>42023</v>
      </c>
      <c r="D1170" s="280" t="s">
        <v>3335</v>
      </c>
      <c r="E1170" s="278" t="s">
        <v>3336</v>
      </c>
      <c r="F1170" s="280" t="s">
        <v>1878</v>
      </c>
      <c r="G1170" s="278" t="s">
        <v>64</v>
      </c>
      <c r="H1170" s="278" t="s">
        <v>41</v>
      </c>
      <c r="I1170" s="278" t="s">
        <v>643</v>
      </c>
      <c r="J1170" s="282"/>
      <c r="K1170" s="282"/>
      <c r="L1170" s="282"/>
      <c r="M1170" s="282"/>
      <c r="N1170" s="281">
        <v>1.0</v>
      </c>
      <c r="O1170" s="282"/>
      <c r="P1170" s="282"/>
      <c r="Q1170" s="283"/>
      <c r="R1170" s="283"/>
      <c r="S1170" s="278" t="s">
        <v>89</v>
      </c>
      <c r="T1170" s="278" t="s">
        <v>83</v>
      </c>
      <c r="U1170" s="278" t="s">
        <v>99</v>
      </c>
      <c r="V1170" s="278" t="s">
        <v>1984</v>
      </c>
      <c r="W1170" s="284"/>
      <c r="X1170" s="284"/>
      <c r="Y1170" s="284"/>
      <c r="Z1170" s="284"/>
      <c r="AA1170" s="285">
        <v>21250.0</v>
      </c>
      <c r="AB1170" s="285">
        <v>106250.0</v>
      </c>
      <c r="AC1170" s="24" t="s">
        <v>3337</v>
      </c>
      <c r="AD1170" s="195">
        <v>10064.0</v>
      </c>
      <c r="AE1170" s="38"/>
      <c r="AF1170" s="278" t="str">
        <f t="shared" si="1"/>
        <v>Capital Federal, Argentina</v>
      </c>
      <c r="AG1170" s="278">
        <f t="shared" si="2"/>
        <v>1</v>
      </c>
      <c r="AH1170" s="286">
        <f t="shared" si="3"/>
        <v>0</v>
      </c>
      <c r="AI1170" s="286">
        <f t="shared" si="4"/>
        <v>0</v>
      </c>
      <c r="AJ1170" s="285">
        <f t="shared" si="5"/>
        <v>127500</v>
      </c>
      <c r="AK1170" s="285">
        <f t="shared" si="6"/>
        <v>127500</v>
      </c>
      <c r="AL1170" s="287"/>
      <c r="AM1170" s="287"/>
    </row>
    <row r="1171">
      <c r="A1171" s="278">
        <v>1170.0</v>
      </c>
      <c r="B1171" s="279">
        <v>45035.0</v>
      </c>
      <c r="C1171" s="195" t="str">
        <f t="shared" si="9"/>
        <v>42023</v>
      </c>
      <c r="D1171" s="280" t="s">
        <v>3338</v>
      </c>
      <c r="E1171" s="278" t="s">
        <v>3339</v>
      </c>
      <c r="F1171" s="280" t="s">
        <v>2141</v>
      </c>
      <c r="G1171" s="278" t="s">
        <v>40</v>
      </c>
      <c r="H1171" s="278" t="s">
        <v>41</v>
      </c>
      <c r="I1171" s="278" t="s">
        <v>42</v>
      </c>
      <c r="J1171" s="281">
        <v>1.0</v>
      </c>
      <c r="K1171" s="281">
        <v>1.0</v>
      </c>
      <c r="L1171" s="282"/>
      <c r="M1171" s="281">
        <v>1.0</v>
      </c>
      <c r="N1171" s="282"/>
      <c r="O1171" s="282"/>
      <c r="P1171" s="282"/>
      <c r="Q1171" s="283"/>
      <c r="R1171" s="283"/>
      <c r="S1171" s="278" t="s">
        <v>43</v>
      </c>
      <c r="T1171" s="278" t="s">
        <v>539</v>
      </c>
      <c r="U1171" s="278" t="s">
        <v>45</v>
      </c>
      <c r="V1171" s="278" t="s">
        <v>2922</v>
      </c>
      <c r="W1171" s="284"/>
      <c r="X1171" s="284"/>
      <c r="Y1171" s="284"/>
      <c r="Z1171" s="284"/>
      <c r="AA1171" s="285">
        <v>31187.0</v>
      </c>
      <c r="AB1171" s="285">
        <v>209748.0</v>
      </c>
      <c r="AC1171" s="24" t="s">
        <v>3340</v>
      </c>
      <c r="AD1171" s="195">
        <v>9982.0</v>
      </c>
      <c r="AE1171" s="38"/>
      <c r="AF1171" s="278" t="str">
        <f t="shared" si="1"/>
        <v>Misiones, Argentina</v>
      </c>
      <c r="AG1171" s="278">
        <f t="shared" si="2"/>
        <v>3</v>
      </c>
      <c r="AH1171" s="286">
        <f t="shared" si="3"/>
        <v>0</v>
      </c>
      <c r="AI1171" s="286">
        <f t="shared" si="4"/>
        <v>0</v>
      </c>
      <c r="AJ1171" s="285">
        <f t="shared" si="5"/>
        <v>240935</v>
      </c>
      <c r="AK1171" s="285">
        <f t="shared" si="6"/>
        <v>240935</v>
      </c>
      <c r="AL1171" s="287"/>
      <c r="AM1171" s="287"/>
    </row>
    <row r="1172">
      <c r="A1172" s="278">
        <v>1171.0</v>
      </c>
      <c r="B1172" s="279">
        <v>45040.0</v>
      </c>
      <c r="C1172" s="195" t="str">
        <f t="shared" si="9"/>
        <v>42023</v>
      </c>
      <c r="D1172" s="280" t="s">
        <v>3303</v>
      </c>
      <c r="E1172" s="278" t="s">
        <v>3304</v>
      </c>
      <c r="F1172" s="280" t="s">
        <v>3341</v>
      </c>
      <c r="G1172" s="278" t="s">
        <v>64</v>
      </c>
      <c r="H1172" s="278" t="s">
        <v>41</v>
      </c>
      <c r="I1172" s="278" t="s">
        <v>643</v>
      </c>
      <c r="J1172" s="282"/>
      <c r="K1172" s="282"/>
      <c r="L1172" s="282"/>
      <c r="M1172" s="282"/>
      <c r="N1172" s="282"/>
      <c r="O1172" s="282"/>
      <c r="P1172" s="282"/>
      <c r="Q1172" s="283"/>
      <c r="R1172" s="283"/>
      <c r="S1172" s="278" t="s">
        <v>65</v>
      </c>
      <c r="T1172" s="278" t="s">
        <v>66</v>
      </c>
      <c r="U1172" s="278" t="s">
        <v>99</v>
      </c>
      <c r="V1172" s="278" t="s">
        <v>1984</v>
      </c>
      <c r="W1172" s="284"/>
      <c r="X1172" s="284"/>
      <c r="Y1172" s="284"/>
      <c r="Z1172" s="284"/>
      <c r="AA1172" s="285">
        <v>0.0</v>
      </c>
      <c r="AB1172" s="285">
        <v>153000.0</v>
      </c>
      <c r="AC1172" s="24" t="s">
        <v>3342</v>
      </c>
      <c r="AD1172" s="195">
        <v>10084.0</v>
      </c>
      <c r="AE1172" s="38"/>
      <c r="AF1172" s="278" t="str">
        <f t="shared" si="1"/>
        <v>Buenos Aires, Argentina</v>
      </c>
      <c r="AG1172" s="278">
        <f t="shared" si="2"/>
        <v>0</v>
      </c>
      <c r="AH1172" s="286">
        <f t="shared" si="3"/>
        <v>0</v>
      </c>
      <c r="AI1172" s="286">
        <f t="shared" si="4"/>
        <v>0</v>
      </c>
      <c r="AJ1172" s="285">
        <f t="shared" si="5"/>
        <v>153000</v>
      </c>
      <c r="AK1172" s="285">
        <f t="shared" si="6"/>
        <v>153000</v>
      </c>
      <c r="AL1172" s="287"/>
      <c r="AM1172" s="287"/>
    </row>
    <row r="1173">
      <c r="A1173" s="278">
        <v>1172.0</v>
      </c>
      <c r="B1173" s="279">
        <v>45041.0</v>
      </c>
      <c r="C1173" s="195" t="str">
        <f t="shared" si="9"/>
        <v>42023</v>
      </c>
      <c r="D1173" s="280" t="s">
        <v>2365</v>
      </c>
      <c r="E1173" s="278" t="s">
        <v>2366</v>
      </c>
      <c r="F1173" s="280" t="s">
        <v>1427</v>
      </c>
      <c r="G1173" s="278" t="s">
        <v>64</v>
      </c>
      <c r="H1173" s="278" t="s">
        <v>41</v>
      </c>
      <c r="I1173" s="278" t="s">
        <v>643</v>
      </c>
      <c r="J1173" s="282"/>
      <c r="K1173" s="281">
        <v>2.0</v>
      </c>
      <c r="L1173" s="282"/>
      <c r="M1173" s="282"/>
      <c r="N1173" s="282"/>
      <c r="O1173" s="282"/>
      <c r="P1173" s="282"/>
      <c r="Q1173" s="283"/>
      <c r="R1173" s="283"/>
      <c r="S1173" s="278" t="s">
        <v>65</v>
      </c>
      <c r="T1173" s="278" t="s">
        <v>83</v>
      </c>
      <c r="U1173" s="278" t="s">
        <v>99</v>
      </c>
      <c r="V1173" s="278" t="s">
        <v>1984</v>
      </c>
      <c r="W1173" s="284"/>
      <c r="X1173" s="284"/>
      <c r="Y1173" s="284"/>
      <c r="Z1173" s="284"/>
      <c r="AA1173" s="285">
        <v>31874.0</v>
      </c>
      <c r="AB1173" s="285">
        <v>127496.0</v>
      </c>
      <c r="AC1173" s="24" t="s">
        <v>3343</v>
      </c>
      <c r="AD1173" s="195">
        <v>10120.0</v>
      </c>
      <c r="AE1173" s="38"/>
      <c r="AF1173" s="278" t="str">
        <f t="shared" si="1"/>
        <v>Capital Federal, Argentina</v>
      </c>
      <c r="AG1173" s="278">
        <f t="shared" si="2"/>
        <v>2</v>
      </c>
      <c r="AH1173" s="286">
        <f t="shared" si="3"/>
        <v>0</v>
      </c>
      <c r="AI1173" s="286">
        <f t="shared" si="4"/>
        <v>0</v>
      </c>
      <c r="AJ1173" s="285">
        <f t="shared" si="5"/>
        <v>159370</v>
      </c>
      <c r="AK1173" s="285">
        <f t="shared" si="6"/>
        <v>159370</v>
      </c>
      <c r="AL1173" s="287"/>
      <c r="AM1173" s="287"/>
    </row>
    <row r="1174">
      <c r="A1174" s="278">
        <v>1173.0</v>
      </c>
      <c r="B1174" s="279">
        <v>45041.0</v>
      </c>
      <c r="C1174" s="195" t="str">
        <f t="shared" si="9"/>
        <v>42023</v>
      </c>
      <c r="D1174" s="280" t="s">
        <v>3321</v>
      </c>
      <c r="E1174" s="278" t="s">
        <v>3322</v>
      </c>
      <c r="F1174" s="280" t="s">
        <v>1415</v>
      </c>
      <c r="G1174" s="278" t="s">
        <v>64</v>
      </c>
      <c r="H1174" s="278" t="s">
        <v>547</v>
      </c>
      <c r="I1174" s="278" t="s">
        <v>643</v>
      </c>
      <c r="J1174" s="282"/>
      <c r="K1174" s="281">
        <v>1.0</v>
      </c>
      <c r="L1174" s="282"/>
      <c r="M1174" s="282"/>
      <c r="N1174" s="282"/>
      <c r="O1174" s="282"/>
      <c r="P1174" s="282"/>
      <c r="Q1174" s="283"/>
      <c r="R1174" s="283"/>
      <c r="S1174" s="278" t="s">
        <v>907</v>
      </c>
      <c r="T1174" s="278" t="s">
        <v>66</v>
      </c>
      <c r="U1174" s="278" t="s">
        <v>99</v>
      </c>
      <c r="V1174" s="278" t="s">
        <v>2922</v>
      </c>
      <c r="W1174" s="284"/>
      <c r="X1174" s="284"/>
      <c r="Y1174" s="284"/>
      <c r="Z1174" s="284"/>
      <c r="AA1174" s="285">
        <v>9562.0</v>
      </c>
      <c r="AB1174" s="285">
        <v>34423.0</v>
      </c>
      <c r="AC1174" s="24" t="s">
        <v>3344</v>
      </c>
      <c r="AD1174" s="195">
        <v>10124.0</v>
      </c>
      <c r="AE1174" s="38"/>
      <c r="AF1174" s="278" t="str">
        <f t="shared" si="1"/>
        <v>Buenos Aires, Argentina</v>
      </c>
      <c r="AG1174" s="278">
        <f t="shared" si="2"/>
        <v>1</v>
      </c>
      <c r="AH1174" s="286">
        <f t="shared" si="3"/>
        <v>0</v>
      </c>
      <c r="AI1174" s="286">
        <f t="shared" si="4"/>
        <v>0</v>
      </c>
      <c r="AJ1174" s="285">
        <f t="shared" si="5"/>
        <v>43985</v>
      </c>
      <c r="AK1174" s="285">
        <f t="shared" si="6"/>
        <v>43985</v>
      </c>
      <c r="AL1174" s="287"/>
      <c r="AM1174" s="287"/>
    </row>
    <row r="1175">
      <c r="A1175" s="278">
        <v>1174.0</v>
      </c>
      <c r="B1175" s="279">
        <v>45043.0</v>
      </c>
      <c r="C1175" s="195" t="str">
        <f t="shared" si="9"/>
        <v>42023</v>
      </c>
      <c r="D1175" s="280" t="s">
        <v>3345</v>
      </c>
      <c r="E1175" s="278" t="s">
        <v>3346</v>
      </c>
      <c r="F1175" s="280" t="s">
        <v>2141</v>
      </c>
      <c r="G1175" s="278" t="s">
        <v>40</v>
      </c>
      <c r="H1175" s="278" t="s">
        <v>41</v>
      </c>
      <c r="I1175" s="278" t="s">
        <v>42</v>
      </c>
      <c r="J1175" s="281">
        <v>1.0</v>
      </c>
      <c r="K1175" s="281">
        <v>1.0</v>
      </c>
      <c r="L1175" s="282"/>
      <c r="M1175" s="281">
        <v>1.0</v>
      </c>
      <c r="N1175" s="282"/>
      <c r="O1175" s="282"/>
      <c r="P1175" s="282"/>
      <c r="Q1175" s="283"/>
      <c r="R1175" s="283"/>
      <c r="S1175" s="278" t="s">
        <v>167</v>
      </c>
      <c r="T1175" s="278" t="s">
        <v>66</v>
      </c>
      <c r="U1175" s="278" t="s">
        <v>45</v>
      </c>
      <c r="V1175" s="278" t="s">
        <v>2922</v>
      </c>
      <c r="W1175" s="284"/>
      <c r="X1175" s="284"/>
      <c r="Y1175" s="284"/>
      <c r="Z1175" s="284"/>
      <c r="AA1175" s="285">
        <v>36647.0</v>
      </c>
      <c r="AB1175" s="285">
        <v>231588.0</v>
      </c>
      <c r="AC1175" s="24" t="s">
        <v>3347</v>
      </c>
      <c r="AD1175" s="195">
        <v>10072.0</v>
      </c>
      <c r="AE1175" s="38"/>
      <c r="AF1175" s="278" t="str">
        <f t="shared" si="1"/>
        <v>Buenos Aires, Argentina</v>
      </c>
      <c r="AG1175" s="278">
        <f t="shared" si="2"/>
        <v>3</v>
      </c>
      <c r="AH1175" s="286">
        <f t="shared" si="3"/>
        <v>0</v>
      </c>
      <c r="AI1175" s="286">
        <f t="shared" si="4"/>
        <v>0</v>
      </c>
      <c r="AJ1175" s="285">
        <f t="shared" si="5"/>
        <v>268235</v>
      </c>
      <c r="AK1175" s="285">
        <f t="shared" si="6"/>
        <v>268235</v>
      </c>
      <c r="AL1175" s="287"/>
      <c r="AM1175" s="287"/>
    </row>
    <row r="1176">
      <c r="A1176" s="278">
        <v>1175.0</v>
      </c>
      <c r="B1176" s="279">
        <v>45043.0</v>
      </c>
      <c r="C1176" s="195" t="str">
        <f t="shared" si="9"/>
        <v>42023</v>
      </c>
      <c r="D1176" s="280" t="s">
        <v>2427</v>
      </c>
      <c r="E1176" s="278" t="s">
        <v>2299</v>
      </c>
      <c r="F1176" s="280" t="s">
        <v>1423</v>
      </c>
      <c r="G1176" s="278" t="s">
        <v>64</v>
      </c>
      <c r="H1176" s="278" t="s">
        <v>41</v>
      </c>
      <c r="I1176" s="278" t="s">
        <v>643</v>
      </c>
      <c r="J1176" s="281">
        <v>1.0</v>
      </c>
      <c r="K1176" s="282"/>
      <c r="L1176" s="282"/>
      <c r="M1176" s="282"/>
      <c r="N1176" s="282"/>
      <c r="O1176" s="282"/>
      <c r="P1176" s="282"/>
      <c r="Q1176" s="283"/>
      <c r="R1176" s="283"/>
      <c r="S1176" s="278" t="s">
        <v>105</v>
      </c>
      <c r="T1176" s="278" t="s">
        <v>66</v>
      </c>
      <c r="U1176" s="278" t="s">
        <v>99</v>
      </c>
      <c r="V1176" s="278" t="s">
        <v>1984</v>
      </c>
      <c r="W1176" s="284"/>
      <c r="X1176" s="284"/>
      <c r="Y1176" s="284"/>
      <c r="Z1176" s="284"/>
      <c r="AA1176" s="285">
        <v>21250.0</v>
      </c>
      <c r="AB1176" s="285">
        <v>85000.0</v>
      </c>
      <c r="AC1176" s="24" t="s">
        <v>3348</v>
      </c>
      <c r="AD1176" s="195">
        <v>10138.0</v>
      </c>
      <c r="AE1176" s="38"/>
      <c r="AF1176" s="278" t="str">
        <f t="shared" si="1"/>
        <v>Buenos Aires, Argentina</v>
      </c>
      <c r="AG1176" s="278">
        <f t="shared" si="2"/>
        <v>1</v>
      </c>
      <c r="AH1176" s="286">
        <f t="shared" si="3"/>
        <v>0</v>
      </c>
      <c r="AI1176" s="286">
        <f t="shared" si="4"/>
        <v>0</v>
      </c>
      <c r="AJ1176" s="285">
        <f t="shared" si="5"/>
        <v>106250</v>
      </c>
      <c r="AK1176" s="285">
        <f t="shared" si="6"/>
        <v>106250</v>
      </c>
      <c r="AL1176" s="287"/>
      <c r="AM1176" s="287"/>
    </row>
    <row r="1177">
      <c r="A1177" s="278">
        <v>1176.0</v>
      </c>
      <c r="B1177" s="279">
        <v>45043.0</v>
      </c>
      <c r="C1177" s="195" t="str">
        <f t="shared" si="9"/>
        <v>42023</v>
      </c>
      <c r="D1177" s="280" t="s">
        <v>3349</v>
      </c>
      <c r="E1177" s="278" t="s">
        <v>3350</v>
      </c>
      <c r="F1177" s="280" t="s">
        <v>3351</v>
      </c>
      <c r="G1177" s="278" t="s">
        <v>40</v>
      </c>
      <c r="H1177" s="278" t="s">
        <v>41</v>
      </c>
      <c r="I1177" s="278" t="s">
        <v>643</v>
      </c>
      <c r="J1177" s="281">
        <v>5.0</v>
      </c>
      <c r="K1177" s="281">
        <v>2.0</v>
      </c>
      <c r="L1177" s="282"/>
      <c r="M1177" s="281">
        <v>1.0</v>
      </c>
      <c r="N1177" s="282"/>
      <c r="O1177" s="282"/>
      <c r="P1177" s="282"/>
      <c r="Q1177" s="283"/>
      <c r="R1177" s="283"/>
      <c r="S1177" s="278" t="s">
        <v>65</v>
      </c>
      <c r="T1177" s="278" t="s">
        <v>66</v>
      </c>
      <c r="U1177" s="278" t="s">
        <v>342</v>
      </c>
      <c r="V1177" s="278" t="s">
        <v>2935</v>
      </c>
      <c r="W1177" s="284"/>
      <c r="X1177" s="284"/>
      <c r="Y1177" s="284"/>
      <c r="Z1177" s="284"/>
      <c r="AA1177" s="285">
        <v>138124.0</v>
      </c>
      <c r="AB1177" s="285">
        <v>807496.0</v>
      </c>
      <c r="AC1177" s="24" t="s">
        <v>3352</v>
      </c>
      <c r="AD1177" s="195">
        <v>9844.0</v>
      </c>
      <c r="AE1177" s="38"/>
      <c r="AF1177" s="278" t="str">
        <f t="shared" si="1"/>
        <v>Buenos Aires, Argentina</v>
      </c>
      <c r="AG1177" s="278">
        <f t="shared" si="2"/>
        <v>8</v>
      </c>
      <c r="AH1177" s="286">
        <f t="shared" si="3"/>
        <v>0</v>
      </c>
      <c r="AI1177" s="286">
        <f t="shared" si="4"/>
        <v>0</v>
      </c>
      <c r="AJ1177" s="285">
        <f t="shared" si="5"/>
        <v>945620</v>
      </c>
      <c r="AK1177" s="285">
        <f t="shared" si="6"/>
        <v>945620</v>
      </c>
      <c r="AL1177" s="287"/>
      <c r="AM1177" s="287"/>
    </row>
    <row r="1178">
      <c r="A1178" s="278">
        <v>1177.0</v>
      </c>
      <c r="B1178" s="279">
        <v>45044.0</v>
      </c>
      <c r="C1178" s="195" t="str">
        <f t="shared" si="9"/>
        <v>42023</v>
      </c>
      <c r="D1178" s="280" t="s">
        <v>2766</v>
      </c>
      <c r="E1178" s="278" t="s">
        <v>2767</v>
      </c>
      <c r="F1178" s="280" t="s">
        <v>1415</v>
      </c>
      <c r="G1178" s="278" t="s">
        <v>64</v>
      </c>
      <c r="H1178" s="278" t="s">
        <v>41</v>
      </c>
      <c r="I1178" s="278" t="s">
        <v>643</v>
      </c>
      <c r="J1178" s="282"/>
      <c r="K1178" s="281">
        <v>1.0</v>
      </c>
      <c r="L1178" s="282"/>
      <c r="M1178" s="282"/>
      <c r="N1178" s="282"/>
      <c r="O1178" s="282"/>
      <c r="P1178" s="282"/>
      <c r="Q1178" s="283"/>
      <c r="R1178" s="283"/>
      <c r="S1178" s="278" t="s">
        <v>276</v>
      </c>
      <c r="T1178" s="278" t="s">
        <v>83</v>
      </c>
      <c r="U1178" s="278" t="s">
        <v>99</v>
      </c>
      <c r="V1178" s="278" t="s">
        <v>1984</v>
      </c>
      <c r="W1178" s="284"/>
      <c r="X1178" s="284"/>
      <c r="Y1178" s="284"/>
      <c r="Z1178" s="284"/>
      <c r="AA1178" s="285">
        <v>15937.0</v>
      </c>
      <c r="AB1178" s="285">
        <v>63747.0</v>
      </c>
      <c r="AC1178" s="24" t="s">
        <v>3353</v>
      </c>
      <c r="AD1178" s="195">
        <v>10166.0</v>
      </c>
      <c r="AE1178" s="38"/>
      <c r="AF1178" s="278" t="str">
        <f t="shared" si="1"/>
        <v>Capital Federal, Argentina</v>
      </c>
      <c r="AG1178" s="278">
        <f t="shared" si="2"/>
        <v>1</v>
      </c>
      <c r="AH1178" s="286">
        <f t="shared" si="3"/>
        <v>0</v>
      </c>
      <c r="AI1178" s="286">
        <f t="shared" si="4"/>
        <v>0</v>
      </c>
      <c r="AJ1178" s="285">
        <f t="shared" si="5"/>
        <v>79684</v>
      </c>
      <c r="AK1178" s="285">
        <f t="shared" si="6"/>
        <v>79684</v>
      </c>
      <c r="AL1178" s="287"/>
      <c r="AM1178" s="287"/>
    </row>
    <row r="1179">
      <c r="A1179" s="278">
        <v>1178.0</v>
      </c>
      <c r="B1179" s="279">
        <v>45044.0</v>
      </c>
      <c r="C1179" s="195" t="str">
        <f t="shared" si="9"/>
        <v>42023</v>
      </c>
      <c r="D1179" s="280" t="s">
        <v>3354</v>
      </c>
      <c r="E1179" s="278" t="s">
        <v>3355</v>
      </c>
      <c r="F1179" s="280" t="s">
        <v>2141</v>
      </c>
      <c r="G1179" s="278" t="s">
        <v>40</v>
      </c>
      <c r="H1179" s="278" t="s">
        <v>547</v>
      </c>
      <c r="I1179" s="278" t="s">
        <v>42</v>
      </c>
      <c r="J1179" s="281">
        <v>1.0</v>
      </c>
      <c r="K1179" s="281">
        <v>1.0</v>
      </c>
      <c r="L1179" s="282"/>
      <c r="M1179" s="281">
        <v>1.0</v>
      </c>
      <c r="N1179" s="282"/>
      <c r="O1179" s="282"/>
      <c r="P1179" s="282"/>
      <c r="Q1179" s="283"/>
      <c r="R1179" s="283"/>
      <c r="S1179" s="278" t="s">
        <v>51</v>
      </c>
      <c r="T1179" s="278" t="s">
        <v>66</v>
      </c>
      <c r="U1179" s="278" t="s">
        <v>45</v>
      </c>
      <c r="V1179" s="278" t="s">
        <v>2922</v>
      </c>
      <c r="W1179" s="284"/>
      <c r="X1179" s="284"/>
      <c r="Y1179" s="284"/>
      <c r="Z1179" s="284"/>
      <c r="AA1179" s="285">
        <v>22312.0</v>
      </c>
      <c r="AB1179" s="285">
        <v>126223.0</v>
      </c>
      <c r="AC1179" s="24" t="s">
        <v>3356</v>
      </c>
      <c r="AD1179" s="195">
        <v>10062.0</v>
      </c>
      <c r="AE1179" s="38"/>
      <c r="AF1179" s="278" t="str">
        <f t="shared" si="1"/>
        <v>Buenos Aires, Argentina</v>
      </c>
      <c r="AG1179" s="278">
        <f t="shared" si="2"/>
        <v>3</v>
      </c>
      <c r="AH1179" s="286">
        <f t="shared" si="3"/>
        <v>0</v>
      </c>
      <c r="AI1179" s="286">
        <f t="shared" si="4"/>
        <v>0</v>
      </c>
      <c r="AJ1179" s="285">
        <f t="shared" si="5"/>
        <v>148535</v>
      </c>
      <c r="AK1179" s="285">
        <f t="shared" si="6"/>
        <v>148535</v>
      </c>
      <c r="AL1179" s="287"/>
      <c r="AM1179" s="287"/>
    </row>
    <row r="1180">
      <c r="A1180" s="278">
        <v>1179.0</v>
      </c>
      <c r="B1180" s="279">
        <v>45044.0</v>
      </c>
      <c r="C1180" s="195" t="str">
        <f t="shared" si="9"/>
        <v>42023</v>
      </c>
      <c r="D1180" s="283"/>
      <c r="E1180" s="278" t="s">
        <v>1822</v>
      </c>
      <c r="F1180" s="280" t="s">
        <v>1878</v>
      </c>
      <c r="G1180" s="278" t="s">
        <v>64</v>
      </c>
      <c r="H1180" s="278" t="s">
        <v>41</v>
      </c>
      <c r="I1180" s="278" t="s">
        <v>643</v>
      </c>
      <c r="J1180" s="282"/>
      <c r="K1180" s="282"/>
      <c r="L1180" s="282"/>
      <c r="M1180" s="282"/>
      <c r="N1180" s="281">
        <v>1.0</v>
      </c>
      <c r="O1180" s="282"/>
      <c r="P1180" s="282"/>
      <c r="Q1180" s="283"/>
      <c r="R1180" s="283"/>
      <c r="S1180" s="278" t="s">
        <v>65</v>
      </c>
      <c r="T1180" s="278" t="s">
        <v>66</v>
      </c>
      <c r="U1180" s="278" t="s">
        <v>99</v>
      </c>
      <c r="V1180" s="278" t="s">
        <v>1984</v>
      </c>
      <c r="W1180" s="284"/>
      <c r="X1180" s="284"/>
      <c r="Y1180" s="284"/>
      <c r="Z1180" s="284"/>
      <c r="AA1180" s="285">
        <v>19125.0</v>
      </c>
      <c r="AB1180" s="285">
        <v>85000.0</v>
      </c>
      <c r="AC1180" s="24" t="s">
        <v>3357</v>
      </c>
      <c r="AD1180" s="195">
        <v>10158.0</v>
      </c>
      <c r="AE1180" s="38"/>
      <c r="AF1180" s="278" t="str">
        <f t="shared" si="1"/>
        <v>Buenos Aires, Argentina</v>
      </c>
      <c r="AG1180" s="278">
        <f t="shared" si="2"/>
        <v>1</v>
      </c>
      <c r="AH1180" s="286">
        <f t="shared" si="3"/>
        <v>0</v>
      </c>
      <c r="AI1180" s="286">
        <f t="shared" si="4"/>
        <v>0</v>
      </c>
      <c r="AJ1180" s="285">
        <f t="shared" si="5"/>
        <v>104125</v>
      </c>
      <c r="AK1180" s="285">
        <f t="shared" si="6"/>
        <v>104125</v>
      </c>
      <c r="AL1180" s="287"/>
      <c r="AM1180" s="287"/>
    </row>
    <row r="1181">
      <c r="A1181" s="316">
        <v>1180.0</v>
      </c>
      <c r="B1181" s="317">
        <v>45044.0</v>
      </c>
      <c r="C1181" s="195" t="str">
        <f t="shared" si="9"/>
        <v>42023</v>
      </c>
      <c r="D1181" s="318" t="s">
        <v>2493</v>
      </c>
      <c r="E1181" s="316" t="s">
        <v>1925</v>
      </c>
      <c r="F1181" s="318" t="s">
        <v>1415</v>
      </c>
      <c r="G1181" s="278" t="s">
        <v>64</v>
      </c>
      <c r="H1181" s="278" t="s">
        <v>41</v>
      </c>
      <c r="I1181" s="278" t="s">
        <v>643</v>
      </c>
      <c r="J1181" s="282"/>
      <c r="K1181" s="281">
        <v>1.0</v>
      </c>
      <c r="L1181" s="282"/>
      <c r="M1181" s="282"/>
      <c r="N1181" s="282"/>
      <c r="O1181" s="282"/>
      <c r="P1181" s="282"/>
      <c r="Q1181" s="283"/>
      <c r="R1181" s="283"/>
      <c r="S1181" s="316" t="s">
        <v>65</v>
      </c>
      <c r="T1181" s="316" t="s">
        <v>66</v>
      </c>
      <c r="U1181" s="316" t="s">
        <v>99</v>
      </c>
      <c r="V1181" s="278" t="s">
        <v>1984</v>
      </c>
      <c r="W1181" s="284"/>
      <c r="X1181" s="284"/>
      <c r="Y1181" s="284"/>
      <c r="Z1181" s="284"/>
      <c r="AA1181" s="285">
        <v>14343.0</v>
      </c>
      <c r="AB1181" s="285">
        <v>63747.0</v>
      </c>
      <c r="AC1181" s="24" t="s">
        <v>3358</v>
      </c>
      <c r="AD1181" s="195">
        <v>10144.0</v>
      </c>
      <c r="AE1181" s="38"/>
      <c r="AF1181" s="316" t="str">
        <f t="shared" si="1"/>
        <v>Buenos Aires, Argentina</v>
      </c>
      <c r="AG1181" s="316">
        <f t="shared" si="2"/>
        <v>1</v>
      </c>
      <c r="AH1181" s="286">
        <f t="shared" si="3"/>
        <v>0</v>
      </c>
      <c r="AI1181" s="286">
        <f t="shared" si="4"/>
        <v>0</v>
      </c>
      <c r="AJ1181" s="285">
        <f t="shared" si="5"/>
        <v>78090</v>
      </c>
      <c r="AK1181" s="285">
        <f t="shared" si="6"/>
        <v>78090</v>
      </c>
      <c r="AL1181" s="287"/>
      <c r="AM1181" s="287"/>
    </row>
    <row r="1182">
      <c r="A1182" s="316">
        <v>1181.0</v>
      </c>
      <c r="B1182" s="317">
        <v>45044.0</v>
      </c>
      <c r="C1182" s="195" t="str">
        <f t="shared" si="9"/>
        <v>42023</v>
      </c>
      <c r="D1182" s="318" t="s">
        <v>3359</v>
      </c>
      <c r="E1182" s="316" t="s">
        <v>3360</v>
      </c>
      <c r="F1182" s="318" t="s">
        <v>1415</v>
      </c>
      <c r="G1182" s="278" t="s">
        <v>64</v>
      </c>
      <c r="H1182" s="278" t="s">
        <v>41</v>
      </c>
      <c r="I1182" s="278" t="s">
        <v>643</v>
      </c>
      <c r="J1182" s="282"/>
      <c r="K1182" s="281">
        <v>1.0</v>
      </c>
      <c r="L1182" s="282"/>
      <c r="M1182" s="282"/>
      <c r="N1182" s="282"/>
      <c r="O1182" s="282"/>
      <c r="P1182" s="282"/>
      <c r="Q1182" s="283"/>
      <c r="R1182" s="283"/>
      <c r="S1182" s="316" t="s">
        <v>276</v>
      </c>
      <c r="T1182" s="316" t="s">
        <v>52</v>
      </c>
      <c r="U1182" s="316" t="s">
        <v>99</v>
      </c>
      <c r="V1182" s="316" t="s">
        <v>1984</v>
      </c>
      <c r="W1182" s="284"/>
      <c r="X1182" s="284"/>
      <c r="Y1182" s="284"/>
      <c r="Z1182" s="284"/>
      <c r="AA1182" s="285">
        <v>15937.0</v>
      </c>
      <c r="AB1182" s="285">
        <v>63747.0</v>
      </c>
      <c r="AC1182" s="24" t="s">
        <v>3361</v>
      </c>
      <c r="AD1182" s="195">
        <v>10126.0</v>
      </c>
      <c r="AE1182" s="38"/>
      <c r="AF1182" s="316" t="str">
        <f t="shared" si="1"/>
        <v>San Luis, Argentina</v>
      </c>
      <c r="AG1182" s="316">
        <f t="shared" si="2"/>
        <v>1</v>
      </c>
      <c r="AH1182" s="286">
        <f t="shared" si="3"/>
        <v>0</v>
      </c>
      <c r="AI1182" s="286">
        <f t="shared" si="4"/>
        <v>0</v>
      </c>
      <c r="AJ1182" s="285">
        <f t="shared" si="5"/>
        <v>79684</v>
      </c>
      <c r="AK1182" s="285">
        <f t="shared" si="6"/>
        <v>79684</v>
      </c>
      <c r="AL1182" s="287"/>
      <c r="AM1182" s="287"/>
    </row>
    <row r="1183">
      <c r="A1183" s="316">
        <v>1182.0</v>
      </c>
      <c r="B1183" s="317">
        <v>45044.0</v>
      </c>
      <c r="C1183" s="195" t="str">
        <f t="shared" si="9"/>
        <v>42023</v>
      </c>
      <c r="D1183" s="318" t="s">
        <v>2735</v>
      </c>
      <c r="E1183" s="316" t="s">
        <v>2736</v>
      </c>
      <c r="F1183" s="318" t="s">
        <v>3079</v>
      </c>
      <c r="G1183" s="278" t="s">
        <v>64</v>
      </c>
      <c r="H1183" s="278" t="s">
        <v>41</v>
      </c>
      <c r="I1183" s="278" t="s">
        <v>643</v>
      </c>
      <c r="J1183" s="282"/>
      <c r="K1183" s="282"/>
      <c r="L1183" s="282"/>
      <c r="M1183" s="282"/>
      <c r="N1183" s="282"/>
      <c r="O1183" s="282"/>
      <c r="P1183" s="282"/>
      <c r="Q1183" s="283"/>
      <c r="R1183" s="283"/>
      <c r="S1183" s="316" t="s">
        <v>72</v>
      </c>
      <c r="T1183" s="316" t="s">
        <v>66</v>
      </c>
      <c r="U1183" s="316" t="s">
        <v>99</v>
      </c>
      <c r="V1183" s="316" t="s">
        <v>1984</v>
      </c>
      <c r="W1183" s="284"/>
      <c r="X1183" s="284"/>
      <c r="Y1183" s="284"/>
      <c r="Z1183" s="284"/>
      <c r="AA1183" s="285">
        <v>0.0</v>
      </c>
      <c r="AB1183" s="285">
        <v>260820.0</v>
      </c>
      <c r="AC1183" s="24" t="s">
        <v>3362</v>
      </c>
      <c r="AD1183" s="195">
        <v>10176.0</v>
      </c>
      <c r="AE1183" s="38"/>
      <c r="AF1183" s="316" t="str">
        <f t="shared" si="1"/>
        <v>Buenos Aires, Argentina</v>
      </c>
      <c r="AG1183" s="316">
        <f t="shared" si="2"/>
        <v>0</v>
      </c>
      <c r="AH1183" s="286">
        <f t="shared" si="3"/>
        <v>0</v>
      </c>
      <c r="AI1183" s="286">
        <f t="shared" si="4"/>
        <v>0</v>
      </c>
      <c r="AJ1183" s="285">
        <f t="shared" si="5"/>
        <v>260820</v>
      </c>
      <c r="AK1183" s="285">
        <f t="shared" si="6"/>
        <v>260820</v>
      </c>
      <c r="AL1183" s="287"/>
      <c r="AM1183" s="287"/>
    </row>
    <row r="1184">
      <c r="A1184" s="316">
        <v>1183.0</v>
      </c>
      <c r="B1184" s="317">
        <v>45044.0</v>
      </c>
      <c r="C1184" s="195" t="str">
        <f t="shared" si="9"/>
        <v>42023</v>
      </c>
      <c r="D1184" s="318" t="s">
        <v>3363</v>
      </c>
      <c r="E1184" s="316" t="s">
        <v>3364</v>
      </c>
      <c r="F1184" s="318" t="s">
        <v>3365</v>
      </c>
      <c r="G1184" s="278" t="s">
        <v>64</v>
      </c>
      <c r="H1184" s="278" t="s">
        <v>41</v>
      </c>
      <c r="I1184" s="278" t="s">
        <v>643</v>
      </c>
      <c r="J1184" s="282"/>
      <c r="K1184" s="282"/>
      <c r="L1184" s="282"/>
      <c r="M1184" s="282"/>
      <c r="N1184" s="281">
        <v>1.0</v>
      </c>
      <c r="O1184" s="282"/>
      <c r="P1184" s="282"/>
      <c r="Q1184" s="283"/>
      <c r="R1184" s="283"/>
      <c r="S1184" s="316" t="s">
        <v>43</v>
      </c>
      <c r="T1184" s="316" t="s">
        <v>83</v>
      </c>
      <c r="U1184" s="316" t="s">
        <v>99</v>
      </c>
      <c r="V1184" s="316" t="s">
        <v>1984</v>
      </c>
      <c r="W1184" s="284"/>
      <c r="X1184" s="284"/>
      <c r="Y1184" s="284"/>
      <c r="Z1184" s="284"/>
      <c r="AA1184" s="285">
        <v>21250.0</v>
      </c>
      <c r="AB1184" s="285">
        <v>95625.0</v>
      </c>
      <c r="AC1184" s="24" t="s">
        <v>3366</v>
      </c>
      <c r="AD1184" s="195">
        <v>10188.0</v>
      </c>
      <c r="AE1184" s="38"/>
      <c r="AF1184" s="316" t="str">
        <f t="shared" si="1"/>
        <v>Capital Federal, Argentina</v>
      </c>
      <c r="AG1184" s="316">
        <f t="shared" si="2"/>
        <v>1</v>
      </c>
      <c r="AH1184" s="286">
        <f t="shared" si="3"/>
        <v>0</v>
      </c>
      <c r="AI1184" s="286">
        <f t="shared" si="4"/>
        <v>0</v>
      </c>
      <c r="AJ1184" s="285">
        <f t="shared" si="5"/>
        <v>116875</v>
      </c>
      <c r="AK1184" s="285">
        <f t="shared" si="6"/>
        <v>116875</v>
      </c>
      <c r="AL1184" s="287"/>
      <c r="AM1184" s="287"/>
    </row>
    <row r="1185">
      <c r="A1185" s="316">
        <v>1184.0</v>
      </c>
      <c r="B1185" s="317">
        <v>45044.0</v>
      </c>
      <c r="C1185" s="195" t="str">
        <f t="shared" si="9"/>
        <v>42023</v>
      </c>
      <c r="D1185" s="318" t="s">
        <v>3153</v>
      </c>
      <c r="E1185" s="316" t="s">
        <v>3154</v>
      </c>
      <c r="F1185" s="318" t="s">
        <v>1503</v>
      </c>
      <c r="G1185" s="278" t="s">
        <v>64</v>
      </c>
      <c r="H1185" s="278" t="s">
        <v>41</v>
      </c>
      <c r="I1185" s="278" t="s">
        <v>643</v>
      </c>
      <c r="J1185" s="282"/>
      <c r="K1185" s="281">
        <v>4.0</v>
      </c>
      <c r="L1185" s="282"/>
      <c r="M1185" s="282"/>
      <c r="N1185" s="282"/>
      <c r="O1185" s="282"/>
      <c r="P1185" s="282"/>
      <c r="Q1185" s="283"/>
      <c r="R1185" s="283"/>
      <c r="S1185" s="316" t="s">
        <v>189</v>
      </c>
      <c r="T1185" s="316" t="s">
        <v>66</v>
      </c>
      <c r="U1185" s="316" t="s">
        <v>99</v>
      </c>
      <c r="V1185" s="316" t="s">
        <v>1984</v>
      </c>
      <c r="W1185" s="284"/>
      <c r="X1185" s="284"/>
      <c r="Y1185" s="284"/>
      <c r="Z1185" s="284"/>
      <c r="AA1185" s="285">
        <v>63748.0</v>
      </c>
      <c r="AB1185" s="285">
        <v>254992.0</v>
      </c>
      <c r="AC1185" s="24" t="s">
        <v>3367</v>
      </c>
      <c r="AD1185" s="195">
        <v>10152.0</v>
      </c>
      <c r="AE1185" s="38"/>
      <c r="AF1185" s="316" t="str">
        <f t="shared" si="1"/>
        <v>Buenos Aires, Argentina</v>
      </c>
      <c r="AG1185" s="316">
        <f t="shared" si="2"/>
        <v>4</v>
      </c>
      <c r="AH1185" s="286">
        <f t="shared" si="3"/>
        <v>0</v>
      </c>
      <c r="AI1185" s="286">
        <f t="shared" si="4"/>
        <v>0</v>
      </c>
      <c r="AJ1185" s="285">
        <f t="shared" si="5"/>
        <v>318740</v>
      </c>
      <c r="AK1185" s="285">
        <f t="shared" si="6"/>
        <v>318740</v>
      </c>
      <c r="AL1185" s="287"/>
      <c r="AM1185" s="287"/>
    </row>
    <row r="1186">
      <c r="A1186" s="319">
        <v>1185.0</v>
      </c>
      <c r="B1186" s="320">
        <v>45055.0</v>
      </c>
      <c r="C1186" s="195" t="str">
        <f t="shared" si="9"/>
        <v>52023</v>
      </c>
      <c r="D1186" s="321" t="s">
        <v>3368</v>
      </c>
      <c r="E1186" s="319" t="s">
        <v>3369</v>
      </c>
      <c r="F1186" s="321" t="s">
        <v>2141</v>
      </c>
      <c r="G1186" s="203" t="s">
        <v>40</v>
      </c>
      <c r="H1186" s="203" t="s">
        <v>547</v>
      </c>
      <c r="I1186" s="203" t="s">
        <v>42</v>
      </c>
      <c r="J1186" s="206">
        <v>1.0</v>
      </c>
      <c r="K1186" s="206">
        <v>1.0</v>
      </c>
      <c r="L1186" s="117"/>
      <c r="M1186" s="206">
        <v>1.0</v>
      </c>
      <c r="N1186" s="117"/>
      <c r="O1186" s="117"/>
      <c r="P1186" s="117"/>
      <c r="Q1186" s="119"/>
      <c r="R1186" s="119"/>
      <c r="S1186" s="319" t="s">
        <v>114</v>
      </c>
      <c r="T1186" s="319" t="s">
        <v>148</v>
      </c>
      <c r="U1186" s="319" t="s">
        <v>342</v>
      </c>
      <c r="V1186" s="203" t="s">
        <v>2922</v>
      </c>
      <c r="W1186" s="121"/>
      <c r="X1186" s="121"/>
      <c r="Y1186" s="121"/>
      <c r="Z1186" s="121"/>
      <c r="AA1186" s="207">
        <v>24150.0</v>
      </c>
      <c r="AB1186" s="207">
        <v>86940.0</v>
      </c>
      <c r="AC1186" s="24" t="s">
        <v>3370</v>
      </c>
      <c r="AD1186" s="195">
        <v>10192.0</v>
      </c>
      <c r="AE1186" s="38"/>
      <c r="AF1186" s="319" t="str">
        <f t="shared" si="1"/>
        <v>Formosa, Argentina</v>
      </c>
      <c r="AG1186" s="319">
        <f t="shared" si="2"/>
        <v>3</v>
      </c>
      <c r="AH1186" s="208">
        <f t="shared" si="3"/>
        <v>0</v>
      </c>
      <c r="AI1186" s="208">
        <f t="shared" si="4"/>
        <v>0</v>
      </c>
      <c r="AJ1186" s="207">
        <f t="shared" si="5"/>
        <v>111090</v>
      </c>
      <c r="AK1186" s="207">
        <f t="shared" si="6"/>
        <v>111090</v>
      </c>
      <c r="AL1186" s="123"/>
      <c r="AM1186" s="123"/>
    </row>
    <row r="1187">
      <c r="A1187" s="319">
        <v>1186.0</v>
      </c>
      <c r="B1187" s="320">
        <v>45058.0</v>
      </c>
      <c r="C1187" s="195" t="str">
        <f t="shared" si="9"/>
        <v>52023</v>
      </c>
      <c r="D1187" s="321" t="s">
        <v>3371</v>
      </c>
      <c r="E1187" s="319" t="s">
        <v>3372</v>
      </c>
      <c r="F1187" s="321" t="s">
        <v>2528</v>
      </c>
      <c r="G1187" s="203" t="s">
        <v>64</v>
      </c>
      <c r="H1187" s="203" t="s">
        <v>41</v>
      </c>
      <c r="I1187" s="203" t="s">
        <v>643</v>
      </c>
      <c r="J1187" s="117"/>
      <c r="K1187" s="117"/>
      <c r="L1187" s="117"/>
      <c r="M1187" s="206">
        <v>1.0</v>
      </c>
      <c r="N1187" s="117"/>
      <c r="O1187" s="117"/>
      <c r="P1187" s="117"/>
      <c r="Q1187" s="119"/>
      <c r="R1187" s="119"/>
      <c r="S1187" s="319" t="s">
        <v>276</v>
      </c>
      <c r="T1187" s="319" t="s">
        <v>263</v>
      </c>
      <c r="U1187" s="319" t="s">
        <v>99</v>
      </c>
      <c r="V1187" s="319" t="s">
        <v>1984</v>
      </c>
      <c r="W1187" s="121"/>
      <c r="X1187" s="121"/>
      <c r="Y1187" s="121"/>
      <c r="Z1187" s="121"/>
      <c r="AA1187" s="207">
        <v>23000.0</v>
      </c>
      <c r="AB1187" s="207">
        <v>92000.0</v>
      </c>
      <c r="AC1187" s="24" t="s">
        <v>3373</v>
      </c>
      <c r="AD1187" s="195">
        <v>9582.0</v>
      </c>
      <c r="AE1187" s="38"/>
      <c r="AF1187" s="319" t="str">
        <f t="shared" si="1"/>
        <v>Santa Fé, Argentina</v>
      </c>
      <c r="AG1187" s="319">
        <f t="shared" si="2"/>
        <v>1</v>
      </c>
      <c r="AH1187" s="208">
        <f t="shared" si="3"/>
        <v>0</v>
      </c>
      <c r="AI1187" s="208">
        <f t="shared" si="4"/>
        <v>0</v>
      </c>
      <c r="AJ1187" s="207">
        <f t="shared" si="5"/>
        <v>115000</v>
      </c>
      <c r="AK1187" s="207">
        <f t="shared" si="6"/>
        <v>115000</v>
      </c>
      <c r="AL1187" s="123"/>
      <c r="AM1187" s="123"/>
    </row>
    <row r="1188">
      <c r="A1188" s="319">
        <v>1187.0</v>
      </c>
      <c r="B1188" s="320">
        <v>45068.0</v>
      </c>
      <c r="C1188" s="195" t="str">
        <f t="shared" si="9"/>
        <v>52023</v>
      </c>
      <c r="D1188" s="321" t="s">
        <v>3374</v>
      </c>
      <c r="E1188" s="319" t="s">
        <v>3375</v>
      </c>
      <c r="F1188" s="321" t="s">
        <v>3376</v>
      </c>
      <c r="G1188" s="203" t="s">
        <v>64</v>
      </c>
      <c r="H1188" s="203" t="s">
        <v>41</v>
      </c>
      <c r="I1188" s="203" t="s">
        <v>643</v>
      </c>
      <c r="J1188" s="117"/>
      <c r="K1188" s="117"/>
      <c r="L1188" s="117"/>
      <c r="M1188" s="117"/>
      <c r="N1188" s="117"/>
      <c r="O1188" s="117"/>
      <c r="P1188" s="117"/>
      <c r="Q1188" s="119"/>
      <c r="R1188" s="119"/>
      <c r="S1188" s="319" t="s">
        <v>98</v>
      </c>
      <c r="T1188" s="319" t="s">
        <v>83</v>
      </c>
      <c r="U1188" s="319" t="s">
        <v>99</v>
      </c>
      <c r="V1188" s="319" t="s">
        <v>1984</v>
      </c>
      <c r="W1188" s="121"/>
      <c r="X1188" s="121"/>
      <c r="Y1188" s="121"/>
      <c r="Z1188" s="121"/>
      <c r="AA1188" s="207">
        <v>0.0</v>
      </c>
      <c r="AB1188" s="207">
        <v>55200.0</v>
      </c>
      <c r="AC1188" s="24" t="s">
        <v>3377</v>
      </c>
      <c r="AD1188" s="195">
        <v>10302.0</v>
      </c>
      <c r="AE1188" s="38"/>
      <c r="AF1188" s="319" t="str">
        <f t="shared" si="1"/>
        <v>Capital Federal, Argentina</v>
      </c>
      <c r="AG1188" s="319">
        <f t="shared" si="2"/>
        <v>0</v>
      </c>
      <c r="AH1188" s="208">
        <f t="shared" si="3"/>
        <v>0</v>
      </c>
      <c r="AI1188" s="208">
        <f t="shared" si="4"/>
        <v>0</v>
      </c>
      <c r="AJ1188" s="207">
        <f t="shared" si="5"/>
        <v>55200</v>
      </c>
      <c r="AK1188" s="207">
        <f t="shared" si="6"/>
        <v>55200</v>
      </c>
      <c r="AL1188" s="123"/>
      <c r="AM1188" s="123"/>
    </row>
    <row r="1189">
      <c r="A1189" s="203">
        <v>1188.0</v>
      </c>
      <c r="B1189" s="204">
        <v>45069.0</v>
      </c>
      <c r="C1189" s="195" t="str">
        <f t="shared" si="9"/>
        <v>52023</v>
      </c>
      <c r="D1189" s="205" t="s">
        <v>3378</v>
      </c>
      <c r="E1189" s="203" t="s">
        <v>2986</v>
      </c>
      <c r="F1189" s="205" t="s">
        <v>1423</v>
      </c>
      <c r="G1189" s="203" t="s">
        <v>64</v>
      </c>
      <c r="H1189" s="203" t="s">
        <v>547</v>
      </c>
      <c r="I1189" s="203" t="s">
        <v>643</v>
      </c>
      <c r="J1189" s="206">
        <v>1.0</v>
      </c>
      <c r="K1189" s="117"/>
      <c r="L1189" s="117"/>
      <c r="M1189" s="117"/>
      <c r="N1189" s="117"/>
      <c r="O1189" s="117"/>
      <c r="P1189" s="117"/>
      <c r="Q1189" s="119"/>
      <c r="R1189" s="119"/>
      <c r="S1189" s="203" t="s">
        <v>105</v>
      </c>
      <c r="T1189" s="203" t="s">
        <v>83</v>
      </c>
      <c r="U1189" s="203" t="s">
        <v>99</v>
      </c>
      <c r="V1189" s="203" t="s">
        <v>1984</v>
      </c>
      <c r="W1189" s="121"/>
      <c r="X1189" s="121"/>
      <c r="Y1189" s="121"/>
      <c r="Z1189" s="121"/>
      <c r="AA1189" s="207">
        <v>13800.0</v>
      </c>
      <c r="AB1189" s="207">
        <v>49680.0</v>
      </c>
      <c r="AC1189" s="24" t="s">
        <v>3379</v>
      </c>
      <c r="AD1189" s="195">
        <v>10310.0</v>
      </c>
      <c r="AE1189" s="38"/>
      <c r="AF1189" s="203" t="str">
        <f t="shared" si="1"/>
        <v>Capital Federal, Argentina</v>
      </c>
      <c r="AG1189" s="203">
        <f t="shared" si="2"/>
        <v>1</v>
      </c>
      <c r="AH1189" s="208">
        <f t="shared" si="3"/>
        <v>0</v>
      </c>
      <c r="AI1189" s="208">
        <f t="shared" si="4"/>
        <v>0</v>
      </c>
      <c r="AJ1189" s="207">
        <f t="shared" si="5"/>
        <v>63480</v>
      </c>
      <c r="AK1189" s="207">
        <f t="shared" si="6"/>
        <v>63480</v>
      </c>
      <c r="AL1189" s="123"/>
      <c r="AM1189" s="123"/>
    </row>
    <row r="1190">
      <c r="A1190" s="203">
        <v>1189.0</v>
      </c>
      <c r="B1190" s="204">
        <v>45069.0</v>
      </c>
      <c r="C1190" s="195" t="str">
        <f t="shared" si="9"/>
        <v>52023</v>
      </c>
      <c r="D1190" s="205" t="s">
        <v>3380</v>
      </c>
      <c r="E1190" s="203" t="s">
        <v>3174</v>
      </c>
      <c r="F1190" s="205" t="s">
        <v>1423</v>
      </c>
      <c r="G1190" s="203" t="s">
        <v>64</v>
      </c>
      <c r="H1190" s="203" t="s">
        <v>41</v>
      </c>
      <c r="I1190" s="203" t="s">
        <v>643</v>
      </c>
      <c r="J1190" s="206">
        <v>1.0</v>
      </c>
      <c r="K1190" s="117"/>
      <c r="L1190" s="117"/>
      <c r="M1190" s="117"/>
      <c r="N1190" s="117"/>
      <c r="O1190" s="117"/>
      <c r="P1190" s="117"/>
      <c r="Q1190" s="119"/>
      <c r="R1190" s="119"/>
      <c r="S1190" s="203" t="s">
        <v>105</v>
      </c>
      <c r="T1190" s="203" t="s">
        <v>66</v>
      </c>
      <c r="U1190" s="203" t="s">
        <v>99</v>
      </c>
      <c r="V1190" s="203" t="s">
        <v>1984</v>
      </c>
      <c r="W1190" s="121"/>
      <c r="X1190" s="121"/>
      <c r="Y1190" s="121"/>
      <c r="Z1190" s="121"/>
      <c r="AA1190" s="207">
        <v>23000.0</v>
      </c>
      <c r="AB1190" s="207">
        <v>92000.0</v>
      </c>
      <c r="AC1190" s="24" t="s">
        <v>3381</v>
      </c>
      <c r="AD1190" s="195">
        <v>10074.0</v>
      </c>
      <c r="AE1190" s="38"/>
      <c r="AF1190" s="203" t="str">
        <f t="shared" si="1"/>
        <v>Buenos Aires, Argentina</v>
      </c>
      <c r="AG1190" s="203">
        <f t="shared" si="2"/>
        <v>1</v>
      </c>
      <c r="AH1190" s="208">
        <f t="shared" si="3"/>
        <v>0</v>
      </c>
      <c r="AI1190" s="208">
        <f t="shared" si="4"/>
        <v>0</v>
      </c>
      <c r="AJ1190" s="207">
        <f t="shared" si="5"/>
        <v>115000</v>
      </c>
      <c r="AK1190" s="207">
        <f t="shared" si="6"/>
        <v>115000</v>
      </c>
      <c r="AL1190" s="123"/>
      <c r="AM1190" s="123"/>
    </row>
    <row r="1191">
      <c r="A1191" s="203">
        <v>1190.0</v>
      </c>
      <c r="B1191" s="204">
        <v>45076.0</v>
      </c>
      <c r="C1191" s="195" t="str">
        <f t="shared" si="9"/>
        <v>52023</v>
      </c>
      <c r="D1191" s="205" t="s">
        <v>3382</v>
      </c>
      <c r="E1191" s="203" t="s">
        <v>2823</v>
      </c>
      <c r="F1191" s="205" t="s">
        <v>3383</v>
      </c>
      <c r="G1191" s="203" t="s">
        <v>64</v>
      </c>
      <c r="H1191" s="203" t="s">
        <v>41</v>
      </c>
      <c r="I1191" s="203" t="s">
        <v>643</v>
      </c>
      <c r="J1191" s="206">
        <v>1.0</v>
      </c>
      <c r="K1191" s="206">
        <v>1.0</v>
      </c>
      <c r="L1191" s="117"/>
      <c r="M1191" s="117"/>
      <c r="N1191" s="117"/>
      <c r="O1191" s="117"/>
      <c r="P1191" s="117"/>
      <c r="Q1191" s="119"/>
      <c r="R1191" s="119"/>
      <c r="S1191" s="203" t="s">
        <v>65</v>
      </c>
      <c r="T1191" s="203" t="s">
        <v>66</v>
      </c>
      <c r="U1191" s="203" t="s">
        <v>99</v>
      </c>
      <c r="V1191" s="203" t="s">
        <v>1984</v>
      </c>
      <c r="W1191" s="121"/>
      <c r="X1191" s="121"/>
      <c r="Y1191" s="121"/>
      <c r="Z1191" s="121"/>
      <c r="AA1191" s="207">
        <v>40250.0</v>
      </c>
      <c r="AB1191" s="207">
        <v>197800.0</v>
      </c>
      <c r="AC1191" s="24" t="s">
        <v>3384</v>
      </c>
      <c r="AD1191" s="195">
        <v>10298.0</v>
      </c>
      <c r="AE1191" s="38"/>
      <c r="AF1191" s="203" t="str">
        <f t="shared" si="1"/>
        <v>Buenos Aires, Argentina</v>
      </c>
      <c r="AG1191" s="203">
        <f t="shared" si="2"/>
        <v>2</v>
      </c>
      <c r="AH1191" s="208">
        <f t="shared" si="3"/>
        <v>0</v>
      </c>
      <c r="AI1191" s="208">
        <f t="shared" si="4"/>
        <v>0</v>
      </c>
      <c r="AJ1191" s="207">
        <f t="shared" si="5"/>
        <v>238050</v>
      </c>
      <c r="AK1191" s="207">
        <f t="shared" si="6"/>
        <v>238050</v>
      </c>
      <c r="AL1191" s="123"/>
      <c r="AM1191" s="123"/>
    </row>
    <row r="1192">
      <c r="A1192" s="203">
        <v>1191.0</v>
      </c>
      <c r="B1192" s="204">
        <v>45076.0</v>
      </c>
      <c r="C1192" s="195" t="str">
        <f t="shared" si="9"/>
        <v>52023</v>
      </c>
      <c r="D1192" s="205" t="s">
        <v>3261</v>
      </c>
      <c r="E1192" s="203" t="s">
        <v>3262</v>
      </c>
      <c r="F1192" s="205" t="s">
        <v>3385</v>
      </c>
      <c r="G1192" s="203" t="s">
        <v>64</v>
      </c>
      <c r="H1192" s="203" t="s">
        <v>41</v>
      </c>
      <c r="I1192" s="203" t="s">
        <v>643</v>
      </c>
      <c r="J1192" s="206">
        <v>2.0</v>
      </c>
      <c r="K1192" s="206">
        <v>4.0</v>
      </c>
      <c r="L1192" s="117"/>
      <c r="M1192" s="206">
        <v>1.0</v>
      </c>
      <c r="N1192" s="117"/>
      <c r="O1192" s="117"/>
      <c r="P1192" s="117"/>
      <c r="Q1192" s="119"/>
      <c r="R1192" s="119"/>
      <c r="S1192" s="203" t="s">
        <v>89</v>
      </c>
      <c r="T1192" s="203" t="s">
        <v>66</v>
      </c>
      <c r="U1192" s="203" t="s">
        <v>99</v>
      </c>
      <c r="V1192" s="203" t="s">
        <v>1984</v>
      </c>
      <c r="W1192" s="121"/>
      <c r="X1192" s="121"/>
      <c r="Y1192" s="121"/>
      <c r="Z1192" s="121"/>
      <c r="AA1192" s="207">
        <v>138000.0</v>
      </c>
      <c r="AB1192" s="207">
        <v>552000.0</v>
      </c>
      <c r="AC1192" s="24" t="s">
        <v>3386</v>
      </c>
      <c r="AD1192" s="195">
        <v>10284.0</v>
      </c>
      <c r="AE1192" s="38"/>
      <c r="AF1192" s="203" t="str">
        <f t="shared" si="1"/>
        <v>Buenos Aires, Argentina</v>
      </c>
      <c r="AG1192" s="203">
        <f t="shared" si="2"/>
        <v>7</v>
      </c>
      <c r="AH1192" s="208">
        <f t="shared" si="3"/>
        <v>0</v>
      </c>
      <c r="AI1192" s="208">
        <f t="shared" si="4"/>
        <v>0</v>
      </c>
      <c r="AJ1192" s="207">
        <f t="shared" si="5"/>
        <v>690000</v>
      </c>
      <c r="AK1192" s="207">
        <f t="shared" si="6"/>
        <v>690000</v>
      </c>
      <c r="AL1192" s="123"/>
      <c r="AM1192" s="123"/>
    </row>
    <row r="1193">
      <c r="A1193" s="203">
        <v>1192.0</v>
      </c>
      <c r="B1193" s="204">
        <v>45076.0</v>
      </c>
      <c r="C1193" s="195" t="str">
        <f t="shared" si="9"/>
        <v>52023</v>
      </c>
      <c r="D1193" s="205" t="s">
        <v>3387</v>
      </c>
      <c r="E1193" s="203" t="s">
        <v>2767</v>
      </c>
      <c r="F1193" s="205" t="s">
        <v>3388</v>
      </c>
      <c r="G1193" s="203" t="s">
        <v>64</v>
      </c>
      <c r="H1193" s="203" t="s">
        <v>41</v>
      </c>
      <c r="I1193" s="203" t="s">
        <v>643</v>
      </c>
      <c r="J1193" s="117"/>
      <c r="K1193" s="117"/>
      <c r="L1193" s="117"/>
      <c r="M1193" s="117"/>
      <c r="N1193" s="117"/>
      <c r="O1193" s="117"/>
      <c r="P1193" s="117"/>
      <c r="Q1193" s="119"/>
      <c r="R1193" s="119"/>
      <c r="S1193" s="203" t="s">
        <v>276</v>
      </c>
      <c r="T1193" s="203" t="s">
        <v>83</v>
      </c>
      <c r="U1193" s="203" t="s">
        <v>99</v>
      </c>
      <c r="V1193" s="203" t="s">
        <v>1984</v>
      </c>
      <c r="W1193" s="207">
        <v>39684.0</v>
      </c>
      <c r="X1193" s="121"/>
      <c r="Y1193" s="121"/>
      <c r="Z1193" s="121"/>
      <c r="AA1193" s="207">
        <v>0.0</v>
      </c>
      <c r="AB1193" s="207">
        <v>0.0</v>
      </c>
      <c r="AC1193" s="24" t="s">
        <v>3389</v>
      </c>
      <c r="AD1193" s="195">
        <v>10304.0</v>
      </c>
      <c r="AE1193" s="38"/>
      <c r="AF1193" s="203" t="str">
        <f t="shared" si="1"/>
        <v>Capital Federal, Argentina</v>
      </c>
      <c r="AG1193" s="203">
        <f t="shared" si="2"/>
        <v>0</v>
      </c>
      <c r="AH1193" s="208">
        <f t="shared" si="3"/>
        <v>39684</v>
      </c>
      <c r="AI1193" s="208">
        <f t="shared" si="4"/>
        <v>0</v>
      </c>
      <c r="AJ1193" s="207">
        <f t="shared" si="5"/>
        <v>0</v>
      </c>
      <c r="AK1193" s="207">
        <f t="shared" si="6"/>
        <v>39684</v>
      </c>
      <c r="AL1193" s="123"/>
      <c r="AM1193" s="123"/>
    </row>
    <row r="1194">
      <c r="A1194" s="203">
        <v>1193.0</v>
      </c>
      <c r="B1194" s="204">
        <v>45076.0</v>
      </c>
      <c r="C1194" s="195" t="str">
        <f t="shared" si="9"/>
        <v>52023</v>
      </c>
      <c r="D1194" s="205" t="s">
        <v>3390</v>
      </c>
      <c r="E1194" s="203" t="s">
        <v>3391</v>
      </c>
      <c r="F1194" s="205" t="s">
        <v>2559</v>
      </c>
      <c r="G1194" s="203" t="s">
        <v>64</v>
      </c>
      <c r="H1194" s="203" t="s">
        <v>41</v>
      </c>
      <c r="I1194" s="203" t="s">
        <v>643</v>
      </c>
      <c r="J1194" s="117"/>
      <c r="K1194" s="117"/>
      <c r="L1194" s="117"/>
      <c r="M1194" s="117"/>
      <c r="N1194" s="117"/>
      <c r="O1194" s="117"/>
      <c r="P1194" s="117"/>
      <c r="Q1194" s="119"/>
      <c r="R1194" s="119"/>
      <c r="S1194" s="203" t="s">
        <v>114</v>
      </c>
      <c r="T1194" s="203" t="s">
        <v>66</v>
      </c>
      <c r="U1194" s="203" t="s">
        <v>99</v>
      </c>
      <c r="V1194" s="203" t="s">
        <v>1984</v>
      </c>
      <c r="W1194" s="121"/>
      <c r="X1194" s="121"/>
      <c r="Y1194" s="121"/>
      <c r="Z1194" s="121"/>
      <c r="AA1194" s="207">
        <v>0.0</v>
      </c>
      <c r="AB1194" s="207">
        <v>20700.0</v>
      </c>
      <c r="AC1194" s="24" t="s">
        <v>3392</v>
      </c>
      <c r="AD1194" s="195">
        <v>10326.0</v>
      </c>
      <c r="AE1194" s="38"/>
      <c r="AF1194" s="203" t="str">
        <f t="shared" si="1"/>
        <v>Buenos Aires, Argentina</v>
      </c>
      <c r="AG1194" s="203">
        <f t="shared" si="2"/>
        <v>0</v>
      </c>
      <c r="AH1194" s="208">
        <f t="shared" si="3"/>
        <v>0</v>
      </c>
      <c r="AI1194" s="208">
        <f t="shared" si="4"/>
        <v>0</v>
      </c>
      <c r="AJ1194" s="207">
        <f t="shared" si="5"/>
        <v>20700</v>
      </c>
      <c r="AK1194" s="207">
        <f t="shared" si="6"/>
        <v>20700</v>
      </c>
      <c r="AL1194" s="123"/>
      <c r="AM1194" s="123"/>
    </row>
    <row r="1195">
      <c r="A1195" s="203">
        <v>1194.0</v>
      </c>
      <c r="B1195" s="204">
        <v>45077.0</v>
      </c>
      <c r="C1195" s="195" t="str">
        <f t="shared" si="9"/>
        <v>52023</v>
      </c>
      <c r="D1195" s="205" t="s">
        <v>3261</v>
      </c>
      <c r="E1195" s="203" t="s">
        <v>3262</v>
      </c>
      <c r="F1195" s="205" t="s">
        <v>3393</v>
      </c>
      <c r="G1195" s="203" t="s">
        <v>64</v>
      </c>
      <c r="H1195" s="203" t="s">
        <v>41</v>
      </c>
      <c r="I1195" s="203" t="s">
        <v>643</v>
      </c>
      <c r="J1195" s="117"/>
      <c r="K1195" s="117"/>
      <c r="L1195" s="117"/>
      <c r="M1195" s="117"/>
      <c r="N1195" s="117"/>
      <c r="O1195" s="117"/>
      <c r="P1195" s="117"/>
      <c r="Q1195" s="119"/>
      <c r="R1195" s="119"/>
      <c r="S1195" s="203" t="s">
        <v>89</v>
      </c>
      <c r="T1195" s="203" t="s">
        <v>66</v>
      </c>
      <c r="U1195" s="203" t="s">
        <v>99</v>
      </c>
      <c r="V1195" s="203" t="s">
        <v>1984</v>
      </c>
      <c r="W1195" s="207">
        <v>38206.0</v>
      </c>
      <c r="X1195" s="207">
        <v>152824.0</v>
      </c>
      <c r="Y1195" s="121"/>
      <c r="Z1195" s="121"/>
      <c r="AA1195" s="207">
        <v>0.0</v>
      </c>
      <c r="AB1195" s="207">
        <v>0.0</v>
      </c>
      <c r="AC1195" s="24" t="s">
        <v>3394</v>
      </c>
      <c r="AD1195" s="195">
        <v>10282.0</v>
      </c>
      <c r="AE1195" s="38"/>
      <c r="AF1195" s="203" t="str">
        <f t="shared" si="1"/>
        <v>Buenos Aires, Argentina</v>
      </c>
      <c r="AG1195" s="203">
        <f t="shared" si="2"/>
        <v>0</v>
      </c>
      <c r="AH1195" s="208">
        <f t="shared" si="3"/>
        <v>191030</v>
      </c>
      <c r="AI1195" s="208">
        <f t="shared" si="4"/>
        <v>0</v>
      </c>
      <c r="AJ1195" s="207">
        <f t="shared" si="5"/>
        <v>0</v>
      </c>
      <c r="AK1195" s="207">
        <f t="shared" si="6"/>
        <v>191030</v>
      </c>
      <c r="AL1195" s="123"/>
      <c r="AM1195" s="123"/>
    </row>
    <row r="1196">
      <c r="A1196" s="203">
        <v>1195.0</v>
      </c>
      <c r="B1196" s="204">
        <v>45077.0</v>
      </c>
      <c r="C1196" s="195" t="str">
        <f t="shared" si="9"/>
        <v>52023</v>
      </c>
      <c r="D1196" s="205" t="s">
        <v>3395</v>
      </c>
      <c r="E1196" s="203" t="s">
        <v>531</v>
      </c>
      <c r="F1196" s="205" t="s">
        <v>2187</v>
      </c>
      <c r="G1196" s="203" t="s">
        <v>64</v>
      </c>
      <c r="H1196" s="203" t="s">
        <v>41</v>
      </c>
      <c r="I1196" s="203" t="s">
        <v>643</v>
      </c>
      <c r="J1196" s="117"/>
      <c r="K1196" s="117"/>
      <c r="L1196" s="206">
        <v>6.0</v>
      </c>
      <c r="M1196" s="117"/>
      <c r="N1196" s="117"/>
      <c r="O1196" s="117"/>
      <c r="P1196" s="117"/>
      <c r="Q1196" s="119"/>
      <c r="R1196" s="119"/>
      <c r="S1196" s="203" t="s">
        <v>89</v>
      </c>
      <c r="T1196" s="203" t="s">
        <v>66</v>
      </c>
      <c r="U1196" s="203" t="s">
        <v>99</v>
      </c>
      <c r="V1196" s="203" t="s">
        <v>1984</v>
      </c>
      <c r="W1196" s="121"/>
      <c r="X1196" s="121"/>
      <c r="Y1196" s="121"/>
      <c r="Z1196" s="121"/>
      <c r="AA1196" s="207">
        <v>69000.0</v>
      </c>
      <c r="AB1196" s="207">
        <v>310500.0</v>
      </c>
      <c r="AC1196" s="24" t="s">
        <v>3396</v>
      </c>
      <c r="AD1196" s="195">
        <v>10286.0</v>
      </c>
      <c r="AE1196" s="38"/>
      <c r="AF1196" s="203" t="str">
        <f t="shared" si="1"/>
        <v>Buenos Aires, Argentina</v>
      </c>
      <c r="AG1196" s="203">
        <f t="shared" si="2"/>
        <v>6</v>
      </c>
      <c r="AH1196" s="208">
        <f t="shared" si="3"/>
        <v>0</v>
      </c>
      <c r="AI1196" s="208">
        <f t="shared" si="4"/>
        <v>0</v>
      </c>
      <c r="AJ1196" s="207">
        <f t="shared" si="5"/>
        <v>379500</v>
      </c>
      <c r="AK1196" s="207">
        <f t="shared" si="6"/>
        <v>379500</v>
      </c>
      <c r="AL1196" s="123"/>
      <c r="AM1196" s="123"/>
    </row>
    <row r="1197">
      <c r="A1197" s="203">
        <v>1196.0</v>
      </c>
      <c r="B1197" s="204">
        <v>45077.0</v>
      </c>
      <c r="C1197" s="195" t="str">
        <f t="shared" si="9"/>
        <v>52023</v>
      </c>
      <c r="D1197" s="205" t="s">
        <v>1821</v>
      </c>
      <c r="E1197" s="203" t="s">
        <v>1822</v>
      </c>
      <c r="F1197" s="205" t="s">
        <v>3397</v>
      </c>
      <c r="G1197" s="203" t="s">
        <v>64</v>
      </c>
      <c r="H1197" s="203" t="s">
        <v>41</v>
      </c>
      <c r="I1197" s="203" t="s">
        <v>643</v>
      </c>
      <c r="J1197" s="117"/>
      <c r="K1197" s="117"/>
      <c r="L1197" s="117"/>
      <c r="M1197" s="117"/>
      <c r="N1197" s="117"/>
      <c r="O1197" s="117"/>
      <c r="P1197" s="117"/>
      <c r="Q1197" s="119"/>
      <c r="R1197" s="119"/>
      <c r="S1197" s="203" t="s">
        <v>65</v>
      </c>
      <c r="T1197" s="203" t="s">
        <v>66</v>
      </c>
      <c r="U1197" s="203" t="s">
        <v>99</v>
      </c>
      <c r="V1197" s="203" t="s">
        <v>1984</v>
      </c>
      <c r="W1197" s="207">
        <v>12489.0</v>
      </c>
      <c r="X1197" s="207">
        <v>49956.0</v>
      </c>
      <c r="Y1197" s="121"/>
      <c r="Z1197" s="121"/>
      <c r="AA1197" s="121"/>
      <c r="AB1197" s="121" t="s">
        <v>926</v>
      </c>
      <c r="AC1197" s="24" t="s">
        <v>3398</v>
      </c>
      <c r="AD1197" s="195">
        <v>10398.0</v>
      </c>
      <c r="AE1197" s="38"/>
      <c r="AF1197" s="203" t="str">
        <f t="shared" si="1"/>
        <v>Buenos Aires, Argentina</v>
      </c>
      <c r="AG1197" s="203">
        <f t="shared" si="2"/>
        <v>0</v>
      </c>
      <c r="AH1197" s="208">
        <f t="shared" si="3"/>
        <v>62445</v>
      </c>
      <c r="AI1197" s="208">
        <f t="shared" si="4"/>
        <v>0</v>
      </c>
      <c r="AJ1197" s="207">
        <f t="shared" si="5"/>
        <v>0</v>
      </c>
      <c r="AK1197" s="207">
        <f t="shared" si="6"/>
        <v>62445</v>
      </c>
      <c r="AL1197" s="123"/>
      <c r="AM1197" s="123"/>
    </row>
    <row r="1198">
      <c r="A1198" s="203">
        <v>1197.0</v>
      </c>
      <c r="B1198" s="204">
        <v>45077.0</v>
      </c>
      <c r="C1198" s="195" t="str">
        <f t="shared" si="9"/>
        <v>52023</v>
      </c>
      <c r="D1198" s="205" t="s">
        <v>2048</v>
      </c>
      <c r="E1198" s="203" t="s">
        <v>2049</v>
      </c>
      <c r="F1198" s="205" t="s">
        <v>3399</v>
      </c>
      <c r="G1198" s="203" t="s">
        <v>64</v>
      </c>
      <c r="H1198" s="203" t="s">
        <v>41</v>
      </c>
      <c r="I1198" s="203" t="s">
        <v>643</v>
      </c>
      <c r="J1198" s="206">
        <v>1.0</v>
      </c>
      <c r="K1198" s="206">
        <v>1.0</v>
      </c>
      <c r="L1198" s="117"/>
      <c r="M1198" s="117"/>
      <c r="N1198" s="117"/>
      <c r="O1198" s="117"/>
      <c r="P1198" s="117"/>
      <c r="Q1198" s="119"/>
      <c r="R1198" s="119"/>
      <c r="S1198" s="203" t="s">
        <v>98</v>
      </c>
      <c r="T1198" s="203" t="s">
        <v>58</v>
      </c>
      <c r="U1198" s="203" t="s">
        <v>99</v>
      </c>
      <c r="V1198" s="203" t="s">
        <v>1984</v>
      </c>
      <c r="W1198" s="121"/>
      <c r="X1198" s="121"/>
      <c r="Y1198" s="121"/>
      <c r="Z1198" s="121"/>
      <c r="AA1198" s="207">
        <v>40250.0</v>
      </c>
      <c r="AB1198" s="207">
        <v>222525.0</v>
      </c>
      <c r="AC1198" s="24" t="s">
        <v>3400</v>
      </c>
      <c r="AD1198" s="195">
        <v>10320.0</v>
      </c>
      <c r="AE1198" s="38"/>
      <c r="AF1198" s="203" t="str">
        <f t="shared" si="1"/>
        <v>Córdoba, Argentina</v>
      </c>
      <c r="AG1198" s="203">
        <f t="shared" si="2"/>
        <v>2</v>
      </c>
      <c r="AH1198" s="208">
        <f t="shared" si="3"/>
        <v>0</v>
      </c>
      <c r="AI1198" s="208">
        <f t="shared" si="4"/>
        <v>0</v>
      </c>
      <c r="AJ1198" s="207">
        <f t="shared" si="5"/>
        <v>262775</v>
      </c>
      <c r="AK1198" s="207">
        <f t="shared" si="6"/>
        <v>262775</v>
      </c>
      <c r="AL1198" s="123"/>
      <c r="AM1198" s="123"/>
    </row>
    <row r="1199">
      <c r="A1199" s="203">
        <v>1198.0</v>
      </c>
      <c r="B1199" s="204">
        <v>45077.0</v>
      </c>
      <c r="C1199" s="195" t="str">
        <f t="shared" si="9"/>
        <v>52023</v>
      </c>
      <c r="D1199" s="205" t="s">
        <v>3401</v>
      </c>
      <c r="E1199" s="203" t="s">
        <v>3402</v>
      </c>
      <c r="F1199" s="205" t="s">
        <v>3403</v>
      </c>
      <c r="G1199" s="203" t="s">
        <v>40</v>
      </c>
      <c r="H1199" s="203" t="s">
        <v>41</v>
      </c>
      <c r="I1199" s="203" t="s">
        <v>643</v>
      </c>
      <c r="J1199" s="206">
        <v>1.0</v>
      </c>
      <c r="K1199" s="206">
        <v>4.0</v>
      </c>
      <c r="L1199" s="117"/>
      <c r="M1199" s="206">
        <v>1.0</v>
      </c>
      <c r="N1199" s="117"/>
      <c r="O1199" s="117"/>
      <c r="P1199" s="117"/>
      <c r="Q1199" s="119"/>
      <c r="R1199" s="119"/>
      <c r="S1199" s="203" t="s">
        <v>114</v>
      </c>
      <c r="T1199" s="203" t="s">
        <v>83</v>
      </c>
      <c r="U1199" s="203" t="s">
        <v>342</v>
      </c>
      <c r="V1199" s="203" t="s">
        <v>2935</v>
      </c>
      <c r="W1199" s="121"/>
      <c r="X1199" s="121"/>
      <c r="Y1199" s="121"/>
      <c r="Z1199" s="121"/>
      <c r="AA1199" s="207">
        <v>92000.0</v>
      </c>
      <c r="AB1199" s="207">
        <v>368000.0</v>
      </c>
      <c r="AC1199" s="24" t="s">
        <v>3404</v>
      </c>
      <c r="AD1199" s="195">
        <v>10238.0</v>
      </c>
      <c r="AE1199" s="38"/>
      <c r="AF1199" s="203" t="str">
        <f t="shared" si="1"/>
        <v>Capital Federal, Argentina</v>
      </c>
      <c r="AG1199" s="203">
        <f t="shared" si="2"/>
        <v>6</v>
      </c>
      <c r="AH1199" s="208">
        <f t="shared" si="3"/>
        <v>0</v>
      </c>
      <c r="AI1199" s="208">
        <f t="shared" si="4"/>
        <v>0</v>
      </c>
      <c r="AJ1199" s="207">
        <f t="shared" si="5"/>
        <v>460000</v>
      </c>
      <c r="AK1199" s="207">
        <f t="shared" si="6"/>
        <v>460000</v>
      </c>
      <c r="AL1199" s="123"/>
      <c r="AM1199" s="123"/>
    </row>
    <row r="1200">
      <c r="A1200" s="203">
        <v>1199.0</v>
      </c>
      <c r="B1200" s="204">
        <v>45077.0</v>
      </c>
      <c r="C1200" s="195" t="str">
        <f t="shared" si="9"/>
        <v>52023</v>
      </c>
      <c r="D1200" s="205" t="s">
        <v>3405</v>
      </c>
      <c r="E1200" s="203" t="s">
        <v>2099</v>
      </c>
      <c r="F1200" s="205" t="s">
        <v>1503</v>
      </c>
      <c r="G1200" s="203" t="s">
        <v>64</v>
      </c>
      <c r="H1200" s="203" t="s">
        <v>41</v>
      </c>
      <c r="I1200" s="203" t="s">
        <v>643</v>
      </c>
      <c r="J1200" s="117"/>
      <c r="K1200" s="206">
        <v>4.0</v>
      </c>
      <c r="L1200" s="117"/>
      <c r="M1200" s="117"/>
      <c r="N1200" s="117"/>
      <c r="O1200" s="117"/>
      <c r="P1200" s="117"/>
      <c r="Q1200" s="119"/>
      <c r="R1200" s="119"/>
      <c r="S1200" s="203" t="s">
        <v>89</v>
      </c>
      <c r="T1200" s="203" t="s">
        <v>66</v>
      </c>
      <c r="U1200" s="203" t="s">
        <v>99</v>
      </c>
      <c r="V1200" s="203" t="s">
        <v>1984</v>
      </c>
      <c r="W1200" s="121"/>
      <c r="X1200" s="121"/>
      <c r="Y1200" s="121"/>
      <c r="Z1200" s="121"/>
      <c r="AA1200" s="207">
        <v>69000.0</v>
      </c>
      <c r="AB1200" s="207">
        <v>276000.0</v>
      </c>
      <c r="AC1200" s="24" t="s">
        <v>3406</v>
      </c>
      <c r="AD1200" s="195">
        <v>10404.0</v>
      </c>
      <c r="AE1200" s="38"/>
      <c r="AF1200" s="203" t="str">
        <f t="shared" si="1"/>
        <v>Buenos Aires, Argentina</v>
      </c>
      <c r="AG1200" s="203">
        <f t="shared" si="2"/>
        <v>4</v>
      </c>
      <c r="AH1200" s="208">
        <f t="shared" si="3"/>
        <v>0</v>
      </c>
      <c r="AI1200" s="208">
        <f t="shared" si="4"/>
        <v>0</v>
      </c>
      <c r="AJ1200" s="207">
        <f t="shared" si="5"/>
        <v>345000</v>
      </c>
      <c r="AK1200" s="207">
        <f t="shared" si="6"/>
        <v>345000</v>
      </c>
      <c r="AL1200" s="123"/>
      <c r="AM1200" s="123"/>
    </row>
    <row r="1201">
      <c r="A1201" s="203">
        <v>1200.0</v>
      </c>
      <c r="B1201" s="204">
        <v>45077.0</v>
      </c>
      <c r="C1201" s="195" t="str">
        <f t="shared" si="9"/>
        <v>52023</v>
      </c>
      <c r="D1201" s="205" t="s">
        <v>3407</v>
      </c>
      <c r="E1201" s="203" t="s">
        <v>3408</v>
      </c>
      <c r="F1201" s="205" t="s">
        <v>3409</v>
      </c>
      <c r="G1201" s="203" t="s">
        <v>64</v>
      </c>
      <c r="H1201" s="203" t="s">
        <v>41</v>
      </c>
      <c r="I1201" s="203" t="s">
        <v>643</v>
      </c>
      <c r="J1201" s="117"/>
      <c r="K1201" s="117"/>
      <c r="L1201" s="117"/>
      <c r="M1201" s="117"/>
      <c r="N1201" s="117"/>
      <c r="O1201" s="117"/>
      <c r="P1201" s="117"/>
      <c r="Q1201" s="119"/>
      <c r="R1201" s="119"/>
      <c r="S1201" s="203" t="s">
        <v>65</v>
      </c>
      <c r="T1201" s="203" t="s">
        <v>66</v>
      </c>
      <c r="U1201" s="203" t="s">
        <v>99</v>
      </c>
      <c r="V1201" s="203" t="s">
        <v>1984</v>
      </c>
      <c r="W1201" s="121"/>
      <c r="X1201" s="121"/>
      <c r="Y1201" s="121"/>
      <c r="Z1201" s="121"/>
      <c r="AA1201" s="207">
        <v>0.0</v>
      </c>
      <c r="AB1201" s="207">
        <v>294400.0</v>
      </c>
      <c r="AC1201" s="24" t="s">
        <v>3410</v>
      </c>
      <c r="AD1201" s="195">
        <v>10032.0</v>
      </c>
      <c r="AE1201" s="38"/>
      <c r="AF1201" s="203" t="str">
        <f t="shared" si="1"/>
        <v>Buenos Aires, Argentina</v>
      </c>
      <c r="AG1201" s="203">
        <f t="shared" si="2"/>
        <v>0</v>
      </c>
      <c r="AH1201" s="208">
        <f t="shared" si="3"/>
        <v>0</v>
      </c>
      <c r="AI1201" s="208">
        <f t="shared" si="4"/>
        <v>0</v>
      </c>
      <c r="AJ1201" s="207">
        <f t="shared" si="5"/>
        <v>294400</v>
      </c>
      <c r="AK1201" s="207">
        <f t="shared" si="6"/>
        <v>294400</v>
      </c>
      <c r="AL1201" s="123"/>
      <c r="AM1201" s="123"/>
    </row>
    <row r="1202">
      <c r="A1202" s="203">
        <v>1201.0</v>
      </c>
      <c r="B1202" s="204">
        <v>45077.0</v>
      </c>
      <c r="C1202" s="195" t="str">
        <f t="shared" si="9"/>
        <v>52023</v>
      </c>
      <c r="D1202" s="205" t="s">
        <v>2666</v>
      </c>
      <c r="E1202" s="203" t="s">
        <v>2667</v>
      </c>
      <c r="F1202" s="205" t="s">
        <v>3411</v>
      </c>
      <c r="G1202" s="203" t="s">
        <v>64</v>
      </c>
      <c r="H1202" s="203" t="s">
        <v>41</v>
      </c>
      <c r="I1202" s="203" t="s">
        <v>643</v>
      </c>
      <c r="J1202" s="117"/>
      <c r="K1202" s="117"/>
      <c r="L1202" s="117"/>
      <c r="M1202" s="117"/>
      <c r="N1202" s="117"/>
      <c r="O1202" s="117"/>
      <c r="P1202" s="117"/>
      <c r="Q1202" s="119"/>
      <c r="R1202" s="119"/>
      <c r="S1202" s="203" t="s">
        <v>204</v>
      </c>
      <c r="T1202" s="203" t="s">
        <v>83</v>
      </c>
      <c r="U1202" s="203" t="s">
        <v>99</v>
      </c>
      <c r="V1202" s="203" t="s">
        <v>1984</v>
      </c>
      <c r="W1202" s="121"/>
      <c r="X1202" s="121"/>
      <c r="Y1202" s="121"/>
      <c r="Z1202" s="121"/>
      <c r="AA1202" s="207">
        <v>0.0</v>
      </c>
      <c r="AB1202" s="207">
        <v>45000.0</v>
      </c>
      <c r="AC1202" s="24" t="s">
        <v>3412</v>
      </c>
      <c r="AD1202" s="195">
        <v>10418.0</v>
      </c>
      <c r="AE1202" s="38"/>
      <c r="AF1202" s="203" t="str">
        <f t="shared" si="1"/>
        <v>Capital Federal, Argentina</v>
      </c>
      <c r="AG1202" s="203">
        <f t="shared" si="2"/>
        <v>0</v>
      </c>
      <c r="AH1202" s="208">
        <f t="shared" si="3"/>
        <v>0</v>
      </c>
      <c r="AI1202" s="208">
        <f t="shared" si="4"/>
        <v>0</v>
      </c>
      <c r="AJ1202" s="207">
        <f t="shared" si="5"/>
        <v>45000</v>
      </c>
      <c r="AK1202" s="207">
        <f t="shared" si="6"/>
        <v>45000</v>
      </c>
      <c r="AL1202" s="123"/>
      <c r="AM1202" s="123"/>
    </row>
    <row r="1203">
      <c r="A1203" s="322">
        <v>1202.0</v>
      </c>
      <c r="B1203" s="323">
        <v>45091.0</v>
      </c>
      <c r="C1203" s="195" t="str">
        <f t="shared" si="9"/>
        <v>62023</v>
      </c>
      <c r="D1203" s="324" t="s">
        <v>2413</v>
      </c>
      <c r="E1203" s="322" t="s">
        <v>2414</v>
      </c>
      <c r="F1203" s="324" t="s">
        <v>3411</v>
      </c>
      <c r="G1203" s="322" t="s">
        <v>64</v>
      </c>
      <c r="H1203" s="322" t="s">
        <v>41</v>
      </c>
      <c r="I1203" s="322" t="s">
        <v>643</v>
      </c>
      <c r="J1203" s="75"/>
      <c r="K1203" s="75"/>
      <c r="L1203" s="75"/>
      <c r="M1203" s="75"/>
      <c r="N1203" s="75"/>
      <c r="O1203" s="75"/>
      <c r="P1203" s="75"/>
      <c r="Q1203" s="76"/>
      <c r="R1203" s="76"/>
      <c r="S1203" s="322" t="s">
        <v>276</v>
      </c>
      <c r="T1203" s="322" t="s">
        <v>83</v>
      </c>
      <c r="U1203" s="322" t="s">
        <v>99</v>
      </c>
      <c r="V1203" s="322" t="s">
        <v>1984</v>
      </c>
      <c r="W1203" s="77"/>
      <c r="X1203" s="77"/>
      <c r="Y1203" s="77"/>
      <c r="Z1203" s="77"/>
      <c r="AA1203" s="325">
        <v>0.0</v>
      </c>
      <c r="AB1203" s="325">
        <v>45000.0</v>
      </c>
      <c r="AC1203" s="24" t="s">
        <v>3413</v>
      </c>
      <c r="AD1203" s="195">
        <v>10400.0</v>
      </c>
      <c r="AE1203" s="38"/>
      <c r="AF1203" s="322" t="str">
        <f t="shared" si="1"/>
        <v>Capital Federal, Argentina</v>
      </c>
      <c r="AG1203" s="322">
        <f t="shared" si="2"/>
        <v>0</v>
      </c>
      <c r="AH1203" s="326">
        <f t="shared" si="3"/>
        <v>0</v>
      </c>
      <c r="AI1203" s="326">
        <f t="shared" si="4"/>
        <v>0</v>
      </c>
      <c r="AJ1203" s="325">
        <f t="shared" si="5"/>
        <v>45000</v>
      </c>
      <c r="AK1203" s="325">
        <f t="shared" si="6"/>
        <v>45000</v>
      </c>
      <c r="AL1203" s="80"/>
      <c r="AM1203" s="80"/>
    </row>
    <row r="1204">
      <c r="A1204" s="322">
        <v>1203.0</v>
      </c>
      <c r="B1204" s="323">
        <v>45093.0</v>
      </c>
      <c r="C1204" s="195" t="str">
        <f t="shared" si="9"/>
        <v>62023</v>
      </c>
      <c r="D1204" s="324" t="s">
        <v>3414</v>
      </c>
      <c r="E1204" s="322" t="s">
        <v>3415</v>
      </c>
      <c r="F1204" s="324" t="s">
        <v>3416</v>
      </c>
      <c r="G1204" s="322" t="s">
        <v>40</v>
      </c>
      <c r="H1204" s="322" t="s">
        <v>41</v>
      </c>
      <c r="I1204" s="322" t="s">
        <v>643</v>
      </c>
      <c r="J1204" s="327">
        <v>1.0</v>
      </c>
      <c r="K1204" s="327">
        <v>1.0</v>
      </c>
      <c r="L1204" s="75"/>
      <c r="M1204" s="327">
        <v>1.0</v>
      </c>
      <c r="N1204" s="75"/>
      <c r="O1204" s="75"/>
      <c r="P1204" s="75"/>
      <c r="Q1204" s="76"/>
      <c r="R1204" s="76"/>
      <c r="S1204" s="322" t="s">
        <v>114</v>
      </c>
      <c r="T1204" s="322" t="s">
        <v>83</v>
      </c>
      <c r="U1204" s="322" t="s">
        <v>342</v>
      </c>
      <c r="V1204" s="322" t="s">
        <v>2945</v>
      </c>
      <c r="W1204" s="77"/>
      <c r="X1204" s="77"/>
      <c r="Y1204" s="77"/>
      <c r="Z1204" s="77"/>
      <c r="AA1204" s="325">
        <v>43750.0</v>
      </c>
      <c r="AB1204" s="325">
        <v>275000.0</v>
      </c>
      <c r="AC1204" s="24" t="s">
        <v>3417</v>
      </c>
      <c r="AD1204" s="195">
        <v>9074.0</v>
      </c>
      <c r="AE1204" s="38"/>
      <c r="AF1204" s="322" t="str">
        <f t="shared" si="1"/>
        <v>Capital Federal, Argentina</v>
      </c>
      <c r="AG1204" s="322">
        <f t="shared" si="2"/>
        <v>3</v>
      </c>
      <c r="AH1204" s="326">
        <f t="shared" si="3"/>
        <v>0</v>
      </c>
      <c r="AI1204" s="326">
        <f t="shared" si="4"/>
        <v>0</v>
      </c>
      <c r="AJ1204" s="325">
        <f t="shared" si="5"/>
        <v>318750</v>
      </c>
      <c r="AK1204" s="325">
        <f t="shared" si="6"/>
        <v>318750</v>
      </c>
      <c r="AL1204" s="80"/>
      <c r="AM1204" s="80"/>
    </row>
    <row r="1205">
      <c r="A1205" s="322">
        <v>1204.0</v>
      </c>
      <c r="B1205" s="323">
        <v>45100.0</v>
      </c>
      <c r="C1205" s="195" t="str">
        <f t="shared" si="9"/>
        <v>62023</v>
      </c>
      <c r="D1205" s="324" t="s">
        <v>3179</v>
      </c>
      <c r="E1205" s="322" t="s">
        <v>3418</v>
      </c>
      <c r="F1205" s="324" t="s">
        <v>3419</v>
      </c>
      <c r="G1205" s="322" t="s">
        <v>40</v>
      </c>
      <c r="H1205" s="322" t="s">
        <v>41</v>
      </c>
      <c r="I1205" s="322" t="s">
        <v>643</v>
      </c>
      <c r="J1205" s="327">
        <v>6.0</v>
      </c>
      <c r="K1205" s="327">
        <v>3.0</v>
      </c>
      <c r="L1205" s="75"/>
      <c r="M1205" s="327">
        <v>1.0</v>
      </c>
      <c r="N1205" s="327">
        <v>1.0</v>
      </c>
      <c r="O1205" s="75"/>
      <c r="P1205" s="327">
        <v>1.0</v>
      </c>
      <c r="Q1205" s="76"/>
      <c r="R1205" s="76"/>
      <c r="S1205" s="322" t="s">
        <v>114</v>
      </c>
      <c r="T1205" s="322" t="s">
        <v>83</v>
      </c>
      <c r="U1205" s="322" t="s">
        <v>99</v>
      </c>
      <c r="V1205" s="322" t="s">
        <v>1984</v>
      </c>
      <c r="W1205" s="77"/>
      <c r="X1205" s="77"/>
      <c r="Y1205" s="77"/>
      <c r="Z1205" s="77"/>
      <c r="AA1205" s="325">
        <v>275000.0</v>
      </c>
      <c r="AB1205" s="325">
        <v>725000.0</v>
      </c>
      <c r="AC1205" s="24" t="s">
        <v>3420</v>
      </c>
      <c r="AD1205" s="195">
        <v>10392.0</v>
      </c>
      <c r="AE1205" s="38"/>
      <c r="AF1205" s="322" t="str">
        <f t="shared" si="1"/>
        <v>Capital Federal, Argentina</v>
      </c>
      <c r="AG1205" s="322">
        <f t="shared" si="2"/>
        <v>12</v>
      </c>
      <c r="AH1205" s="326">
        <f t="shared" si="3"/>
        <v>0</v>
      </c>
      <c r="AI1205" s="326">
        <f t="shared" si="4"/>
        <v>0</v>
      </c>
      <c r="AJ1205" s="325">
        <f t="shared" si="5"/>
        <v>1000000</v>
      </c>
      <c r="AK1205" s="325">
        <f t="shared" si="6"/>
        <v>1000000</v>
      </c>
      <c r="AL1205" s="80"/>
      <c r="AM1205" s="80"/>
    </row>
    <row r="1206">
      <c r="A1206" s="322">
        <v>1205.0</v>
      </c>
      <c r="B1206" s="323">
        <v>45104.0</v>
      </c>
      <c r="C1206" s="195" t="str">
        <f t="shared" si="9"/>
        <v>62023</v>
      </c>
      <c r="D1206" s="324" t="s">
        <v>2232</v>
      </c>
      <c r="E1206" s="322" t="s">
        <v>2233</v>
      </c>
      <c r="F1206" s="324" t="s">
        <v>1423</v>
      </c>
      <c r="G1206" s="322" t="s">
        <v>64</v>
      </c>
      <c r="H1206" s="322" t="s">
        <v>41</v>
      </c>
      <c r="I1206" s="322" t="s">
        <v>643</v>
      </c>
      <c r="J1206" s="327">
        <v>1.0</v>
      </c>
      <c r="K1206" s="75"/>
      <c r="L1206" s="75"/>
      <c r="M1206" s="75"/>
      <c r="N1206" s="75"/>
      <c r="O1206" s="75"/>
      <c r="P1206" s="75"/>
      <c r="Q1206" s="76"/>
      <c r="R1206" s="76"/>
      <c r="S1206" s="322" t="s">
        <v>109</v>
      </c>
      <c r="T1206" s="322" t="s">
        <v>73</v>
      </c>
      <c r="U1206" s="322" t="s">
        <v>99</v>
      </c>
      <c r="V1206" s="322" t="s">
        <v>1984</v>
      </c>
      <c r="W1206" s="77"/>
      <c r="X1206" s="77"/>
      <c r="Y1206" s="77"/>
      <c r="Z1206" s="77"/>
      <c r="AA1206" s="325">
        <v>25000.0</v>
      </c>
      <c r="AB1206" s="325">
        <v>87500.0</v>
      </c>
      <c r="AC1206" s="24" t="s">
        <v>3421</v>
      </c>
      <c r="AD1206" s="195">
        <v>10502.0</v>
      </c>
      <c r="AE1206" s="38"/>
      <c r="AF1206" s="322" t="str">
        <f t="shared" si="1"/>
        <v>Tierra de Fuego, Argentina</v>
      </c>
      <c r="AG1206" s="322">
        <f t="shared" si="2"/>
        <v>1</v>
      </c>
      <c r="AH1206" s="326">
        <f t="shared" si="3"/>
        <v>0</v>
      </c>
      <c r="AI1206" s="326">
        <f t="shared" si="4"/>
        <v>0</v>
      </c>
      <c r="AJ1206" s="325">
        <f t="shared" si="5"/>
        <v>112500</v>
      </c>
      <c r="AK1206" s="325">
        <f t="shared" si="6"/>
        <v>112500</v>
      </c>
      <c r="AL1206" s="80"/>
      <c r="AM1206" s="80"/>
    </row>
    <row r="1207">
      <c r="A1207" s="322">
        <v>1206.0</v>
      </c>
      <c r="B1207" s="323">
        <v>45105.0</v>
      </c>
      <c r="C1207" s="195" t="str">
        <f t="shared" si="9"/>
        <v>62023</v>
      </c>
      <c r="D1207" s="324" t="s">
        <v>3063</v>
      </c>
      <c r="E1207" s="322" t="s">
        <v>3064</v>
      </c>
      <c r="F1207" s="324" t="s">
        <v>1474</v>
      </c>
      <c r="G1207" s="322" t="s">
        <v>64</v>
      </c>
      <c r="H1207" s="322" t="s">
        <v>41</v>
      </c>
      <c r="I1207" s="322" t="s">
        <v>643</v>
      </c>
      <c r="J1207" s="327">
        <v>3.0</v>
      </c>
      <c r="K1207" s="75"/>
      <c r="L1207" s="75"/>
      <c r="M1207" s="75"/>
      <c r="N1207" s="75"/>
      <c r="O1207" s="75"/>
      <c r="P1207" s="75"/>
      <c r="Q1207" s="76"/>
      <c r="R1207" s="76"/>
      <c r="S1207" s="322" t="s">
        <v>65</v>
      </c>
      <c r="T1207" s="322" t="s">
        <v>972</v>
      </c>
      <c r="U1207" s="322" t="s">
        <v>99</v>
      </c>
      <c r="V1207" s="322" t="s">
        <v>1984</v>
      </c>
      <c r="W1207" s="77"/>
      <c r="X1207" s="77"/>
      <c r="Y1207" s="77"/>
      <c r="Z1207" s="77"/>
      <c r="AA1207" s="325">
        <v>75000.0</v>
      </c>
      <c r="AB1207" s="325">
        <v>262500.0</v>
      </c>
      <c r="AC1207" s="24" t="s">
        <v>3422</v>
      </c>
      <c r="AD1207" s="195">
        <v>10466.0</v>
      </c>
      <c r="AE1207" s="38"/>
      <c r="AF1207" s="322" t="str">
        <f t="shared" si="1"/>
        <v>Río Negro, Argentina</v>
      </c>
      <c r="AG1207" s="322">
        <f t="shared" si="2"/>
        <v>3</v>
      </c>
      <c r="AH1207" s="326">
        <f t="shared" si="3"/>
        <v>0</v>
      </c>
      <c r="AI1207" s="326">
        <f t="shared" si="4"/>
        <v>0</v>
      </c>
      <c r="AJ1207" s="325">
        <f t="shared" si="5"/>
        <v>337500</v>
      </c>
      <c r="AK1207" s="325">
        <f t="shared" si="6"/>
        <v>337500</v>
      </c>
      <c r="AL1207" s="80"/>
      <c r="AM1207" s="80"/>
    </row>
    <row r="1208">
      <c r="A1208" s="322">
        <v>1207.0</v>
      </c>
      <c r="B1208" s="323">
        <v>45105.0</v>
      </c>
      <c r="C1208" s="195" t="str">
        <f t="shared" si="9"/>
        <v>62023</v>
      </c>
      <c r="D1208" s="324" t="s">
        <v>3423</v>
      </c>
      <c r="E1208" s="322" t="s">
        <v>3424</v>
      </c>
      <c r="F1208" s="324" t="s">
        <v>2327</v>
      </c>
      <c r="G1208" s="322" t="s">
        <v>40</v>
      </c>
      <c r="H1208" s="322" t="s">
        <v>547</v>
      </c>
      <c r="I1208" s="322" t="s">
        <v>42</v>
      </c>
      <c r="J1208" s="327">
        <v>1.0</v>
      </c>
      <c r="K1208" s="75"/>
      <c r="L1208" s="75"/>
      <c r="M1208" s="327">
        <v>1.0</v>
      </c>
      <c r="N1208" s="75"/>
      <c r="O1208" s="75"/>
      <c r="P1208" s="75"/>
      <c r="Q1208" s="76"/>
      <c r="R1208" s="76"/>
      <c r="S1208" s="322" t="s">
        <v>114</v>
      </c>
      <c r="T1208" s="322" t="s">
        <v>66</v>
      </c>
      <c r="U1208" s="322" t="s">
        <v>342</v>
      </c>
      <c r="V1208" s="322" t="s">
        <v>2922</v>
      </c>
      <c r="W1208" s="77"/>
      <c r="X1208" s="77"/>
      <c r="Y1208" s="77"/>
      <c r="Z1208" s="77"/>
      <c r="AA1208" s="325">
        <v>15000.0</v>
      </c>
      <c r="AB1208" s="325">
        <v>60000.0</v>
      </c>
      <c r="AC1208" s="24" t="s">
        <v>3425</v>
      </c>
      <c r="AD1208" s="195">
        <v>10492.0</v>
      </c>
      <c r="AE1208" s="38"/>
      <c r="AF1208" s="322" t="str">
        <f t="shared" si="1"/>
        <v>Buenos Aires, Argentina</v>
      </c>
      <c r="AG1208" s="322">
        <f t="shared" si="2"/>
        <v>2</v>
      </c>
      <c r="AH1208" s="326">
        <f t="shared" si="3"/>
        <v>0</v>
      </c>
      <c r="AI1208" s="326">
        <f t="shared" si="4"/>
        <v>0</v>
      </c>
      <c r="AJ1208" s="325">
        <f t="shared" si="5"/>
        <v>75000</v>
      </c>
      <c r="AK1208" s="325">
        <f t="shared" si="6"/>
        <v>75000</v>
      </c>
      <c r="AL1208" s="80"/>
      <c r="AM1208" s="80"/>
    </row>
    <row r="1209">
      <c r="A1209" s="322">
        <v>1208.0</v>
      </c>
      <c r="B1209" s="323">
        <v>45106.0</v>
      </c>
      <c r="C1209" s="195" t="str">
        <f t="shared" si="9"/>
        <v>62023</v>
      </c>
      <c r="D1209" s="324" t="s">
        <v>1612</v>
      </c>
      <c r="E1209" s="322" t="s">
        <v>3426</v>
      </c>
      <c r="F1209" s="324" t="s">
        <v>1415</v>
      </c>
      <c r="G1209" s="322" t="s">
        <v>64</v>
      </c>
      <c r="H1209" s="322" t="s">
        <v>41</v>
      </c>
      <c r="I1209" s="322" t="s">
        <v>643</v>
      </c>
      <c r="J1209" s="75"/>
      <c r="K1209" s="327">
        <v>1.0</v>
      </c>
      <c r="L1209" s="75"/>
      <c r="M1209" s="75"/>
      <c r="N1209" s="75"/>
      <c r="O1209" s="75"/>
      <c r="P1209" s="75"/>
      <c r="Q1209" s="76"/>
      <c r="R1209" s="76"/>
      <c r="S1209" s="322" t="s">
        <v>276</v>
      </c>
      <c r="T1209" s="322" t="s">
        <v>66</v>
      </c>
      <c r="U1209" s="322" t="s">
        <v>99</v>
      </c>
      <c r="V1209" s="322" t="s">
        <v>1984</v>
      </c>
      <c r="W1209" s="77"/>
      <c r="X1209" s="77"/>
      <c r="Y1209" s="77"/>
      <c r="Z1209" s="77"/>
      <c r="AA1209" s="325">
        <v>18750.0</v>
      </c>
      <c r="AB1209" s="325">
        <v>75000.0</v>
      </c>
      <c r="AC1209" s="24" t="s">
        <v>3427</v>
      </c>
      <c r="AD1209" s="195">
        <v>10468.0</v>
      </c>
      <c r="AE1209" s="38"/>
      <c r="AF1209" s="322" t="str">
        <f t="shared" si="1"/>
        <v>Buenos Aires, Argentina</v>
      </c>
      <c r="AG1209" s="322">
        <f t="shared" si="2"/>
        <v>1</v>
      </c>
      <c r="AH1209" s="326">
        <f t="shared" si="3"/>
        <v>0</v>
      </c>
      <c r="AI1209" s="326">
        <f t="shared" si="4"/>
        <v>0</v>
      </c>
      <c r="AJ1209" s="325">
        <f t="shared" si="5"/>
        <v>93750</v>
      </c>
      <c r="AK1209" s="325">
        <f t="shared" si="6"/>
        <v>93750</v>
      </c>
      <c r="AL1209" s="80"/>
      <c r="AM1209" s="80"/>
    </row>
    <row r="1210">
      <c r="A1210" s="322">
        <v>1209.0</v>
      </c>
      <c r="B1210" s="323">
        <v>45106.0</v>
      </c>
      <c r="C1210" s="195" t="str">
        <f t="shared" si="9"/>
        <v>62023</v>
      </c>
      <c r="D1210" s="324" t="s">
        <v>3428</v>
      </c>
      <c r="E1210" s="322" t="s">
        <v>2623</v>
      </c>
      <c r="F1210" s="324" t="s">
        <v>3429</v>
      </c>
      <c r="G1210" s="322" t="s">
        <v>64</v>
      </c>
      <c r="H1210" s="322" t="s">
        <v>41</v>
      </c>
      <c r="I1210" s="322" t="s">
        <v>643</v>
      </c>
      <c r="J1210" s="75"/>
      <c r="K1210" s="75"/>
      <c r="L1210" s="75"/>
      <c r="M1210" s="327">
        <v>1.0</v>
      </c>
      <c r="N1210" s="75"/>
      <c r="O1210" s="75"/>
      <c r="P1210" s="75"/>
      <c r="Q1210" s="76"/>
      <c r="R1210" s="76"/>
      <c r="S1210" s="322" t="s">
        <v>43</v>
      </c>
      <c r="T1210" s="322" t="s">
        <v>66</v>
      </c>
      <c r="U1210" s="322" t="s">
        <v>99</v>
      </c>
      <c r="V1210" s="322" t="s">
        <v>1984</v>
      </c>
      <c r="W1210" s="77"/>
      <c r="X1210" s="77"/>
      <c r="Y1210" s="77"/>
      <c r="Z1210" s="77"/>
      <c r="AA1210" s="325">
        <v>25000.0</v>
      </c>
      <c r="AB1210" s="325">
        <v>122500.0</v>
      </c>
      <c r="AC1210" s="24" t="s">
        <v>3430</v>
      </c>
      <c r="AD1210" s="195">
        <v>10444.0</v>
      </c>
      <c r="AE1210" s="38"/>
      <c r="AF1210" s="322" t="str">
        <f t="shared" si="1"/>
        <v>Buenos Aires, Argentina</v>
      </c>
      <c r="AG1210" s="322">
        <f t="shared" si="2"/>
        <v>1</v>
      </c>
      <c r="AH1210" s="326">
        <f t="shared" si="3"/>
        <v>0</v>
      </c>
      <c r="AI1210" s="326">
        <f t="shared" si="4"/>
        <v>0</v>
      </c>
      <c r="AJ1210" s="325">
        <f t="shared" si="5"/>
        <v>147500</v>
      </c>
      <c r="AK1210" s="325">
        <f t="shared" si="6"/>
        <v>147500</v>
      </c>
      <c r="AL1210" s="80"/>
      <c r="AM1210" s="80"/>
    </row>
    <row r="1211">
      <c r="A1211" s="322">
        <v>1210.0</v>
      </c>
      <c r="B1211" s="323">
        <v>45107.0</v>
      </c>
      <c r="C1211" s="195" t="str">
        <f t="shared" si="9"/>
        <v>62023</v>
      </c>
      <c r="D1211" s="324" t="s">
        <v>3063</v>
      </c>
      <c r="E1211" s="322" t="s">
        <v>3064</v>
      </c>
      <c r="F1211" s="324" t="s">
        <v>3431</v>
      </c>
      <c r="G1211" s="322" t="s">
        <v>64</v>
      </c>
      <c r="H1211" s="322" t="s">
        <v>41</v>
      </c>
      <c r="I1211" s="322" t="s">
        <v>643</v>
      </c>
      <c r="J1211" s="75"/>
      <c r="K1211" s="75"/>
      <c r="L1211" s="75"/>
      <c r="M1211" s="75"/>
      <c r="N1211" s="75"/>
      <c r="O1211" s="75"/>
      <c r="P1211" s="75"/>
      <c r="Q1211" s="76"/>
      <c r="R1211" s="76"/>
      <c r="S1211" s="322" t="s">
        <v>65</v>
      </c>
      <c r="T1211" s="322" t="s">
        <v>972</v>
      </c>
      <c r="U1211" s="322" t="s">
        <v>99</v>
      </c>
      <c r="V1211" s="322" t="s">
        <v>1984</v>
      </c>
      <c r="W1211" s="77"/>
      <c r="X1211" s="77"/>
      <c r="Y1211" s="77"/>
      <c r="Z1211" s="77"/>
      <c r="AA1211" s="325">
        <v>0.0</v>
      </c>
      <c r="AB1211" s="325">
        <v>175000.0</v>
      </c>
      <c r="AC1211" s="24" t="s">
        <v>3432</v>
      </c>
      <c r="AD1211" s="195">
        <v>10546.0</v>
      </c>
      <c r="AE1211" s="38"/>
      <c r="AF1211" s="322" t="str">
        <f t="shared" si="1"/>
        <v>Río Negro, Argentina</v>
      </c>
      <c r="AG1211" s="322">
        <f t="shared" si="2"/>
        <v>0</v>
      </c>
      <c r="AH1211" s="326">
        <f t="shared" si="3"/>
        <v>0</v>
      </c>
      <c r="AI1211" s="326">
        <f t="shared" si="4"/>
        <v>0</v>
      </c>
      <c r="AJ1211" s="325">
        <f t="shared" si="5"/>
        <v>175000</v>
      </c>
      <c r="AK1211" s="325">
        <f t="shared" si="6"/>
        <v>175000</v>
      </c>
      <c r="AL1211" s="80"/>
      <c r="AM1211" s="80"/>
    </row>
    <row r="1212">
      <c r="A1212" s="322">
        <v>1211.0</v>
      </c>
      <c r="B1212" s="323">
        <v>45107.0</v>
      </c>
      <c r="C1212" s="195" t="str">
        <f t="shared" si="9"/>
        <v>62023</v>
      </c>
      <c r="D1212" s="324" t="s">
        <v>3433</v>
      </c>
      <c r="E1212" s="322" t="s">
        <v>3434</v>
      </c>
      <c r="F1212" s="324" t="s">
        <v>3416</v>
      </c>
      <c r="G1212" s="322" t="s">
        <v>40</v>
      </c>
      <c r="H1212" s="322" t="s">
        <v>547</v>
      </c>
      <c r="I1212" s="322" t="s">
        <v>42</v>
      </c>
      <c r="J1212" s="327">
        <v>1.0</v>
      </c>
      <c r="K1212" s="327">
        <v>1.0</v>
      </c>
      <c r="L1212" s="75"/>
      <c r="M1212" s="327">
        <v>1.0</v>
      </c>
      <c r="N1212" s="75"/>
      <c r="O1212" s="75"/>
      <c r="P1212" s="75"/>
      <c r="Q1212" s="76"/>
      <c r="R1212" s="76"/>
      <c r="S1212" s="322" t="s">
        <v>189</v>
      </c>
      <c r="T1212" s="322" t="s">
        <v>66</v>
      </c>
      <c r="U1212" s="322" t="s">
        <v>342</v>
      </c>
      <c r="V1212" s="322" t="s">
        <v>2922</v>
      </c>
      <c r="W1212" s="77"/>
      <c r="X1212" s="77"/>
      <c r="Y1212" s="77"/>
      <c r="Z1212" s="77"/>
      <c r="AA1212" s="325">
        <v>26250.0</v>
      </c>
      <c r="AB1212" s="325">
        <v>94500.0</v>
      </c>
      <c r="AC1212" s="24" t="s">
        <v>3435</v>
      </c>
      <c r="AD1212" s="195">
        <v>10430.0</v>
      </c>
      <c r="AE1212" s="38"/>
      <c r="AF1212" s="322" t="str">
        <f t="shared" si="1"/>
        <v>Buenos Aires, Argentina</v>
      </c>
      <c r="AG1212" s="322">
        <f t="shared" si="2"/>
        <v>3</v>
      </c>
      <c r="AH1212" s="326">
        <f t="shared" si="3"/>
        <v>0</v>
      </c>
      <c r="AI1212" s="326">
        <f t="shared" si="4"/>
        <v>0</v>
      </c>
      <c r="AJ1212" s="325">
        <f t="shared" si="5"/>
        <v>120750</v>
      </c>
      <c r="AK1212" s="325">
        <f t="shared" si="6"/>
        <v>120750</v>
      </c>
      <c r="AL1212" s="80"/>
      <c r="AM1212" s="80"/>
    </row>
    <row r="1213">
      <c r="A1213" s="322">
        <v>1212.0</v>
      </c>
      <c r="B1213" s="323">
        <v>45107.0</v>
      </c>
      <c r="C1213" s="195" t="str">
        <f t="shared" si="9"/>
        <v>62023</v>
      </c>
      <c r="D1213" s="324" t="s">
        <v>1982</v>
      </c>
      <c r="E1213" s="322" t="s">
        <v>1983</v>
      </c>
      <c r="F1213" s="324" t="s">
        <v>2257</v>
      </c>
      <c r="G1213" s="322" t="s">
        <v>64</v>
      </c>
      <c r="H1213" s="322" t="s">
        <v>41</v>
      </c>
      <c r="I1213" s="322" t="s">
        <v>643</v>
      </c>
      <c r="J1213" s="75"/>
      <c r="K1213" s="327">
        <v>1.0</v>
      </c>
      <c r="L1213" s="75"/>
      <c r="M1213" s="75"/>
      <c r="N1213" s="75"/>
      <c r="O1213" s="75"/>
      <c r="P1213" s="75"/>
      <c r="Q1213" s="76"/>
      <c r="R1213" s="76"/>
      <c r="S1213" s="322" t="s">
        <v>65</v>
      </c>
      <c r="T1213" s="322" t="s">
        <v>66</v>
      </c>
      <c r="U1213" s="322" t="s">
        <v>99</v>
      </c>
      <c r="V1213" s="322" t="s">
        <v>1984</v>
      </c>
      <c r="W1213" s="77"/>
      <c r="X1213" s="77"/>
      <c r="Y1213" s="77"/>
      <c r="Z1213" s="77"/>
      <c r="AA1213" s="325">
        <v>18750.0</v>
      </c>
      <c r="AB1213" s="325">
        <v>75000.0</v>
      </c>
      <c r="AC1213" s="24" t="s">
        <v>3436</v>
      </c>
      <c r="AD1213" s="195">
        <v>10530.0</v>
      </c>
      <c r="AE1213" s="38"/>
      <c r="AF1213" s="322" t="str">
        <f t="shared" si="1"/>
        <v>Buenos Aires, Argentina</v>
      </c>
      <c r="AG1213" s="322">
        <f t="shared" si="2"/>
        <v>1</v>
      </c>
      <c r="AH1213" s="326">
        <f t="shared" si="3"/>
        <v>0</v>
      </c>
      <c r="AI1213" s="326">
        <f t="shared" si="4"/>
        <v>0</v>
      </c>
      <c r="AJ1213" s="325">
        <f t="shared" si="5"/>
        <v>93750</v>
      </c>
      <c r="AK1213" s="325">
        <f t="shared" si="6"/>
        <v>93750</v>
      </c>
      <c r="AL1213" s="80"/>
      <c r="AM1213" s="80"/>
    </row>
    <row r="1214">
      <c r="A1214" s="322">
        <v>1213.0</v>
      </c>
      <c r="B1214" s="323">
        <v>45107.0</v>
      </c>
      <c r="C1214" s="195" t="str">
        <f t="shared" si="9"/>
        <v>62023</v>
      </c>
      <c r="D1214" s="324" t="s">
        <v>3237</v>
      </c>
      <c r="E1214" s="322" t="s">
        <v>3238</v>
      </c>
      <c r="F1214" s="324" t="s">
        <v>3437</v>
      </c>
      <c r="G1214" s="322" t="s">
        <v>64</v>
      </c>
      <c r="H1214" s="322" t="s">
        <v>41</v>
      </c>
      <c r="I1214" s="322" t="s">
        <v>42</v>
      </c>
      <c r="J1214" s="327">
        <v>1.0</v>
      </c>
      <c r="K1214" s="327">
        <v>6.0</v>
      </c>
      <c r="L1214" s="75"/>
      <c r="M1214" s="75"/>
      <c r="N1214" s="75"/>
      <c r="O1214" s="75"/>
      <c r="P1214" s="75"/>
      <c r="Q1214" s="76"/>
      <c r="R1214" s="76"/>
      <c r="S1214" s="322" t="s">
        <v>43</v>
      </c>
      <c r="T1214" s="322" t="s">
        <v>879</v>
      </c>
      <c r="U1214" s="322" t="s">
        <v>99</v>
      </c>
      <c r="V1214" s="322" t="s">
        <v>2922</v>
      </c>
      <c r="W1214" s="77"/>
      <c r="X1214" s="77"/>
      <c r="Y1214" s="77"/>
      <c r="Z1214" s="77"/>
      <c r="AA1214" s="325">
        <v>137500.0</v>
      </c>
      <c r="AB1214" s="325">
        <v>550000.0</v>
      </c>
      <c r="AC1214" s="24" t="s">
        <v>3438</v>
      </c>
      <c r="AD1214" s="195">
        <v>10296.0</v>
      </c>
      <c r="AE1214" s="38"/>
      <c r="AF1214" s="322" t="str">
        <f t="shared" si="1"/>
        <v>Salta, Argentina</v>
      </c>
      <c r="AG1214" s="322">
        <f t="shared" si="2"/>
        <v>7</v>
      </c>
      <c r="AH1214" s="326">
        <f t="shared" si="3"/>
        <v>0</v>
      </c>
      <c r="AI1214" s="326">
        <f t="shared" si="4"/>
        <v>0</v>
      </c>
      <c r="AJ1214" s="325">
        <f t="shared" si="5"/>
        <v>687500</v>
      </c>
      <c r="AK1214" s="325">
        <f t="shared" si="6"/>
        <v>687500</v>
      </c>
      <c r="AL1214" s="80"/>
      <c r="AM1214" s="80"/>
    </row>
    <row r="1215">
      <c r="A1215" s="322">
        <v>1214.0</v>
      </c>
      <c r="B1215" s="323">
        <v>45107.0</v>
      </c>
      <c r="C1215" s="195" t="str">
        <f t="shared" si="9"/>
        <v>62023</v>
      </c>
      <c r="D1215" s="324" t="s">
        <v>3439</v>
      </c>
      <c r="E1215" s="322" t="s">
        <v>3440</v>
      </c>
      <c r="F1215" s="324" t="s">
        <v>2172</v>
      </c>
      <c r="G1215" s="322" t="s">
        <v>40</v>
      </c>
      <c r="H1215" s="322" t="s">
        <v>41</v>
      </c>
      <c r="I1215" s="322" t="s">
        <v>42</v>
      </c>
      <c r="J1215" s="327">
        <v>2.0</v>
      </c>
      <c r="K1215" s="75"/>
      <c r="L1215" s="75"/>
      <c r="M1215" s="327">
        <v>1.0</v>
      </c>
      <c r="N1215" s="75"/>
      <c r="O1215" s="75"/>
      <c r="P1215" s="75"/>
      <c r="Q1215" s="76"/>
      <c r="R1215" s="76"/>
      <c r="S1215" s="322" t="s">
        <v>114</v>
      </c>
      <c r="T1215" s="322" t="s">
        <v>655</v>
      </c>
      <c r="U1215" s="322" t="s">
        <v>342</v>
      </c>
      <c r="V1215" s="322" t="s">
        <v>2922</v>
      </c>
      <c r="W1215" s="77"/>
      <c r="X1215" s="77"/>
      <c r="Y1215" s="77"/>
      <c r="Z1215" s="77"/>
      <c r="AA1215" s="325">
        <v>50000.0</v>
      </c>
      <c r="AB1215" s="325">
        <v>200000.0</v>
      </c>
      <c r="AC1215" s="24" t="s">
        <v>3441</v>
      </c>
      <c r="AD1215" s="195">
        <v>10476.0</v>
      </c>
      <c r="AE1215" s="38"/>
      <c r="AF1215" s="322" t="str">
        <f t="shared" si="1"/>
        <v>La Pampa, Argentina</v>
      </c>
      <c r="AG1215" s="322">
        <f t="shared" si="2"/>
        <v>3</v>
      </c>
      <c r="AH1215" s="326">
        <f t="shared" si="3"/>
        <v>0</v>
      </c>
      <c r="AI1215" s="326">
        <f t="shared" si="4"/>
        <v>0</v>
      </c>
      <c r="AJ1215" s="325">
        <f t="shared" si="5"/>
        <v>250000</v>
      </c>
      <c r="AK1215" s="325">
        <f t="shared" si="6"/>
        <v>250000</v>
      </c>
      <c r="AL1215" s="80"/>
      <c r="AM1215" s="80"/>
    </row>
    <row r="1216">
      <c r="A1216" s="322">
        <v>1215.0</v>
      </c>
      <c r="B1216" s="323">
        <v>45107.0</v>
      </c>
      <c r="C1216" s="195" t="str">
        <f t="shared" si="9"/>
        <v>62023</v>
      </c>
      <c r="D1216" s="324" t="s">
        <v>3442</v>
      </c>
      <c r="E1216" s="322" t="s">
        <v>3443</v>
      </c>
      <c r="F1216" s="324" t="s">
        <v>2161</v>
      </c>
      <c r="G1216" s="322" t="s">
        <v>40</v>
      </c>
      <c r="H1216" s="322" t="s">
        <v>41</v>
      </c>
      <c r="I1216" s="322" t="s">
        <v>643</v>
      </c>
      <c r="J1216" s="327">
        <v>3.0</v>
      </c>
      <c r="K1216" s="75"/>
      <c r="L1216" s="75"/>
      <c r="M1216" s="327">
        <v>1.0</v>
      </c>
      <c r="N1216" s="75"/>
      <c r="O1216" s="75"/>
      <c r="P1216" s="75"/>
      <c r="Q1216" s="76"/>
      <c r="R1216" s="76"/>
      <c r="S1216" s="322" t="s">
        <v>109</v>
      </c>
      <c r="T1216" s="322" t="s">
        <v>66</v>
      </c>
      <c r="U1216" s="322" t="s">
        <v>342</v>
      </c>
      <c r="V1216" s="322" t="s">
        <v>2935</v>
      </c>
      <c r="W1216" s="77"/>
      <c r="X1216" s="77"/>
      <c r="Y1216" s="77"/>
      <c r="Z1216" s="77"/>
      <c r="AA1216" s="325">
        <v>75000.0</v>
      </c>
      <c r="AB1216" s="325">
        <v>300000.0</v>
      </c>
      <c r="AC1216" s="24" t="s">
        <v>3444</v>
      </c>
      <c r="AD1216" s="195">
        <v>10098.0</v>
      </c>
      <c r="AE1216" s="38"/>
      <c r="AF1216" s="322" t="str">
        <f t="shared" si="1"/>
        <v>Buenos Aires, Argentina</v>
      </c>
      <c r="AG1216" s="322">
        <f t="shared" si="2"/>
        <v>4</v>
      </c>
      <c r="AH1216" s="326">
        <f t="shared" si="3"/>
        <v>0</v>
      </c>
      <c r="AI1216" s="326">
        <f t="shared" si="4"/>
        <v>0</v>
      </c>
      <c r="AJ1216" s="325">
        <f t="shared" si="5"/>
        <v>375000</v>
      </c>
      <c r="AK1216" s="325">
        <f t="shared" si="6"/>
        <v>375000</v>
      </c>
      <c r="AL1216" s="80"/>
      <c r="AM1216" s="80"/>
    </row>
    <row r="1217">
      <c r="A1217" s="322">
        <v>1216.0</v>
      </c>
      <c r="B1217" s="323">
        <v>45107.0</v>
      </c>
      <c r="C1217" s="195" t="str">
        <f t="shared" si="9"/>
        <v>62023</v>
      </c>
      <c r="D1217" s="324" t="s">
        <v>3445</v>
      </c>
      <c r="E1217" s="322" t="s">
        <v>3446</v>
      </c>
      <c r="F1217" s="324" t="s">
        <v>1415</v>
      </c>
      <c r="G1217" s="322" t="s">
        <v>64</v>
      </c>
      <c r="H1217" s="322" t="s">
        <v>41</v>
      </c>
      <c r="I1217" s="322" t="s">
        <v>643</v>
      </c>
      <c r="J1217" s="75"/>
      <c r="K1217" s="327">
        <v>1.0</v>
      </c>
      <c r="L1217" s="75"/>
      <c r="M1217" s="75"/>
      <c r="N1217" s="75"/>
      <c r="O1217" s="75"/>
      <c r="P1217" s="75"/>
      <c r="Q1217" s="76"/>
      <c r="R1217" s="76"/>
      <c r="S1217" s="322" t="s">
        <v>65</v>
      </c>
      <c r="T1217" s="322" t="s">
        <v>66</v>
      </c>
      <c r="U1217" s="322" t="s">
        <v>99</v>
      </c>
      <c r="V1217" s="322" t="s">
        <v>1984</v>
      </c>
      <c r="W1217" s="77"/>
      <c r="X1217" s="77"/>
      <c r="Y1217" s="77"/>
      <c r="Z1217" s="77"/>
      <c r="AA1217" s="325">
        <v>18750.0</v>
      </c>
      <c r="AB1217" s="325">
        <v>75000.0</v>
      </c>
      <c r="AC1217" s="24" t="s">
        <v>3447</v>
      </c>
      <c r="AD1217" s="195">
        <v>10482.0</v>
      </c>
      <c r="AE1217" s="38"/>
      <c r="AF1217" s="322" t="str">
        <f t="shared" si="1"/>
        <v>Buenos Aires, Argentina</v>
      </c>
      <c r="AG1217" s="322">
        <f t="shared" si="2"/>
        <v>1</v>
      </c>
      <c r="AH1217" s="326">
        <f t="shared" si="3"/>
        <v>0</v>
      </c>
      <c r="AI1217" s="326">
        <f t="shared" si="4"/>
        <v>0</v>
      </c>
      <c r="AJ1217" s="325">
        <f t="shared" si="5"/>
        <v>93750</v>
      </c>
      <c r="AK1217" s="325">
        <f t="shared" si="6"/>
        <v>93750</v>
      </c>
      <c r="AL1217" s="80"/>
      <c r="AM1217" s="80"/>
    </row>
    <row r="1218">
      <c r="A1218" s="322">
        <v>1217.0</v>
      </c>
      <c r="B1218" s="323">
        <v>45107.0</v>
      </c>
      <c r="C1218" s="195" t="str">
        <f t="shared" si="9"/>
        <v>62023</v>
      </c>
      <c r="D1218" s="324" t="s">
        <v>3448</v>
      </c>
      <c r="E1218" s="322" t="s">
        <v>2547</v>
      </c>
      <c r="F1218" s="324" t="s">
        <v>3449</v>
      </c>
      <c r="G1218" s="322" t="s">
        <v>64</v>
      </c>
      <c r="H1218" s="322" t="s">
        <v>41</v>
      </c>
      <c r="I1218" s="322" t="s">
        <v>643</v>
      </c>
      <c r="J1218" s="327">
        <v>1.0</v>
      </c>
      <c r="K1218" s="327">
        <v>2.0</v>
      </c>
      <c r="L1218" s="327">
        <v>1.0</v>
      </c>
      <c r="M1218" s="75"/>
      <c r="N1218" s="75"/>
      <c r="O1218" s="75"/>
      <c r="P1218" s="75"/>
      <c r="Q1218" s="76"/>
      <c r="R1218" s="76"/>
      <c r="S1218" s="322" t="s">
        <v>65</v>
      </c>
      <c r="T1218" s="322" t="s">
        <v>58</v>
      </c>
      <c r="U1218" s="322" t="s">
        <v>99</v>
      </c>
      <c r="V1218" s="322" t="s">
        <v>1984</v>
      </c>
      <c r="W1218" s="77"/>
      <c r="X1218" s="77"/>
      <c r="Y1218" s="77"/>
      <c r="Z1218" s="77"/>
      <c r="AA1218" s="325">
        <v>75000.0</v>
      </c>
      <c r="AB1218" s="325">
        <v>300000.0</v>
      </c>
      <c r="AC1218" s="24" t="s">
        <v>3450</v>
      </c>
      <c r="AD1218" s="195">
        <v>10584.0</v>
      </c>
      <c r="AE1218" s="38"/>
      <c r="AF1218" s="322" t="str">
        <f t="shared" si="1"/>
        <v>Córdoba, Argentina</v>
      </c>
      <c r="AG1218" s="322">
        <f t="shared" si="2"/>
        <v>4</v>
      </c>
      <c r="AH1218" s="326">
        <f t="shared" si="3"/>
        <v>0</v>
      </c>
      <c r="AI1218" s="326">
        <f t="shared" si="4"/>
        <v>0</v>
      </c>
      <c r="AJ1218" s="325">
        <f t="shared" si="5"/>
        <v>375000</v>
      </c>
      <c r="AK1218" s="325">
        <f t="shared" si="6"/>
        <v>375000</v>
      </c>
      <c r="AL1218" s="80"/>
      <c r="AM1218" s="80"/>
    </row>
    <row r="1219">
      <c r="A1219" s="290">
        <v>1218.0</v>
      </c>
      <c r="B1219" s="291">
        <v>45118.0</v>
      </c>
      <c r="C1219" s="195" t="str">
        <f t="shared" si="9"/>
        <v>72023</v>
      </c>
      <c r="D1219" s="292" t="s">
        <v>3451</v>
      </c>
      <c r="E1219" s="290" t="s">
        <v>3452</v>
      </c>
      <c r="F1219" s="292" t="s">
        <v>1463</v>
      </c>
      <c r="G1219" s="290" t="s">
        <v>64</v>
      </c>
      <c r="H1219" s="290" t="s">
        <v>41</v>
      </c>
      <c r="I1219" s="290" t="s">
        <v>643</v>
      </c>
      <c r="J1219" s="293">
        <v>1.0</v>
      </c>
      <c r="K1219" s="293">
        <v>2.0</v>
      </c>
      <c r="L1219" s="98"/>
      <c r="M1219" s="98"/>
      <c r="N1219" s="98"/>
      <c r="O1219" s="98"/>
      <c r="P1219" s="98"/>
      <c r="Q1219" s="99"/>
      <c r="R1219" s="99"/>
      <c r="S1219" s="290" t="s">
        <v>204</v>
      </c>
      <c r="T1219" s="290" t="s">
        <v>73</v>
      </c>
      <c r="U1219" s="290" t="s">
        <v>99</v>
      </c>
      <c r="V1219" s="290" t="s">
        <v>1984</v>
      </c>
      <c r="W1219" s="100"/>
      <c r="X1219" s="100"/>
      <c r="Y1219" s="100"/>
      <c r="Z1219" s="100"/>
      <c r="AA1219" s="294">
        <v>67200.0</v>
      </c>
      <c r="AB1219" s="294">
        <v>268800.0</v>
      </c>
      <c r="AC1219" s="24" t="s">
        <v>3453</v>
      </c>
      <c r="AD1219" s="195">
        <v>10634.0</v>
      </c>
      <c r="AE1219" s="38"/>
      <c r="AF1219" s="290" t="str">
        <f t="shared" si="1"/>
        <v>Tierra de Fuego, Argentina</v>
      </c>
      <c r="AG1219" s="290">
        <f t="shared" si="2"/>
        <v>3</v>
      </c>
      <c r="AH1219" s="295">
        <f t="shared" si="3"/>
        <v>0</v>
      </c>
      <c r="AI1219" s="295">
        <f t="shared" si="4"/>
        <v>0</v>
      </c>
      <c r="AJ1219" s="294">
        <f t="shared" si="5"/>
        <v>336000</v>
      </c>
      <c r="AK1219" s="294">
        <f t="shared" si="6"/>
        <v>336000</v>
      </c>
      <c r="AL1219" s="103"/>
      <c r="AM1219" s="103"/>
    </row>
    <row r="1220">
      <c r="A1220" s="290">
        <v>1219.0</v>
      </c>
      <c r="B1220" s="291">
        <v>45120.0</v>
      </c>
      <c r="C1220" s="195" t="str">
        <f t="shared" si="9"/>
        <v>72023</v>
      </c>
      <c r="D1220" s="292" t="s">
        <v>3317</v>
      </c>
      <c r="E1220" s="290" t="s">
        <v>3318</v>
      </c>
      <c r="F1220" s="292" t="s">
        <v>3454</v>
      </c>
      <c r="G1220" s="290" t="s">
        <v>64</v>
      </c>
      <c r="H1220" s="290" t="s">
        <v>41</v>
      </c>
      <c r="I1220" s="290" t="s">
        <v>42</v>
      </c>
      <c r="J1220" s="98"/>
      <c r="K1220" s="293">
        <v>1.0</v>
      </c>
      <c r="L1220" s="98"/>
      <c r="M1220" s="98"/>
      <c r="N1220" s="98"/>
      <c r="O1220" s="98"/>
      <c r="P1220" s="293">
        <v>1.0</v>
      </c>
      <c r="Q1220" s="99"/>
      <c r="R1220" s="99"/>
      <c r="S1220" s="290" t="s">
        <v>114</v>
      </c>
      <c r="T1220" s="290" t="s">
        <v>66</v>
      </c>
      <c r="U1220" s="290" t="s">
        <v>99</v>
      </c>
      <c r="V1220" s="290" t="s">
        <v>2922</v>
      </c>
      <c r="W1220" s="100"/>
      <c r="X1220" s="100"/>
      <c r="Y1220" s="100"/>
      <c r="Z1220" s="100"/>
      <c r="AA1220" s="294">
        <v>40320.0</v>
      </c>
      <c r="AB1220" s="294">
        <v>161280.0</v>
      </c>
      <c r="AC1220" s="24" t="s">
        <v>3455</v>
      </c>
      <c r="AD1220" s="195">
        <v>10636.0</v>
      </c>
      <c r="AE1220" s="38"/>
      <c r="AF1220" s="290" t="str">
        <f t="shared" si="1"/>
        <v>Buenos Aires, Argentina</v>
      </c>
      <c r="AG1220" s="290">
        <f t="shared" si="2"/>
        <v>2</v>
      </c>
      <c r="AH1220" s="295">
        <f t="shared" si="3"/>
        <v>0</v>
      </c>
      <c r="AI1220" s="295">
        <f t="shared" si="4"/>
        <v>0</v>
      </c>
      <c r="AJ1220" s="294">
        <f t="shared" si="5"/>
        <v>201600</v>
      </c>
      <c r="AK1220" s="294">
        <f t="shared" si="6"/>
        <v>201600</v>
      </c>
      <c r="AL1220" s="103"/>
      <c r="AM1220" s="103"/>
    </row>
    <row r="1221">
      <c r="A1221" s="290">
        <v>1220.0</v>
      </c>
      <c r="B1221" s="291">
        <v>45120.0</v>
      </c>
      <c r="C1221" s="195" t="str">
        <f t="shared" si="9"/>
        <v>72023</v>
      </c>
      <c r="D1221" s="292" t="s">
        <v>3317</v>
      </c>
      <c r="E1221" s="290" t="s">
        <v>3318</v>
      </c>
      <c r="F1221" s="292" t="s">
        <v>3456</v>
      </c>
      <c r="G1221" s="290" t="s">
        <v>64</v>
      </c>
      <c r="H1221" s="290" t="s">
        <v>41</v>
      </c>
      <c r="I1221" s="290" t="s">
        <v>42</v>
      </c>
      <c r="J1221" s="98"/>
      <c r="K1221" s="98"/>
      <c r="L1221" s="98"/>
      <c r="M1221" s="98"/>
      <c r="N1221" s="98"/>
      <c r="O1221" s="98"/>
      <c r="P1221" s="98"/>
      <c r="Q1221" s="99"/>
      <c r="R1221" s="99"/>
      <c r="S1221" s="290" t="s">
        <v>114</v>
      </c>
      <c r="T1221" s="290" t="s">
        <v>66</v>
      </c>
      <c r="U1221" s="290" t="s">
        <v>99</v>
      </c>
      <c r="V1221" s="290" t="s">
        <v>2922</v>
      </c>
      <c r="W1221" s="294">
        <v>34108.0</v>
      </c>
      <c r="X1221" s="294">
        <v>153486.0</v>
      </c>
      <c r="Y1221" s="100"/>
      <c r="Z1221" s="100"/>
      <c r="AA1221" s="100"/>
      <c r="AB1221" s="100" t="s">
        <v>926</v>
      </c>
      <c r="AC1221" s="24" t="s">
        <v>3457</v>
      </c>
      <c r="AD1221" s="195">
        <v>10656.0</v>
      </c>
      <c r="AE1221" s="38"/>
      <c r="AF1221" s="290" t="str">
        <f t="shared" si="1"/>
        <v>Buenos Aires, Argentina</v>
      </c>
      <c r="AG1221" s="290">
        <f t="shared" si="2"/>
        <v>0</v>
      </c>
      <c r="AH1221" s="295">
        <f t="shared" si="3"/>
        <v>187594</v>
      </c>
      <c r="AI1221" s="295">
        <f t="shared" si="4"/>
        <v>0</v>
      </c>
      <c r="AJ1221" s="294">
        <f t="shared" si="5"/>
        <v>0</v>
      </c>
      <c r="AK1221" s="294">
        <f t="shared" si="6"/>
        <v>187594</v>
      </c>
      <c r="AL1221" s="103"/>
      <c r="AM1221" s="103"/>
    </row>
    <row r="1222">
      <c r="A1222" s="290">
        <v>1221.0</v>
      </c>
      <c r="B1222" s="291">
        <v>45124.0</v>
      </c>
      <c r="C1222" s="195" t="str">
        <f t="shared" si="9"/>
        <v>72023</v>
      </c>
      <c r="D1222" s="292" t="s">
        <v>3458</v>
      </c>
      <c r="E1222" s="290" t="s">
        <v>3459</v>
      </c>
      <c r="F1222" s="292" t="s">
        <v>3460</v>
      </c>
      <c r="G1222" s="290" t="s">
        <v>40</v>
      </c>
      <c r="H1222" s="290" t="s">
        <v>41</v>
      </c>
      <c r="I1222" s="290" t="s">
        <v>42</v>
      </c>
      <c r="J1222" s="293">
        <v>4.0</v>
      </c>
      <c r="K1222" s="98"/>
      <c r="L1222" s="98"/>
      <c r="M1222" s="293">
        <v>1.0</v>
      </c>
      <c r="N1222" s="98"/>
      <c r="O1222" s="98"/>
      <c r="P1222" s="98"/>
      <c r="Q1222" s="99"/>
      <c r="R1222" s="99"/>
      <c r="S1222" s="290" t="s">
        <v>109</v>
      </c>
      <c r="T1222" s="290" t="s">
        <v>66</v>
      </c>
      <c r="U1222" s="290" t="s">
        <v>342</v>
      </c>
      <c r="V1222" s="290" t="s">
        <v>2922</v>
      </c>
      <c r="W1222" s="100"/>
      <c r="X1222" s="100"/>
      <c r="Y1222" s="100"/>
      <c r="Z1222" s="100"/>
      <c r="AA1222" s="294">
        <v>107520.0</v>
      </c>
      <c r="AB1222" s="294">
        <v>774144.0</v>
      </c>
      <c r="AC1222" s="24" t="s">
        <v>3461</v>
      </c>
      <c r="AD1222" s="195">
        <v>10232.0</v>
      </c>
      <c r="AE1222" s="38"/>
      <c r="AF1222" s="290" t="str">
        <f t="shared" si="1"/>
        <v>Buenos Aires, Argentina</v>
      </c>
      <c r="AG1222" s="290">
        <f t="shared" si="2"/>
        <v>5</v>
      </c>
      <c r="AH1222" s="295">
        <f t="shared" si="3"/>
        <v>0</v>
      </c>
      <c r="AI1222" s="295">
        <f t="shared" si="4"/>
        <v>0</v>
      </c>
      <c r="AJ1222" s="294">
        <f t="shared" si="5"/>
        <v>881664</v>
      </c>
      <c r="AK1222" s="294">
        <f t="shared" si="6"/>
        <v>881664</v>
      </c>
      <c r="AL1222" s="103"/>
      <c r="AM1222" s="103"/>
    </row>
    <row r="1223">
      <c r="A1223" s="290">
        <v>1222.0</v>
      </c>
      <c r="B1223" s="291">
        <v>45124.0</v>
      </c>
      <c r="C1223" s="195" t="str">
        <f t="shared" si="9"/>
        <v>72023</v>
      </c>
      <c r="D1223" s="292" t="s">
        <v>3285</v>
      </c>
      <c r="E1223" s="290" t="s">
        <v>3286</v>
      </c>
      <c r="F1223" s="292" t="s">
        <v>1709</v>
      </c>
      <c r="G1223" s="290" t="s">
        <v>64</v>
      </c>
      <c r="H1223" s="290" t="s">
        <v>41</v>
      </c>
      <c r="I1223" s="290" t="s">
        <v>643</v>
      </c>
      <c r="J1223" s="293">
        <v>1.0</v>
      </c>
      <c r="K1223" s="293">
        <v>3.0</v>
      </c>
      <c r="L1223" s="98"/>
      <c r="M1223" s="98"/>
      <c r="N1223" s="98"/>
      <c r="O1223" s="98"/>
      <c r="P1223" s="98"/>
      <c r="Q1223" s="99"/>
      <c r="R1223" s="99"/>
      <c r="S1223" s="290" t="s">
        <v>65</v>
      </c>
      <c r="T1223" s="290" t="s">
        <v>539</v>
      </c>
      <c r="U1223" s="290" t="s">
        <v>99</v>
      </c>
      <c r="V1223" s="290" t="s">
        <v>1984</v>
      </c>
      <c r="W1223" s="100"/>
      <c r="X1223" s="100"/>
      <c r="Y1223" s="100"/>
      <c r="Z1223" s="100"/>
      <c r="AA1223" s="294">
        <v>87360.0</v>
      </c>
      <c r="AB1223" s="294">
        <v>349440.0</v>
      </c>
      <c r="AC1223" s="24" t="s">
        <v>3462</v>
      </c>
      <c r="AD1223" s="195">
        <v>10452.0</v>
      </c>
      <c r="AE1223" s="38"/>
      <c r="AF1223" s="290" t="str">
        <f t="shared" si="1"/>
        <v>Misiones, Argentina</v>
      </c>
      <c r="AG1223" s="290">
        <f t="shared" si="2"/>
        <v>4</v>
      </c>
      <c r="AH1223" s="295">
        <f t="shared" si="3"/>
        <v>0</v>
      </c>
      <c r="AI1223" s="295">
        <f t="shared" si="4"/>
        <v>0</v>
      </c>
      <c r="AJ1223" s="294">
        <f t="shared" si="5"/>
        <v>436800</v>
      </c>
      <c r="AK1223" s="294">
        <f t="shared" si="6"/>
        <v>436800</v>
      </c>
      <c r="AL1223" s="103"/>
      <c r="AM1223" s="103"/>
    </row>
    <row r="1224">
      <c r="A1224" s="290">
        <v>1223.0</v>
      </c>
      <c r="B1224" s="291">
        <v>45125.0</v>
      </c>
      <c r="C1224" s="195" t="str">
        <f t="shared" si="9"/>
        <v>72023</v>
      </c>
      <c r="D1224" s="292" t="s">
        <v>3463</v>
      </c>
      <c r="E1224" s="290" t="s">
        <v>3464</v>
      </c>
      <c r="F1224" s="292" t="s">
        <v>2502</v>
      </c>
      <c r="G1224" s="290" t="s">
        <v>40</v>
      </c>
      <c r="H1224" s="290" t="s">
        <v>547</v>
      </c>
      <c r="I1224" s="290" t="s">
        <v>42</v>
      </c>
      <c r="J1224" s="293">
        <v>1.0</v>
      </c>
      <c r="K1224" s="293">
        <v>3.0</v>
      </c>
      <c r="L1224" s="98"/>
      <c r="M1224" s="293">
        <v>1.0</v>
      </c>
      <c r="N1224" s="98"/>
      <c r="O1224" s="98"/>
      <c r="P1224" s="98"/>
      <c r="Q1224" s="99"/>
      <c r="R1224" s="99"/>
      <c r="S1224" s="290" t="s">
        <v>98</v>
      </c>
      <c r="T1224" s="290" t="s">
        <v>3005</v>
      </c>
      <c r="U1224" s="290" t="s">
        <v>342</v>
      </c>
      <c r="V1224" s="290" t="s">
        <v>2922</v>
      </c>
      <c r="W1224" s="100"/>
      <c r="X1224" s="100"/>
      <c r="Y1224" s="100"/>
      <c r="Z1224" s="100"/>
      <c r="AA1224" s="294">
        <v>52416.0</v>
      </c>
      <c r="AB1224" s="294">
        <v>188697.0</v>
      </c>
      <c r="AC1224" s="24" t="s">
        <v>3465</v>
      </c>
      <c r="AD1224" s="195">
        <v>10596.0</v>
      </c>
      <c r="AE1224" s="38"/>
      <c r="AF1224" s="290" t="str">
        <f t="shared" si="1"/>
        <v>Santa Cruz, Argentina</v>
      </c>
      <c r="AG1224" s="290">
        <f t="shared" si="2"/>
        <v>5</v>
      </c>
      <c r="AH1224" s="295">
        <f t="shared" si="3"/>
        <v>0</v>
      </c>
      <c r="AI1224" s="295">
        <f t="shared" si="4"/>
        <v>0</v>
      </c>
      <c r="AJ1224" s="294">
        <f t="shared" si="5"/>
        <v>241113</v>
      </c>
      <c r="AK1224" s="294">
        <f t="shared" si="6"/>
        <v>241113</v>
      </c>
      <c r="AL1224" s="103"/>
      <c r="AM1224" s="103"/>
    </row>
    <row r="1225">
      <c r="A1225" s="290">
        <v>1224.0</v>
      </c>
      <c r="B1225" s="291">
        <v>45126.0</v>
      </c>
      <c r="C1225" s="195" t="str">
        <f t="shared" si="9"/>
        <v>72023</v>
      </c>
      <c r="D1225" s="292" t="s">
        <v>1791</v>
      </c>
      <c r="E1225" s="290" t="s">
        <v>1792</v>
      </c>
      <c r="F1225" s="292" t="s">
        <v>1415</v>
      </c>
      <c r="G1225" s="290" t="s">
        <v>64</v>
      </c>
      <c r="H1225" s="290" t="s">
        <v>41</v>
      </c>
      <c r="I1225" s="290" t="s">
        <v>643</v>
      </c>
      <c r="J1225" s="98"/>
      <c r="K1225" s="293">
        <v>1.0</v>
      </c>
      <c r="L1225" s="98"/>
      <c r="M1225" s="98"/>
      <c r="N1225" s="98"/>
      <c r="O1225" s="98"/>
      <c r="P1225" s="98"/>
      <c r="Q1225" s="99"/>
      <c r="R1225" s="99"/>
      <c r="S1225" s="290" t="s">
        <v>72</v>
      </c>
      <c r="T1225" s="290" t="s">
        <v>66</v>
      </c>
      <c r="U1225" s="290" t="s">
        <v>99</v>
      </c>
      <c r="V1225" s="290" t="s">
        <v>1984</v>
      </c>
      <c r="W1225" s="100"/>
      <c r="X1225" s="100"/>
      <c r="Y1225" s="100"/>
      <c r="Z1225" s="100"/>
      <c r="AA1225" s="294">
        <v>20160.0</v>
      </c>
      <c r="AB1225" s="294">
        <v>90720.0</v>
      </c>
      <c r="AC1225" s="24" t="s">
        <v>3466</v>
      </c>
      <c r="AD1225" s="195">
        <v>10688.0</v>
      </c>
      <c r="AE1225" s="38"/>
      <c r="AF1225" s="290" t="str">
        <f t="shared" si="1"/>
        <v>Buenos Aires, Argentina</v>
      </c>
      <c r="AG1225" s="290">
        <f t="shared" si="2"/>
        <v>1</v>
      </c>
      <c r="AH1225" s="295">
        <f t="shared" si="3"/>
        <v>0</v>
      </c>
      <c r="AI1225" s="295">
        <f t="shared" si="4"/>
        <v>0</v>
      </c>
      <c r="AJ1225" s="294">
        <f t="shared" si="5"/>
        <v>110880</v>
      </c>
      <c r="AK1225" s="294">
        <f t="shared" si="6"/>
        <v>110880</v>
      </c>
      <c r="AL1225" s="103"/>
      <c r="AM1225" s="103"/>
    </row>
    <row r="1226">
      <c r="A1226" s="290">
        <v>1225.0</v>
      </c>
      <c r="B1226" s="291">
        <v>45126.0</v>
      </c>
      <c r="C1226" s="195" t="str">
        <f t="shared" si="9"/>
        <v>72023</v>
      </c>
      <c r="D1226" s="292" t="s">
        <v>1216</v>
      </c>
      <c r="E1226" s="290" t="s">
        <v>1217</v>
      </c>
      <c r="F1226" s="292" t="s">
        <v>3467</v>
      </c>
      <c r="G1226" s="290" t="s">
        <v>64</v>
      </c>
      <c r="H1226" s="290" t="s">
        <v>41</v>
      </c>
      <c r="I1226" s="290" t="s">
        <v>643</v>
      </c>
      <c r="J1226" s="293">
        <v>1.0</v>
      </c>
      <c r="K1226" s="293">
        <v>1.0</v>
      </c>
      <c r="L1226" s="98"/>
      <c r="M1226" s="98"/>
      <c r="N1226" s="98"/>
      <c r="O1226" s="98"/>
      <c r="P1226" s="98"/>
      <c r="Q1226" s="99"/>
      <c r="R1226" s="99"/>
      <c r="S1226" s="290" t="s">
        <v>65</v>
      </c>
      <c r="T1226" s="290" t="s">
        <v>66</v>
      </c>
      <c r="U1226" s="290" t="s">
        <v>99</v>
      </c>
      <c r="V1226" s="290" t="s">
        <v>1984</v>
      </c>
      <c r="W1226" s="100"/>
      <c r="X1226" s="100"/>
      <c r="Y1226" s="100"/>
      <c r="Z1226" s="100"/>
      <c r="AA1226" s="294">
        <v>26880.0</v>
      </c>
      <c r="AB1226" s="294">
        <v>107520.0</v>
      </c>
      <c r="AC1226" s="24" t="s">
        <v>3468</v>
      </c>
      <c r="AD1226" s="195">
        <v>10684.0</v>
      </c>
      <c r="AE1226" s="38"/>
      <c r="AF1226" s="290" t="str">
        <f t="shared" si="1"/>
        <v>Buenos Aires, Argentina</v>
      </c>
      <c r="AG1226" s="290">
        <f t="shared" si="2"/>
        <v>2</v>
      </c>
      <c r="AH1226" s="295">
        <f t="shared" si="3"/>
        <v>0</v>
      </c>
      <c r="AI1226" s="295">
        <f t="shared" si="4"/>
        <v>0</v>
      </c>
      <c r="AJ1226" s="294">
        <f t="shared" si="5"/>
        <v>134400</v>
      </c>
      <c r="AK1226" s="294">
        <f t="shared" si="6"/>
        <v>134400</v>
      </c>
      <c r="AL1226" s="103"/>
      <c r="AM1226" s="103"/>
    </row>
    <row r="1227">
      <c r="A1227" s="290">
        <v>1226.0</v>
      </c>
      <c r="B1227" s="291">
        <v>45126.0</v>
      </c>
      <c r="C1227" s="195" t="str">
        <f t="shared" si="9"/>
        <v>72023</v>
      </c>
      <c r="D1227" s="292" t="s">
        <v>2084</v>
      </c>
      <c r="E1227" s="290" t="s">
        <v>2085</v>
      </c>
      <c r="F1227" s="292" t="s">
        <v>3469</v>
      </c>
      <c r="G1227" s="290" t="s">
        <v>64</v>
      </c>
      <c r="H1227" s="290" t="s">
        <v>41</v>
      </c>
      <c r="I1227" s="290" t="s">
        <v>643</v>
      </c>
      <c r="J1227" s="293">
        <v>6.0</v>
      </c>
      <c r="K1227" s="98"/>
      <c r="L1227" s="98"/>
      <c r="M1227" s="98"/>
      <c r="N1227" s="98"/>
      <c r="O1227" s="98"/>
      <c r="P1227" s="98"/>
      <c r="Q1227" s="99"/>
      <c r="R1227" s="99"/>
      <c r="S1227" s="290" t="s">
        <v>167</v>
      </c>
      <c r="T1227" s="290" t="s">
        <v>83</v>
      </c>
      <c r="U1227" s="290" t="s">
        <v>99</v>
      </c>
      <c r="V1227" s="290" t="s">
        <v>1984</v>
      </c>
      <c r="W1227" s="100"/>
      <c r="X1227" s="100"/>
      <c r="Y1227" s="100"/>
      <c r="Z1227" s="100"/>
      <c r="AA1227" s="294">
        <v>161280.0</v>
      </c>
      <c r="AB1227" s="294">
        <v>645120.0</v>
      </c>
      <c r="AC1227" s="24" t="s">
        <v>3470</v>
      </c>
      <c r="AD1227" s="195">
        <v>10686.0</v>
      </c>
      <c r="AE1227" s="38"/>
      <c r="AF1227" s="290" t="str">
        <f t="shared" si="1"/>
        <v>Capital Federal, Argentina</v>
      </c>
      <c r="AG1227" s="290">
        <f t="shared" si="2"/>
        <v>6</v>
      </c>
      <c r="AH1227" s="295">
        <f t="shared" si="3"/>
        <v>0</v>
      </c>
      <c r="AI1227" s="295">
        <f t="shared" si="4"/>
        <v>0</v>
      </c>
      <c r="AJ1227" s="294">
        <f t="shared" si="5"/>
        <v>806400</v>
      </c>
      <c r="AK1227" s="294">
        <f t="shared" si="6"/>
        <v>806400</v>
      </c>
      <c r="AL1227" s="103"/>
      <c r="AM1227" s="103"/>
    </row>
    <row r="1228">
      <c r="A1228" s="290">
        <v>1227.0</v>
      </c>
      <c r="B1228" s="291">
        <v>45131.0</v>
      </c>
      <c r="C1228" s="195" t="str">
        <f t="shared" si="9"/>
        <v>72023</v>
      </c>
      <c r="D1228" s="292" t="s">
        <v>3471</v>
      </c>
      <c r="E1228" s="290" t="s">
        <v>3472</v>
      </c>
      <c r="F1228" s="292" t="s">
        <v>2141</v>
      </c>
      <c r="G1228" s="290" t="s">
        <v>40</v>
      </c>
      <c r="H1228" s="290" t="s">
        <v>547</v>
      </c>
      <c r="I1228" s="290" t="s">
        <v>42</v>
      </c>
      <c r="J1228" s="293">
        <v>1.0</v>
      </c>
      <c r="K1228" s="293">
        <v>1.0</v>
      </c>
      <c r="L1228" s="98"/>
      <c r="M1228" s="293">
        <v>1.0</v>
      </c>
      <c r="N1228" s="98"/>
      <c r="O1228" s="98"/>
      <c r="P1228" s="98"/>
      <c r="Q1228" s="99"/>
      <c r="R1228" s="99"/>
      <c r="S1228" s="290" t="s">
        <v>189</v>
      </c>
      <c r="T1228" s="290" t="s">
        <v>66</v>
      </c>
      <c r="U1228" s="290" t="s">
        <v>342</v>
      </c>
      <c r="V1228" s="290" t="s">
        <v>2922</v>
      </c>
      <c r="W1228" s="100"/>
      <c r="X1228" s="100"/>
      <c r="Y1228" s="100"/>
      <c r="Z1228" s="100"/>
      <c r="AA1228" s="294">
        <v>28224.0</v>
      </c>
      <c r="AB1228" s="294">
        <v>101664.0</v>
      </c>
      <c r="AC1228" s="24" t="s">
        <v>3473</v>
      </c>
      <c r="AD1228" s="195">
        <v>10746.0</v>
      </c>
      <c r="AE1228" s="38"/>
      <c r="AF1228" s="290" t="str">
        <f t="shared" si="1"/>
        <v>Buenos Aires, Argentina</v>
      </c>
      <c r="AG1228" s="290">
        <f t="shared" si="2"/>
        <v>3</v>
      </c>
      <c r="AH1228" s="295">
        <f t="shared" si="3"/>
        <v>0</v>
      </c>
      <c r="AI1228" s="295">
        <f t="shared" si="4"/>
        <v>0</v>
      </c>
      <c r="AJ1228" s="294">
        <f t="shared" si="5"/>
        <v>129888</v>
      </c>
      <c r="AK1228" s="294">
        <f t="shared" si="6"/>
        <v>129888</v>
      </c>
      <c r="AL1228" s="103"/>
      <c r="AM1228" s="103"/>
    </row>
    <row r="1229">
      <c r="A1229" s="290">
        <v>1228.0</v>
      </c>
      <c r="B1229" s="291">
        <v>45131.0</v>
      </c>
      <c r="C1229" s="195" t="str">
        <f t="shared" si="9"/>
        <v>72023</v>
      </c>
      <c r="D1229" s="292" t="s">
        <v>3474</v>
      </c>
      <c r="E1229" s="290" t="s">
        <v>3475</v>
      </c>
      <c r="F1229" s="292" t="s">
        <v>2141</v>
      </c>
      <c r="G1229" s="290" t="s">
        <v>40</v>
      </c>
      <c r="H1229" s="290" t="s">
        <v>547</v>
      </c>
      <c r="I1229" s="290" t="s">
        <v>42</v>
      </c>
      <c r="J1229" s="293">
        <v>1.0</v>
      </c>
      <c r="K1229" s="293">
        <v>1.0</v>
      </c>
      <c r="L1229" s="98"/>
      <c r="M1229" s="293">
        <v>1.0</v>
      </c>
      <c r="N1229" s="98"/>
      <c r="O1229" s="98"/>
      <c r="P1229" s="98"/>
      <c r="Q1229" s="99"/>
      <c r="R1229" s="99"/>
      <c r="S1229" s="290" t="s">
        <v>72</v>
      </c>
      <c r="T1229" s="290" t="s">
        <v>2609</v>
      </c>
      <c r="U1229" s="290" t="s">
        <v>342</v>
      </c>
      <c r="V1229" s="290" t="s">
        <v>2922</v>
      </c>
      <c r="W1229" s="100"/>
      <c r="X1229" s="100"/>
      <c r="Y1229" s="100"/>
      <c r="Z1229" s="100"/>
      <c r="AA1229" s="294">
        <v>28224.0</v>
      </c>
      <c r="AB1229" s="294">
        <v>101606.0</v>
      </c>
      <c r="AC1229" s="24" t="s">
        <v>3476</v>
      </c>
      <c r="AD1229" s="195">
        <v>10632.0</v>
      </c>
      <c r="AE1229" s="38"/>
      <c r="AF1229" s="290" t="str">
        <f t="shared" si="1"/>
        <v>San Juan, Argentina</v>
      </c>
      <c r="AG1229" s="290">
        <f t="shared" si="2"/>
        <v>3</v>
      </c>
      <c r="AH1229" s="295">
        <f t="shared" si="3"/>
        <v>0</v>
      </c>
      <c r="AI1229" s="295">
        <f t="shared" si="4"/>
        <v>0</v>
      </c>
      <c r="AJ1229" s="294">
        <f t="shared" si="5"/>
        <v>129830</v>
      </c>
      <c r="AK1229" s="294">
        <f t="shared" si="6"/>
        <v>129830</v>
      </c>
      <c r="AL1229" s="103"/>
      <c r="AM1229" s="103"/>
    </row>
    <row r="1230">
      <c r="A1230" s="290">
        <v>1229.0</v>
      </c>
      <c r="B1230" s="291">
        <v>45131.0</v>
      </c>
      <c r="C1230" s="195" t="str">
        <f t="shared" si="9"/>
        <v>72023</v>
      </c>
      <c r="D1230" s="292" t="s">
        <v>3477</v>
      </c>
      <c r="E1230" s="290" t="s">
        <v>2605</v>
      </c>
      <c r="F1230" s="292" t="s">
        <v>3478</v>
      </c>
      <c r="G1230" s="290" t="s">
        <v>64</v>
      </c>
      <c r="H1230" s="290" t="s">
        <v>41</v>
      </c>
      <c r="I1230" s="290" t="s">
        <v>643</v>
      </c>
      <c r="J1230" s="98"/>
      <c r="K1230" s="98"/>
      <c r="L1230" s="98"/>
      <c r="M1230" s="98"/>
      <c r="N1230" s="98"/>
      <c r="O1230" s="98"/>
      <c r="P1230" s="98"/>
      <c r="Q1230" s="99"/>
      <c r="R1230" s="99"/>
      <c r="S1230" s="290" t="s">
        <v>65</v>
      </c>
      <c r="T1230" s="290" t="s">
        <v>83</v>
      </c>
      <c r="U1230" s="290" t="s">
        <v>99</v>
      </c>
      <c r="V1230" s="290" t="s">
        <v>1984</v>
      </c>
      <c r="W1230" s="294">
        <v>18772.0</v>
      </c>
      <c r="X1230" s="294">
        <v>75088.0</v>
      </c>
      <c r="Y1230" s="100"/>
      <c r="Z1230" s="100"/>
      <c r="AA1230" s="294">
        <v>0.0</v>
      </c>
      <c r="AB1230" s="294">
        <v>0.0</v>
      </c>
      <c r="AC1230" s="24" t="s">
        <v>3479</v>
      </c>
      <c r="AD1230" s="195">
        <v>10458.0</v>
      </c>
      <c r="AE1230" s="38"/>
      <c r="AF1230" s="290" t="str">
        <f t="shared" si="1"/>
        <v>Capital Federal, Argentina</v>
      </c>
      <c r="AG1230" s="290">
        <f t="shared" si="2"/>
        <v>0</v>
      </c>
      <c r="AH1230" s="295">
        <f t="shared" si="3"/>
        <v>93860</v>
      </c>
      <c r="AI1230" s="295">
        <f t="shared" si="4"/>
        <v>0</v>
      </c>
      <c r="AJ1230" s="294">
        <f t="shared" si="5"/>
        <v>0</v>
      </c>
      <c r="AK1230" s="294">
        <f t="shared" si="6"/>
        <v>93860</v>
      </c>
      <c r="AL1230" s="103"/>
      <c r="AM1230" s="103"/>
    </row>
    <row r="1231">
      <c r="A1231" s="290">
        <v>1230.0</v>
      </c>
      <c r="B1231" s="291">
        <v>45132.0</v>
      </c>
      <c r="C1231" s="195" t="str">
        <f t="shared" si="9"/>
        <v>72023</v>
      </c>
      <c r="D1231" s="292" t="s">
        <v>2048</v>
      </c>
      <c r="E1231" s="290" t="s">
        <v>2049</v>
      </c>
      <c r="F1231" s="292" t="s">
        <v>3480</v>
      </c>
      <c r="G1231" s="290" t="s">
        <v>64</v>
      </c>
      <c r="H1231" s="290" t="s">
        <v>41</v>
      </c>
      <c r="I1231" s="290" t="s">
        <v>643</v>
      </c>
      <c r="J1231" s="293">
        <v>1.0</v>
      </c>
      <c r="K1231" s="98"/>
      <c r="L1231" s="98"/>
      <c r="M1231" s="98"/>
      <c r="N1231" s="98"/>
      <c r="O1231" s="98"/>
      <c r="P1231" s="98"/>
      <c r="Q1231" s="99"/>
      <c r="R1231" s="99"/>
      <c r="S1231" s="290" t="s">
        <v>98</v>
      </c>
      <c r="T1231" s="290" t="s">
        <v>58</v>
      </c>
      <c r="U1231" s="290" t="s">
        <v>99</v>
      </c>
      <c r="V1231" s="290" t="s">
        <v>1984</v>
      </c>
      <c r="W1231" s="100"/>
      <c r="X1231" s="100"/>
      <c r="Y1231" s="100"/>
      <c r="Z1231" s="100"/>
      <c r="AA1231" s="294">
        <v>26880.0</v>
      </c>
      <c r="AB1231" s="294">
        <v>120960.0</v>
      </c>
      <c r="AC1231" s="24" t="s">
        <v>3481</v>
      </c>
      <c r="AD1231" s="195">
        <v>10666.0</v>
      </c>
      <c r="AE1231" s="38"/>
      <c r="AF1231" s="290" t="str">
        <f t="shared" si="1"/>
        <v>Córdoba, Argentina</v>
      </c>
      <c r="AG1231" s="290">
        <f t="shared" si="2"/>
        <v>1</v>
      </c>
      <c r="AH1231" s="295">
        <f t="shared" si="3"/>
        <v>0</v>
      </c>
      <c r="AI1231" s="295">
        <f t="shared" si="4"/>
        <v>0</v>
      </c>
      <c r="AJ1231" s="294">
        <f t="shared" si="5"/>
        <v>147840</v>
      </c>
      <c r="AK1231" s="294">
        <f t="shared" si="6"/>
        <v>147840</v>
      </c>
      <c r="AL1231" s="103"/>
      <c r="AM1231" s="103"/>
    </row>
    <row r="1232">
      <c r="A1232" s="290">
        <v>1231.0</v>
      </c>
      <c r="B1232" s="291">
        <v>45132.0</v>
      </c>
      <c r="C1232" s="195" t="str">
        <f t="shared" si="9"/>
        <v>72023</v>
      </c>
      <c r="D1232" s="292" t="s">
        <v>2408</v>
      </c>
      <c r="E1232" s="290" t="s">
        <v>2409</v>
      </c>
      <c r="F1232" s="292" t="s">
        <v>1592</v>
      </c>
      <c r="G1232" s="290" t="s">
        <v>64</v>
      </c>
      <c r="H1232" s="290" t="s">
        <v>41</v>
      </c>
      <c r="I1232" s="290" t="s">
        <v>643</v>
      </c>
      <c r="J1232" s="293">
        <v>1.0</v>
      </c>
      <c r="K1232" s="293">
        <v>1.0</v>
      </c>
      <c r="L1232" s="98"/>
      <c r="M1232" s="98"/>
      <c r="N1232" s="98"/>
      <c r="O1232" s="98"/>
      <c r="P1232" s="98"/>
      <c r="Q1232" s="99"/>
      <c r="R1232" s="99"/>
      <c r="S1232" s="290" t="s">
        <v>109</v>
      </c>
      <c r="T1232" s="290" t="s">
        <v>73</v>
      </c>
      <c r="U1232" s="290" t="s">
        <v>99</v>
      </c>
      <c r="V1232" s="290" t="s">
        <v>1984</v>
      </c>
      <c r="W1232" s="100"/>
      <c r="X1232" s="100"/>
      <c r="Y1232" s="100"/>
      <c r="Z1232" s="100"/>
      <c r="AA1232" s="294">
        <v>47040.0</v>
      </c>
      <c r="AB1232" s="294">
        <v>164640.0</v>
      </c>
      <c r="AC1232" s="24" t="s">
        <v>3482</v>
      </c>
      <c r="AD1232" s="195">
        <v>10708.0</v>
      </c>
      <c r="AE1232" s="38"/>
      <c r="AF1232" s="290" t="str">
        <f t="shared" si="1"/>
        <v>Tierra de Fuego, Argentina</v>
      </c>
      <c r="AG1232" s="290">
        <f t="shared" si="2"/>
        <v>2</v>
      </c>
      <c r="AH1232" s="295">
        <f t="shared" si="3"/>
        <v>0</v>
      </c>
      <c r="AI1232" s="295">
        <f t="shared" si="4"/>
        <v>0</v>
      </c>
      <c r="AJ1232" s="294">
        <f t="shared" si="5"/>
        <v>211680</v>
      </c>
      <c r="AK1232" s="294">
        <f t="shared" si="6"/>
        <v>211680</v>
      </c>
      <c r="AL1232" s="103"/>
      <c r="AM1232" s="103"/>
    </row>
    <row r="1233">
      <c r="A1233" s="290">
        <v>1232.0</v>
      </c>
      <c r="B1233" s="291">
        <v>45133.0</v>
      </c>
      <c r="C1233" s="195" t="str">
        <f t="shared" si="9"/>
        <v>72023</v>
      </c>
      <c r="D1233" s="292" t="s">
        <v>1635</v>
      </c>
      <c r="E1233" s="290" t="s">
        <v>3483</v>
      </c>
      <c r="F1233" s="292" t="s">
        <v>1415</v>
      </c>
      <c r="G1233" s="290" t="s">
        <v>64</v>
      </c>
      <c r="H1233" s="290" t="s">
        <v>41</v>
      </c>
      <c r="I1233" s="290" t="s">
        <v>643</v>
      </c>
      <c r="J1233" s="98"/>
      <c r="K1233" s="293">
        <v>1.0</v>
      </c>
      <c r="L1233" s="98"/>
      <c r="M1233" s="98"/>
      <c r="N1233" s="98"/>
      <c r="O1233" s="98"/>
      <c r="P1233" s="98"/>
      <c r="Q1233" s="99"/>
      <c r="R1233" s="99"/>
      <c r="S1233" s="290" t="s">
        <v>89</v>
      </c>
      <c r="T1233" s="290" t="s">
        <v>66</v>
      </c>
      <c r="U1233" s="290" t="s">
        <v>99</v>
      </c>
      <c r="V1233" s="290" t="s">
        <v>1984</v>
      </c>
      <c r="W1233" s="100"/>
      <c r="X1233" s="100"/>
      <c r="Y1233" s="100"/>
      <c r="Z1233" s="100"/>
      <c r="AA1233" s="294">
        <v>20160.0</v>
      </c>
      <c r="AB1233" s="294">
        <v>80640.0</v>
      </c>
      <c r="AC1233" s="24" t="s">
        <v>3484</v>
      </c>
      <c r="AD1233" s="195">
        <v>10736.0</v>
      </c>
      <c r="AE1233" s="38"/>
      <c r="AF1233" s="290" t="str">
        <f t="shared" si="1"/>
        <v>Buenos Aires, Argentina</v>
      </c>
      <c r="AG1233" s="290">
        <f t="shared" si="2"/>
        <v>1</v>
      </c>
      <c r="AH1233" s="295">
        <f t="shared" si="3"/>
        <v>0</v>
      </c>
      <c r="AI1233" s="295">
        <f t="shared" si="4"/>
        <v>0</v>
      </c>
      <c r="AJ1233" s="294">
        <f t="shared" si="5"/>
        <v>100800</v>
      </c>
      <c r="AK1233" s="294">
        <f t="shared" si="6"/>
        <v>100800</v>
      </c>
      <c r="AL1233" s="103"/>
      <c r="AM1233" s="103"/>
    </row>
    <row r="1234">
      <c r="A1234" s="290">
        <v>1233.0</v>
      </c>
      <c r="B1234" s="291">
        <v>45134.0</v>
      </c>
      <c r="C1234" s="195" t="str">
        <f t="shared" si="9"/>
        <v>72023</v>
      </c>
      <c r="D1234" s="292" t="s">
        <v>3485</v>
      </c>
      <c r="E1234" s="290" t="s">
        <v>3486</v>
      </c>
      <c r="F1234" s="292" t="s">
        <v>1423</v>
      </c>
      <c r="G1234" s="290" t="s">
        <v>40</v>
      </c>
      <c r="H1234" s="290" t="s">
        <v>547</v>
      </c>
      <c r="I1234" s="290" t="s">
        <v>643</v>
      </c>
      <c r="J1234" s="293">
        <v>1.0</v>
      </c>
      <c r="K1234" s="98"/>
      <c r="L1234" s="98"/>
      <c r="M1234" s="98"/>
      <c r="N1234" s="98"/>
      <c r="O1234" s="98"/>
      <c r="P1234" s="98"/>
      <c r="Q1234" s="99"/>
      <c r="R1234" s="99"/>
      <c r="S1234" s="290" t="s">
        <v>114</v>
      </c>
      <c r="T1234" s="290" t="s">
        <v>66</v>
      </c>
      <c r="U1234" s="290" t="s">
        <v>342</v>
      </c>
      <c r="V1234" s="290" t="s">
        <v>2935</v>
      </c>
      <c r="W1234" s="100"/>
      <c r="X1234" s="100"/>
      <c r="Y1234" s="100"/>
      <c r="Z1234" s="100"/>
      <c r="AA1234" s="294">
        <v>16128.0</v>
      </c>
      <c r="AB1234" s="294">
        <v>58061.0</v>
      </c>
      <c r="AC1234" s="24" t="s">
        <v>3487</v>
      </c>
      <c r="AD1234" s="195">
        <v>10866.0</v>
      </c>
      <c r="AE1234" s="38"/>
      <c r="AF1234" s="290" t="str">
        <f t="shared" si="1"/>
        <v>Buenos Aires, Argentina</v>
      </c>
      <c r="AG1234" s="290">
        <f t="shared" si="2"/>
        <v>1</v>
      </c>
      <c r="AH1234" s="295">
        <f t="shared" si="3"/>
        <v>0</v>
      </c>
      <c r="AI1234" s="295">
        <f t="shared" si="4"/>
        <v>0</v>
      </c>
      <c r="AJ1234" s="294">
        <f t="shared" si="5"/>
        <v>74189</v>
      </c>
      <c r="AK1234" s="294">
        <f t="shared" si="6"/>
        <v>74189</v>
      </c>
      <c r="AL1234" s="103"/>
      <c r="AM1234" s="103"/>
    </row>
    <row r="1235">
      <c r="A1235" s="290">
        <v>1234.0</v>
      </c>
      <c r="B1235" s="291">
        <v>45134.0</v>
      </c>
      <c r="C1235" s="195" t="str">
        <f t="shared" si="9"/>
        <v>72023</v>
      </c>
      <c r="D1235" s="292" t="s">
        <v>3488</v>
      </c>
      <c r="E1235" s="290" t="s">
        <v>3489</v>
      </c>
      <c r="F1235" s="292" t="s">
        <v>3490</v>
      </c>
      <c r="G1235" s="290" t="s">
        <v>64</v>
      </c>
      <c r="H1235" s="290" t="s">
        <v>41</v>
      </c>
      <c r="I1235" s="290" t="s">
        <v>643</v>
      </c>
      <c r="J1235" s="98"/>
      <c r="K1235" s="98"/>
      <c r="L1235" s="98"/>
      <c r="M1235" s="98"/>
      <c r="N1235" s="98"/>
      <c r="O1235" s="98"/>
      <c r="P1235" s="293">
        <v>1.0</v>
      </c>
      <c r="Q1235" s="99"/>
      <c r="R1235" s="99"/>
      <c r="S1235" s="290" t="s">
        <v>189</v>
      </c>
      <c r="T1235" s="290" t="s">
        <v>66</v>
      </c>
      <c r="U1235" s="290" t="s">
        <v>99</v>
      </c>
      <c r="V1235" s="290" t="s">
        <v>1984</v>
      </c>
      <c r="W1235" s="100"/>
      <c r="X1235" s="100"/>
      <c r="Y1235" s="100"/>
      <c r="Z1235" s="100"/>
      <c r="AA1235" s="294">
        <v>20160.0</v>
      </c>
      <c r="AB1235" s="294">
        <v>80640.0</v>
      </c>
      <c r="AC1235" s="24" t="s">
        <v>3491</v>
      </c>
      <c r="AD1235" s="195">
        <v>10272.0</v>
      </c>
      <c r="AE1235" s="38"/>
      <c r="AF1235" s="290" t="str">
        <f t="shared" si="1"/>
        <v>Buenos Aires, Argentina</v>
      </c>
      <c r="AG1235" s="290">
        <f t="shared" si="2"/>
        <v>1</v>
      </c>
      <c r="AH1235" s="295">
        <f t="shared" si="3"/>
        <v>0</v>
      </c>
      <c r="AI1235" s="295">
        <f t="shared" si="4"/>
        <v>0</v>
      </c>
      <c r="AJ1235" s="294">
        <f t="shared" si="5"/>
        <v>100800</v>
      </c>
      <c r="AK1235" s="294">
        <f t="shared" si="6"/>
        <v>100800</v>
      </c>
      <c r="AL1235" s="103"/>
      <c r="AM1235" s="103"/>
    </row>
    <row r="1236">
      <c r="A1236" s="290">
        <v>1235.0</v>
      </c>
      <c r="B1236" s="291">
        <v>45135.0</v>
      </c>
      <c r="C1236" s="195" t="str">
        <f t="shared" si="9"/>
        <v>72023</v>
      </c>
      <c r="D1236" s="292" t="s">
        <v>2352</v>
      </c>
      <c r="E1236" s="290" t="s">
        <v>2353</v>
      </c>
      <c r="F1236" s="292" t="s">
        <v>1415</v>
      </c>
      <c r="G1236" s="290" t="s">
        <v>64</v>
      </c>
      <c r="H1236" s="290" t="s">
        <v>41</v>
      </c>
      <c r="I1236" s="290" t="s">
        <v>643</v>
      </c>
      <c r="J1236" s="98"/>
      <c r="K1236" s="293">
        <v>1.0</v>
      </c>
      <c r="L1236" s="98"/>
      <c r="M1236" s="98"/>
      <c r="N1236" s="98"/>
      <c r="O1236" s="98"/>
      <c r="P1236" s="98"/>
      <c r="Q1236" s="99"/>
      <c r="R1236" s="99"/>
      <c r="S1236" s="290" t="s">
        <v>65</v>
      </c>
      <c r="T1236" s="290" t="s">
        <v>58</v>
      </c>
      <c r="U1236" s="290" t="s">
        <v>99</v>
      </c>
      <c r="V1236" s="290" t="s">
        <v>1984</v>
      </c>
      <c r="W1236" s="100"/>
      <c r="X1236" s="100"/>
      <c r="Y1236" s="100"/>
      <c r="Z1236" s="100"/>
      <c r="AA1236" s="294">
        <v>20160.0</v>
      </c>
      <c r="AB1236" s="294">
        <v>70560.0</v>
      </c>
      <c r="AC1236" s="24" t="s">
        <v>3492</v>
      </c>
      <c r="AD1236" s="195">
        <v>10880.0</v>
      </c>
      <c r="AE1236" s="38"/>
      <c r="AF1236" s="290" t="str">
        <f t="shared" si="1"/>
        <v>Córdoba, Argentina</v>
      </c>
      <c r="AG1236" s="290">
        <f t="shared" si="2"/>
        <v>1</v>
      </c>
      <c r="AH1236" s="295">
        <f t="shared" si="3"/>
        <v>0</v>
      </c>
      <c r="AI1236" s="295">
        <f t="shared" si="4"/>
        <v>0</v>
      </c>
      <c r="AJ1236" s="294">
        <f t="shared" si="5"/>
        <v>90720</v>
      </c>
      <c r="AK1236" s="294">
        <f t="shared" si="6"/>
        <v>90720</v>
      </c>
      <c r="AL1236" s="103"/>
      <c r="AM1236" s="103"/>
    </row>
    <row r="1237">
      <c r="A1237" s="290">
        <v>1236.0</v>
      </c>
      <c r="B1237" s="291">
        <v>45138.0</v>
      </c>
      <c r="C1237" s="195" t="str">
        <f t="shared" si="9"/>
        <v>72023</v>
      </c>
      <c r="D1237" s="292" t="s">
        <v>3439</v>
      </c>
      <c r="E1237" s="290" t="s">
        <v>3440</v>
      </c>
      <c r="F1237" s="292" t="s">
        <v>3493</v>
      </c>
      <c r="G1237" s="290" t="s">
        <v>64</v>
      </c>
      <c r="H1237" s="290" t="s">
        <v>41</v>
      </c>
      <c r="I1237" s="290" t="s">
        <v>42</v>
      </c>
      <c r="J1237" s="293">
        <v>2.0</v>
      </c>
      <c r="K1237" s="293">
        <v>13.0</v>
      </c>
      <c r="L1237" s="293">
        <v>2.0</v>
      </c>
      <c r="M1237" s="98"/>
      <c r="N1237" s="98"/>
      <c r="O1237" s="293">
        <v>1.0</v>
      </c>
      <c r="P1237" s="98"/>
      <c r="Q1237" s="99"/>
      <c r="R1237" s="99"/>
      <c r="S1237" s="290" t="s">
        <v>114</v>
      </c>
      <c r="T1237" s="290" t="s">
        <v>655</v>
      </c>
      <c r="U1237" s="290" t="s">
        <v>99</v>
      </c>
      <c r="V1237" s="290" t="s">
        <v>2922</v>
      </c>
      <c r="W1237" s="100"/>
      <c r="X1237" s="100"/>
      <c r="Y1237" s="100"/>
      <c r="Z1237" s="100"/>
      <c r="AA1237" s="294">
        <v>372288.0</v>
      </c>
      <c r="AB1237" s="294">
        <v>1489152.0</v>
      </c>
      <c r="AC1237" s="24" t="s">
        <v>3494</v>
      </c>
      <c r="AD1237" s="195">
        <v>10902.0</v>
      </c>
      <c r="AE1237" s="38"/>
      <c r="AF1237" s="290" t="str">
        <f t="shared" si="1"/>
        <v>La Pampa, Argentina</v>
      </c>
      <c r="AG1237" s="290">
        <f t="shared" si="2"/>
        <v>18</v>
      </c>
      <c r="AH1237" s="295">
        <f t="shared" si="3"/>
        <v>0</v>
      </c>
      <c r="AI1237" s="295">
        <f t="shared" si="4"/>
        <v>0</v>
      </c>
      <c r="AJ1237" s="294">
        <f t="shared" si="5"/>
        <v>1861440</v>
      </c>
      <c r="AK1237" s="294">
        <f t="shared" si="6"/>
        <v>1861440</v>
      </c>
      <c r="AL1237" s="103"/>
      <c r="AM1237" s="103"/>
    </row>
    <row r="1238">
      <c r="A1238" s="290">
        <v>1237.0</v>
      </c>
      <c r="B1238" s="291">
        <v>45138.0</v>
      </c>
      <c r="C1238" s="195" t="str">
        <f t="shared" si="9"/>
        <v>72023</v>
      </c>
      <c r="D1238" s="292" t="s">
        <v>3495</v>
      </c>
      <c r="E1238" s="290" t="s">
        <v>2289</v>
      </c>
      <c r="F1238" s="292" t="s">
        <v>2983</v>
      </c>
      <c r="G1238" s="290" t="s">
        <v>64</v>
      </c>
      <c r="H1238" s="290" t="s">
        <v>41</v>
      </c>
      <c r="I1238" s="290" t="s">
        <v>643</v>
      </c>
      <c r="J1238" s="98"/>
      <c r="K1238" s="98"/>
      <c r="L1238" s="98"/>
      <c r="M1238" s="98"/>
      <c r="N1238" s="98"/>
      <c r="O1238" s="98"/>
      <c r="P1238" s="98"/>
      <c r="Q1238" s="99"/>
      <c r="R1238" s="99"/>
      <c r="S1238" s="290" t="s">
        <v>114</v>
      </c>
      <c r="T1238" s="290" t="s">
        <v>66</v>
      </c>
      <c r="U1238" s="290" t="s">
        <v>99</v>
      </c>
      <c r="V1238" s="290" t="s">
        <v>1984</v>
      </c>
      <c r="W1238" s="100"/>
      <c r="X1238" s="100"/>
      <c r="Y1238" s="100"/>
      <c r="Z1238" s="100"/>
      <c r="AA1238" s="294">
        <v>0.0</v>
      </c>
      <c r="AB1238" s="294">
        <v>43008.0</v>
      </c>
      <c r="AC1238" s="24" t="s">
        <v>3496</v>
      </c>
      <c r="AD1238" s="195">
        <v>10640.0</v>
      </c>
      <c r="AE1238" s="38"/>
      <c r="AF1238" s="290" t="str">
        <f t="shared" si="1"/>
        <v>Buenos Aires, Argentina</v>
      </c>
      <c r="AG1238" s="290">
        <f t="shared" si="2"/>
        <v>0</v>
      </c>
      <c r="AH1238" s="295">
        <f t="shared" si="3"/>
        <v>0</v>
      </c>
      <c r="AI1238" s="295">
        <f t="shared" si="4"/>
        <v>0</v>
      </c>
      <c r="AJ1238" s="294">
        <f t="shared" si="5"/>
        <v>43008</v>
      </c>
      <c r="AK1238" s="294">
        <f t="shared" si="6"/>
        <v>43008</v>
      </c>
      <c r="AL1238" s="103"/>
      <c r="AM1238" s="103"/>
    </row>
    <row r="1239">
      <c r="A1239" s="290">
        <v>1238.0</v>
      </c>
      <c r="B1239" s="291">
        <v>45138.0</v>
      </c>
      <c r="C1239" s="195" t="str">
        <f t="shared" si="9"/>
        <v>72023</v>
      </c>
      <c r="D1239" s="292" t="s">
        <v>3497</v>
      </c>
      <c r="E1239" s="290" t="s">
        <v>3498</v>
      </c>
      <c r="F1239" s="292" t="s">
        <v>1423</v>
      </c>
      <c r="G1239" s="290" t="s">
        <v>64</v>
      </c>
      <c r="H1239" s="290" t="s">
        <v>41</v>
      </c>
      <c r="I1239" s="290" t="s">
        <v>643</v>
      </c>
      <c r="J1239" s="293">
        <v>1.0</v>
      </c>
      <c r="K1239" s="98"/>
      <c r="L1239" s="98"/>
      <c r="M1239" s="98"/>
      <c r="N1239" s="98"/>
      <c r="O1239" s="98"/>
      <c r="P1239" s="98"/>
      <c r="Q1239" s="99"/>
      <c r="R1239" s="99"/>
      <c r="S1239" s="290" t="s">
        <v>98</v>
      </c>
      <c r="T1239" s="290" t="s">
        <v>66</v>
      </c>
      <c r="U1239" s="290" t="s">
        <v>99</v>
      </c>
      <c r="V1239" s="290" t="s">
        <v>1984</v>
      </c>
      <c r="W1239" s="100"/>
      <c r="X1239" s="100"/>
      <c r="Y1239" s="100"/>
      <c r="Z1239" s="100"/>
      <c r="AA1239" s="294">
        <v>26880.0</v>
      </c>
      <c r="AB1239" s="294">
        <v>94080.0</v>
      </c>
      <c r="AC1239" s="24" t="s">
        <v>3499</v>
      </c>
      <c r="AD1239" s="201">
        <v>10738.0</v>
      </c>
      <c r="AE1239" s="134"/>
      <c r="AF1239" s="290" t="str">
        <f t="shared" si="1"/>
        <v>Buenos Aires, Argentina</v>
      </c>
      <c r="AG1239" s="290">
        <f t="shared" si="2"/>
        <v>1</v>
      </c>
      <c r="AH1239" s="295">
        <f t="shared" si="3"/>
        <v>0</v>
      </c>
      <c r="AI1239" s="295">
        <f t="shared" si="4"/>
        <v>0</v>
      </c>
      <c r="AJ1239" s="294">
        <f t="shared" si="5"/>
        <v>120960</v>
      </c>
      <c r="AK1239" s="294">
        <f t="shared" si="6"/>
        <v>120960</v>
      </c>
      <c r="AL1239" s="103"/>
      <c r="AM1239" s="103"/>
    </row>
    <row r="1240">
      <c r="A1240" s="290">
        <v>1239.0</v>
      </c>
      <c r="B1240" s="291">
        <v>45138.0</v>
      </c>
      <c r="C1240" s="195" t="str">
        <f t="shared" si="9"/>
        <v>72023</v>
      </c>
      <c r="D1240" s="292" t="s">
        <v>3500</v>
      </c>
      <c r="E1240" s="290" t="s">
        <v>2028</v>
      </c>
      <c r="F1240" s="292" t="s">
        <v>1878</v>
      </c>
      <c r="G1240" s="290" t="s">
        <v>64</v>
      </c>
      <c r="H1240" s="290" t="s">
        <v>41</v>
      </c>
      <c r="I1240" s="290" t="s">
        <v>643</v>
      </c>
      <c r="J1240" s="98"/>
      <c r="K1240" s="98"/>
      <c r="L1240" s="98"/>
      <c r="M1240" s="98"/>
      <c r="N1240" s="293">
        <v>1.0</v>
      </c>
      <c r="O1240" s="98"/>
      <c r="P1240" s="98"/>
      <c r="Q1240" s="99"/>
      <c r="R1240" s="99"/>
      <c r="S1240" s="290" t="s">
        <v>89</v>
      </c>
      <c r="T1240" s="290" t="s">
        <v>73</v>
      </c>
      <c r="U1240" s="290" t="s">
        <v>99</v>
      </c>
      <c r="V1240" s="290" t="s">
        <v>1984</v>
      </c>
      <c r="W1240" s="100"/>
      <c r="X1240" s="100"/>
      <c r="Y1240" s="100"/>
      <c r="Z1240" s="100"/>
      <c r="AA1240" s="294">
        <v>26880.0</v>
      </c>
      <c r="AB1240" s="294">
        <v>107520.0</v>
      </c>
      <c r="AC1240" s="24" t="s">
        <v>3501</v>
      </c>
      <c r="AD1240" s="195">
        <v>10938.0</v>
      </c>
      <c r="AE1240" s="38"/>
      <c r="AF1240" s="290" t="str">
        <f t="shared" si="1"/>
        <v>Tierra de Fuego, Argentina</v>
      </c>
      <c r="AG1240" s="290">
        <f t="shared" si="2"/>
        <v>1</v>
      </c>
      <c r="AH1240" s="295">
        <f t="shared" si="3"/>
        <v>0</v>
      </c>
      <c r="AI1240" s="295">
        <f t="shared" si="4"/>
        <v>0</v>
      </c>
      <c r="AJ1240" s="294">
        <f t="shared" si="5"/>
        <v>134400</v>
      </c>
      <c r="AK1240" s="294">
        <f t="shared" si="6"/>
        <v>134400</v>
      </c>
      <c r="AL1240" s="103"/>
      <c r="AM1240" s="103"/>
    </row>
    <row r="1241">
      <c r="A1241" s="290">
        <v>1240.0</v>
      </c>
      <c r="B1241" s="291">
        <v>45138.0</v>
      </c>
      <c r="C1241" s="195" t="str">
        <f t="shared" si="9"/>
        <v>72023</v>
      </c>
      <c r="D1241" s="292" t="s">
        <v>3500</v>
      </c>
      <c r="E1241" s="290" t="s">
        <v>2028</v>
      </c>
      <c r="F1241" s="292" t="s">
        <v>3502</v>
      </c>
      <c r="G1241" s="290" t="s">
        <v>64</v>
      </c>
      <c r="H1241" s="290" t="s">
        <v>41</v>
      </c>
      <c r="I1241" s="290" t="s">
        <v>643</v>
      </c>
      <c r="J1241" s="98"/>
      <c r="K1241" s="98"/>
      <c r="L1241" s="98"/>
      <c r="M1241" s="98"/>
      <c r="N1241" s="98"/>
      <c r="O1241" s="98"/>
      <c r="P1241" s="98"/>
      <c r="Q1241" s="99"/>
      <c r="R1241" s="99"/>
      <c r="S1241" s="290" t="s">
        <v>89</v>
      </c>
      <c r="T1241" s="290" t="s">
        <v>73</v>
      </c>
      <c r="U1241" s="290" t="s">
        <v>99</v>
      </c>
      <c r="V1241" s="290" t="s">
        <v>2935</v>
      </c>
      <c r="W1241" s="294">
        <v>62000.0</v>
      </c>
      <c r="X1241" s="294">
        <v>2445000.0</v>
      </c>
      <c r="Y1241" s="100"/>
      <c r="Z1241" s="100"/>
      <c r="AA1241" s="100"/>
      <c r="AB1241" s="100" t="s">
        <v>926</v>
      </c>
      <c r="AC1241" s="24" t="s">
        <v>3503</v>
      </c>
      <c r="AD1241" s="195">
        <v>8138.0</v>
      </c>
      <c r="AE1241" s="38"/>
      <c r="AF1241" s="290" t="str">
        <f t="shared" si="1"/>
        <v>Tierra de Fuego, Argentina</v>
      </c>
      <c r="AG1241" s="290">
        <f t="shared" si="2"/>
        <v>0</v>
      </c>
      <c r="AH1241" s="295">
        <f t="shared" si="3"/>
        <v>2507000</v>
      </c>
      <c r="AI1241" s="295">
        <f t="shared" si="4"/>
        <v>0</v>
      </c>
      <c r="AJ1241" s="294">
        <f t="shared" si="5"/>
        <v>0</v>
      </c>
      <c r="AK1241" s="294">
        <f t="shared" si="6"/>
        <v>2507000</v>
      </c>
      <c r="AL1241" s="103"/>
      <c r="AM1241" s="103"/>
    </row>
    <row r="1242">
      <c r="A1242" s="290">
        <v>1241.0</v>
      </c>
      <c r="B1242" s="291">
        <v>45138.0</v>
      </c>
      <c r="C1242" s="195" t="str">
        <f t="shared" si="9"/>
        <v>72023</v>
      </c>
      <c r="D1242" s="292" t="s">
        <v>1931</v>
      </c>
      <c r="E1242" s="290" t="s">
        <v>1932</v>
      </c>
      <c r="F1242" s="292" t="s">
        <v>3504</v>
      </c>
      <c r="G1242" s="290" t="s">
        <v>64</v>
      </c>
      <c r="H1242" s="290" t="s">
        <v>41</v>
      </c>
      <c r="I1242" s="290" t="s">
        <v>643</v>
      </c>
      <c r="J1242" s="293">
        <v>2.0</v>
      </c>
      <c r="K1242" s="98"/>
      <c r="L1242" s="98"/>
      <c r="M1242" s="98"/>
      <c r="N1242" s="98"/>
      <c r="O1242" s="98"/>
      <c r="P1242" s="98"/>
      <c r="Q1242" s="99"/>
      <c r="R1242" s="99"/>
      <c r="S1242" s="290" t="s">
        <v>89</v>
      </c>
      <c r="T1242" s="290" t="s">
        <v>497</v>
      </c>
      <c r="U1242" s="290" t="s">
        <v>99</v>
      </c>
      <c r="V1242" s="290" t="s">
        <v>1984</v>
      </c>
      <c r="W1242" s="100"/>
      <c r="X1242" s="100"/>
      <c r="Y1242" s="100"/>
      <c r="Z1242" s="100"/>
      <c r="AA1242" s="294">
        <v>53760.0</v>
      </c>
      <c r="AB1242" s="294">
        <v>215040.0</v>
      </c>
      <c r="AC1242" s="24" t="s">
        <v>3505</v>
      </c>
      <c r="AD1242" s="195">
        <v>10512.0</v>
      </c>
      <c r="AE1242" s="38"/>
      <c r="AF1242" s="290" t="str">
        <f t="shared" si="1"/>
        <v>Tucumán, Argentina</v>
      </c>
      <c r="AG1242" s="290">
        <f t="shared" si="2"/>
        <v>2</v>
      </c>
      <c r="AH1242" s="295">
        <f t="shared" si="3"/>
        <v>0</v>
      </c>
      <c r="AI1242" s="295">
        <f t="shared" si="4"/>
        <v>0</v>
      </c>
      <c r="AJ1242" s="294">
        <f t="shared" si="5"/>
        <v>268800</v>
      </c>
      <c r="AK1242" s="294">
        <f t="shared" si="6"/>
        <v>268800</v>
      </c>
      <c r="AL1242" s="103"/>
      <c r="AM1242" s="103"/>
    </row>
    <row r="1243">
      <c r="A1243" s="290">
        <v>1242.0</v>
      </c>
      <c r="B1243" s="291">
        <v>45138.0</v>
      </c>
      <c r="C1243" s="195" t="str">
        <f t="shared" si="9"/>
        <v>72023</v>
      </c>
      <c r="D1243" s="292" t="s">
        <v>1931</v>
      </c>
      <c r="E1243" s="290" t="s">
        <v>1932</v>
      </c>
      <c r="F1243" s="292" t="s">
        <v>2559</v>
      </c>
      <c r="G1243" s="290" t="s">
        <v>64</v>
      </c>
      <c r="H1243" s="290" t="s">
        <v>41</v>
      </c>
      <c r="I1243" s="290" t="s">
        <v>643</v>
      </c>
      <c r="J1243" s="98"/>
      <c r="K1243" s="98"/>
      <c r="L1243" s="98"/>
      <c r="M1243" s="98"/>
      <c r="N1243" s="98"/>
      <c r="O1243" s="98"/>
      <c r="P1243" s="98"/>
      <c r="Q1243" s="99"/>
      <c r="R1243" s="99"/>
      <c r="S1243" s="290" t="s">
        <v>89</v>
      </c>
      <c r="T1243" s="290" t="s">
        <v>497</v>
      </c>
      <c r="U1243" s="290" t="s">
        <v>99</v>
      </c>
      <c r="V1243" s="290" t="s">
        <v>1984</v>
      </c>
      <c r="W1243" s="100"/>
      <c r="X1243" s="100"/>
      <c r="Y1243" s="100"/>
      <c r="Z1243" s="100"/>
      <c r="AA1243" s="294">
        <v>0.0</v>
      </c>
      <c r="AB1243" s="294">
        <v>0.0</v>
      </c>
      <c r="AC1243" s="24" t="s">
        <v>3506</v>
      </c>
      <c r="AD1243" s="195">
        <v>10952.0</v>
      </c>
      <c r="AE1243" s="38"/>
      <c r="AF1243" s="290" t="str">
        <f t="shared" si="1"/>
        <v>Tucumán, Argentina</v>
      </c>
      <c r="AG1243" s="290">
        <f t="shared" si="2"/>
        <v>0</v>
      </c>
      <c r="AH1243" s="295">
        <f t="shared" si="3"/>
        <v>0</v>
      </c>
      <c r="AI1243" s="295">
        <f t="shared" si="4"/>
        <v>0</v>
      </c>
      <c r="AJ1243" s="294">
        <f t="shared" si="5"/>
        <v>0</v>
      </c>
      <c r="AK1243" s="294">
        <f t="shared" si="6"/>
        <v>0</v>
      </c>
      <c r="AL1243" s="103"/>
      <c r="AM1243" s="103"/>
    </row>
    <row r="1244">
      <c r="A1244" s="290">
        <v>1243.0</v>
      </c>
      <c r="B1244" s="291">
        <v>45138.0</v>
      </c>
      <c r="C1244" s="195" t="str">
        <f t="shared" si="9"/>
        <v>72023</v>
      </c>
      <c r="D1244" s="292" t="s">
        <v>2475</v>
      </c>
      <c r="E1244" s="290" t="s">
        <v>2476</v>
      </c>
      <c r="F1244" s="292" t="s">
        <v>3507</v>
      </c>
      <c r="G1244" s="290" t="s">
        <v>64</v>
      </c>
      <c r="H1244" s="290" t="s">
        <v>41</v>
      </c>
      <c r="I1244" s="290" t="s">
        <v>643</v>
      </c>
      <c r="J1244" s="293">
        <v>2.0</v>
      </c>
      <c r="K1244" s="98"/>
      <c r="L1244" s="98"/>
      <c r="M1244" s="98"/>
      <c r="N1244" s="98"/>
      <c r="O1244" s="98"/>
      <c r="P1244" s="98"/>
      <c r="Q1244" s="99"/>
      <c r="R1244" s="99"/>
      <c r="S1244" s="290" t="s">
        <v>204</v>
      </c>
      <c r="T1244" s="290" t="s">
        <v>66</v>
      </c>
      <c r="U1244" s="290" t="s">
        <v>99</v>
      </c>
      <c r="V1244" s="290" t="s">
        <v>1984</v>
      </c>
      <c r="W1244" s="100"/>
      <c r="X1244" s="100"/>
      <c r="Y1244" s="100"/>
      <c r="Z1244" s="100"/>
      <c r="AA1244" s="294">
        <v>53760.0</v>
      </c>
      <c r="AB1244" s="294">
        <v>258048.0</v>
      </c>
      <c r="AC1244" s="24" t="s">
        <v>3508</v>
      </c>
      <c r="AD1244" s="195">
        <v>10422.0</v>
      </c>
      <c r="AE1244" s="38"/>
      <c r="AF1244" s="290" t="str">
        <f t="shared" si="1"/>
        <v>Buenos Aires, Argentina</v>
      </c>
      <c r="AG1244" s="290">
        <f t="shared" si="2"/>
        <v>2</v>
      </c>
      <c r="AH1244" s="295">
        <f t="shared" si="3"/>
        <v>0</v>
      </c>
      <c r="AI1244" s="295">
        <f t="shared" si="4"/>
        <v>0</v>
      </c>
      <c r="AJ1244" s="294">
        <f t="shared" si="5"/>
        <v>311808</v>
      </c>
      <c r="AK1244" s="294">
        <f t="shared" si="6"/>
        <v>311808</v>
      </c>
      <c r="AL1244" s="103"/>
      <c r="AM1244" s="103"/>
    </row>
    <row r="1245">
      <c r="A1245" s="328">
        <v>1244.0</v>
      </c>
      <c r="B1245" s="329">
        <v>45146.0</v>
      </c>
      <c r="C1245" s="195" t="str">
        <f t="shared" si="9"/>
        <v>82023</v>
      </c>
      <c r="D1245" s="330" t="s">
        <v>3509</v>
      </c>
      <c r="E1245" s="328" t="s">
        <v>3510</v>
      </c>
      <c r="F1245" s="330" t="s">
        <v>3376</v>
      </c>
      <c r="G1245" s="328" t="s">
        <v>64</v>
      </c>
      <c r="H1245" s="328" t="s">
        <v>547</v>
      </c>
      <c r="I1245" s="328" t="s">
        <v>643</v>
      </c>
      <c r="J1245" s="331"/>
      <c r="K1245" s="331"/>
      <c r="L1245" s="331"/>
      <c r="M1245" s="331"/>
      <c r="N1245" s="331"/>
      <c r="O1245" s="331"/>
      <c r="P1245" s="331"/>
      <c r="Q1245" s="332"/>
      <c r="R1245" s="332"/>
      <c r="S1245" s="328" t="s">
        <v>72</v>
      </c>
      <c r="T1245" s="328" t="s">
        <v>66</v>
      </c>
      <c r="U1245" s="328" t="s">
        <v>99</v>
      </c>
      <c r="V1245" s="328" t="s">
        <v>1984</v>
      </c>
      <c r="W1245" s="333"/>
      <c r="X1245" s="333"/>
      <c r="Y1245" s="333"/>
      <c r="Z1245" s="333"/>
      <c r="AA1245" s="334">
        <v>0.0</v>
      </c>
      <c r="AB1245" s="334">
        <v>41616.0</v>
      </c>
      <c r="AC1245" s="24" t="s">
        <v>3511</v>
      </c>
      <c r="AD1245" s="195">
        <v>10958.0</v>
      </c>
      <c r="AE1245" s="38"/>
      <c r="AF1245" s="328" t="str">
        <f t="shared" si="1"/>
        <v>Buenos Aires, Argentina</v>
      </c>
      <c r="AG1245" s="328">
        <f t="shared" si="2"/>
        <v>0</v>
      </c>
      <c r="AH1245" s="335">
        <f t="shared" si="3"/>
        <v>0</v>
      </c>
      <c r="AI1245" s="335">
        <f t="shared" si="4"/>
        <v>0</v>
      </c>
      <c r="AJ1245" s="334">
        <f t="shared" si="5"/>
        <v>41616</v>
      </c>
      <c r="AK1245" s="334">
        <f t="shared" si="6"/>
        <v>41616</v>
      </c>
      <c r="AL1245" s="336"/>
      <c r="AM1245" s="336"/>
    </row>
    <row r="1246">
      <c r="A1246" s="328">
        <v>1245.0</v>
      </c>
      <c r="B1246" s="329">
        <v>45147.0</v>
      </c>
      <c r="C1246" s="195" t="str">
        <f t="shared" si="9"/>
        <v>82023</v>
      </c>
      <c r="D1246" s="330" t="s">
        <v>2706</v>
      </c>
      <c r="E1246" s="328" t="s">
        <v>3247</v>
      </c>
      <c r="F1246" s="330" t="s">
        <v>1463</v>
      </c>
      <c r="G1246" s="328" t="s">
        <v>64</v>
      </c>
      <c r="H1246" s="328" t="s">
        <v>41</v>
      </c>
      <c r="I1246" s="328" t="s">
        <v>643</v>
      </c>
      <c r="J1246" s="337">
        <v>1.0</v>
      </c>
      <c r="K1246" s="337">
        <v>2.0</v>
      </c>
      <c r="L1246" s="331"/>
      <c r="M1246" s="331"/>
      <c r="N1246" s="331"/>
      <c r="O1246" s="331"/>
      <c r="P1246" s="331"/>
      <c r="Q1246" s="332"/>
      <c r="R1246" s="332"/>
      <c r="S1246" s="328" t="s">
        <v>189</v>
      </c>
      <c r="T1246" s="328" t="s">
        <v>73</v>
      </c>
      <c r="U1246" s="328" t="s">
        <v>99</v>
      </c>
      <c r="V1246" s="328" t="s">
        <v>1984</v>
      </c>
      <c r="W1246" s="333"/>
      <c r="X1246" s="333"/>
      <c r="Y1246" s="333"/>
      <c r="Z1246" s="333"/>
      <c r="AA1246" s="334">
        <v>72250.0</v>
      </c>
      <c r="AB1246" s="334">
        <v>289000.0</v>
      </c>
      <c r="AC1246" s="24" t="s">
        <v>3512</v>
      </c>
      <c r="AD1246" s="195">
        <v>10974.0</v>
      </c>
      <c r="AE1246" s="38"/>
      <c r="AF1246" s="328" t="str">
        <f t="shared" si="1"/>
        <v>Tierra de Fuego, Argentina</v>
      </c>
      <c r="AG1246" s="328">
        <f t="shared" si="2"/>
        <v>3</v>
      </c>
      <c r="AH1246" s="335">
        <f t="shared" si="3"/>
        <v>0</v>
      </c>
      <c r="AI1246" s="335">
        <f t="shared" si="4"/>
        <v>0</v>
      </c>
      <c r="AJ1246" s="334">
        <f t="shared" si="5"/>
        <v>361250</v>
      </c>
      <c r="AK1246" s="334">
        <f t="shared" si="6"/>
        <v>361250</v>
      </c>
      <c r="AL1246" s="336"/>
      <c r="AM1246" s="336"/>
    </row>
    <row r="1247">
      <c r="A1247" s="328">
        <v>1246.0</v>
      </c>
      <c r="B1247" s="329">
        <v>45149.0</v>
      </c>
      <c r="C1247" s="195" t="str">
        <f t="shared" si="9"/>
        <v>82023</v>
      </c>
      <c r="D1247" s="330" t="s">
        <v>3210</v>
      </c>
      <c r="E1247" s="328" t="s">
        <v>1988</v>
      </c>
      <c r="F1247" s="330" t="s">
        <v>1592</v>
      </c>
      <c r="G1247" s="328" t="s">
        <v>64</v>
      </c>
      <c r="H1247" s="328" t="s">
        <v>41</v>
      </c>
      <c r="I1247" s="328" t="s">
        <v>643</v>
      </c>
      <c r="J1247" s="337">
        <v>1.0</v>
      </c>
      <c r="K1247" s="337">
        <v>1.0</v>
      </c>
      <c r="L1247" s="331"/>
      <c r="M1247" s="331"/>
      <c r="N1247" s="331"/>
      <c r="O1247" s="331"/>
      <c r="P1247" s="331"/>
      <c r="Q1247" s="332"/>
      <c r="R1247" s="332"/>
      <c r="S1247" s="328" t="s">
        <v>114</v>
      </c>
      <c r="T1247" s="328" t="s">
        <v>66</v>
      </c>
      <c r="U1247" s="328" t="s">
        <v>99</v>
      </c>
      <c r="V1247" s="328" t="s">
        <v>1984</v>
      </c>
      <c r="W1247" s="333"/>
      <c r="X1247" s="333"/>
      <c r="Y1247" s="333"/>
      <c r="Z1247" s="333"/>
      <c r="AA1247" s="334">
        <v>50575.0</v>
      </c>
      <c r="AB1247" s="334">
        <v>202300.0</v>
      </c>
      <c r="AC1247" s="24" t="s">
        <v>3513</v>
      </c>
      <c r="AD1247" s="195">
        <v>10972.0</v>
      </c>
      <c r="AE1247" s="38"/>
      <c r="AF1247" s="328" t="str">
        <f t="shared" si="1"/>
        <v>Buenos Aires, Argentina</v>
      </c>
      <c r="AG1247" s="328">
        <f t="shared" si="2"/>
        <v>2</v>
      </c>
      <c r="AH1247" s="335">
        <f t="shared" si="3"/>
        <v>0</v>
      </c>
      <c r="AI1247" s="335">
        <f t="shared" si="4"/>
        <v>0</v>
      </c>
      <c r="AJ1247" s="334">
        <f t="shared" si="5"/>
        <v>252875</v>
      </c>
      <c r="AK1247" s="334">
        <f t="shared" si="6"/>
        <v>252875</v>
      </c>
      <c r="AL1247" s="336"/>
      <c r="AM1247" s="336"/>
    </row>
    <row r="1248">
      <c r="A1248" s="328">
        <v>1247.0</v>
      </c>
      <c r="B1248" s="329">
        <v>45154.0</v>
      </c>
      <c r="C1248" s="195" t="str">
        <f t="shared" si="9"/>
        <v>82023</v>
      </c>
      <c r="D1248" s="330" t="s">
        <v>3514</v>
      </c>
      <c r="E1248" s="328" t="s">
        <v>3515</v>
      </c>
      <c r="F1248" s="330" t="s">
        <v>2141</v>
      </c>
      <c r="G1248" s="328" t="s">
        <v>40</v>
      </c>
      <c r="H1248" s="328" t="s">
        <v>41</v>
      </c>
      <c r="I1248" s="328" t="s">
        <v>42</v>
      </c>
      <c r="J1248" s="337">
        <v>1.0</v>
      </c>
      <c r="K1248" s="337">
        <v>1.0</v>
      </c>
      <c r="L1248" s="331"/>
      <c r="M1248" s="337">
        <v>1.0</v>
      </c>
      <c r="N1248" s="331"/>
      <c r="O1248" s="331"/>
      <c r="P1248" s="331"/>
      <c r="Q1248" s="332"/>
      <c r="R1248" s="332"/>
      <c r="S1248" s="328" t="s">
        <v>189</v>
      </c>
      <c r="T1248" s="328" t="s">
        <v>66</v>
      </c>
      <c r="U1248" s="328" t="s">
        <v>342</v>
      </c>
      <c r="V1248" s="328" t="s">
        <v>2922</v>
      </c>
      <c r="W1248" s="333"/>
      <c r="X1248" s="333"/>
      <c r="Y1248" s="333"/>
      <c r="Z1248" s="333"/>
      <c r="AA1248" s="334">
        <v>50575.0</v>
      </c>
      <c r="AB1248" s="334">
        <v>202300.0</v>
      </c>
      <c r="AC1248" s="24" t="s">
        <v>3516</v>
      </c>
      <c r="AD1248" s="195">
        <v>10922.0</v>
      </c>
      <c r="AE1248" s="38"/>
      <c r="AF1248" s="328" t="str">
        <f t="shared" si="1"/>
        <v>Buenos Aires, Argentina</v>
      </c>
      <c r="AG1248" s="328">
        <f t="shared" si="2"/>
        <v>3</v>
      </c>
      <c r="AH1248" s="335">
        <f t="shared" si="3"/>
        <v>0</v>
      </c>
      <c r="AI1248" s="335">
        <f t="shared" si="4"/>
        <v>0</v>
      </c>
      <c r="AJ1248" s="334">
        <f t="shared" si="5"/>
        <v>252875</v>
      </c>
      <c r="AK1248" s="334">
        <f t="shared" si="6"/>
        <v>252875</v>
      </c>
      <c r="AL1248" s="336"/>
      <c r="AM1248" s="336"/>
    </row>
    <row r="1249">
      <c r="A1249" s="328">
        <v>1248.0</v>
      </c>
      <c r="B1249" s="329">
        <v>45160.0</v>
      </c>
      <c r="C1249" s="195" t="str">
        <f t="shared" si="9"/>
        <v>82023</v>
      </c>
      <c r="D1249" s="330" t="s">
        <v>3087</v>
      </c>
      <c r="E1249" s="328" t="s">
        <v>3088</v>
      </c>
      <c r="F1249" s="330" t="s">
        <v>1415</v>
      </c>
      <c r="G1249" s="328" t="s">
        <v>64</v>
      </c>
      <c r="H1249" s="328" t="s">
        <v>41</v>
      </c>
      <c r="I1249" s="328" t="s">
        <v>643</v>
      </c>
      <c r="J1249" s="331"/>
      <c r="K1249" s="337">
        <v>1.0</v>
      </c>
      <c r="L1249" s="331"/>
      <c r="M1249" s="331"/>
      <c r="N1249" s="331"/>
      <c r="O1249" s="331"/>
      <c r="P1249" s="331"/>
      <c r="Q1249" s="332"/>
      <c r="R1249" s="332"/>
      <c r="S1249" s="328" t="s">
        <v>105</v>
      </c>
      <c r="T1249" s="328" t="s">
        <v>73</v>
      </c>
      <c r="U1249" s="328" t="s">
        <v>99</v>
      </c>
      <c r="V1249" s="328" t="s">
        <v>1984</v>
      </c>
      <c r="W1249" s="333"/>
      <c r="X1249" s="333"/>
      <c r="Y1249" s="333"/>
      <c r="Z1249" s="333"/>
      <c r="AA1249" s="334">
        <v>21675.0</v>
      </c>
      <c r="AB1249" s="334">
        <v>86700.0</v>
      </c>
      <c r="AC1249" s="24" t="s">
        <v>3517</v>
      </c>
      <c r="AD1249" s="195">
        <v>10978.0</v>
      </c>
      <c r="AE1249" s="38"/>
      <c r="AF1249" s="328" t="str">
        <f t="shared" si="1"/>
        <v>Tierra de Fuego, Argentina</v>
      </c>
      <c r="AG1249" s="328">
        <f t="shared" si="2"/>
        <v>1</v>
      </c>
      <c r="AH1249" s="335">
        <f t="shared" si="3"/>
        <v>0</v>
      </c>
      <c r="AI1249" s="335">
        <f t="shared" si="4"/>
        <v>0</v>
      </c>
      <c r="AJ1249" s="334">
        <f t="shared" si="5"/>
        <v>108375</v>
      </c>
      <c r="AK1249" s="334">
        <f t="shared" si="6"/>
        <v>108375</v>
      </c>
      <c r="AL1249" s="336"/>
      <c r="AM1249" s="336"/>
    </row>
    <row r="1250">
      <c r="A1250" s="328">
        <v>1249.0</v>
      </c>
      <c r="B1250" s="329">
        <v>45160.0</v>
      </c>
      <c r="C1250" s="195" t="str">
        <f t="shared" si="9"/>
        <v>82023</v>
      </c>
      <c r="D1250" s="330" t="s">
        <v>3518</v>
      </c>
      <c r="E1250" s="328" t="s">
        <v>3440</v>
      </c>
      <c r="F1250" s="330" t="s">
        <v>3519</v>
      </c>
      <c r="G1250" s="328" t="s">
        <v>64</v>
      </c>
      <c r="H1250" s="328" t="s">
        <v>41</v>
      </c>
      <c r="I1250" s="328" t="s">
        <v>42</v>
      </c>
      <c r="J1250" s="331"/>
      <c r="K1250" s="331"/>
      <c r="L1250" s="331"/>
      <c r="M1250" s="331"/>
      <c r="N1250" s="331"/>
      <c r="O1250" s="337">
        <v>4.0</v>
      </c>
      <c r="P1250" s="331"/>
      <c r="Q1250" s="332"/>
      <c r="R1250" s="332"/>
      <c r="S1250" s="328" t="s">
        <v>114</v>
      </c>
      <c r="T1250" s="328" t="s">
        <v>655</v>
      </c>
      <c r="U1250" s="328" t="s">
        <v>99</v>
      </c>
      <c r="V1250" s="328" t="s">
        <v>2922</v>
      </c>
      <c r="W1250" s="333"/>
      <c r="X1250" s="333"/>
      <c r="Y1250" s="333"/>
      <c r="Z1250" s="333"/>
      <c r="AA1250" s="334">
        <v>69360.0</v>
      </c>
      <c r="AB1250" s="334">
        <v>277440.0</v>
      </c>
      <c r="AC1250" s="24" t="s">
        <v>3520</v>
      </c>
      <c r="AD1250" s="195">
        <v>11002.0</v>
      </c>
      <c r="AE1250" s="38"/>
      <c r="AF1250" s="328" t="str">
        <f t="shared" si="1"/>
        <v>La Pampa, Argentina</v>
      </c>
      <c r="AG1250" s="328">
        <f t="shared" si="2"/>
        <v>4</v>
      </c>
      <c r="AH1250" s="335">
        <f t="shared" si="3"/>
        <v>0</v>
      </c>
      <c r="AI1250" s="335">
        <f t="shared" si="4"/>
        <v>0</v>
      </c>
      <c r="AJ1250" s="334">
        <f t="shared" si="5"/>
        <v>346800</v>
      </c>
      <c r="AK1250" s="334">
        <f t="shared" si="6"/>
        <v>346800</v>
      </c>
      <c r="AL1250" s="336"/>
      <c r="AM1250" s="336"/>
    </row>
    <row r="1251">
      <c r="A1251" s="328">
        <v>1250.0</v>
      </c>
      <c r="B1251" s="329">
        <v>45160.0</v>
      </c>
      <c r="C1251" s="195" t="str">
        <f t="shared" si="9"/>
        <v>82023</v>
      </c>
      <c r="D1251" s="330" t="s">
        <v>3521</v>
      </c>
      <c r="E1251" s="328" t="s">
        <v>3522</v>
      </c>
      <c r="F1251" s="330" t="s">
        <v>3523</v>
      </c>
      <c r="G1251" s="328" t="s">
        <v>64</v>
      </c>
      <c r="H1251" s="328" t="s">
        <v>41</v>
      </c>
      <c r="I1251" s="328" t="s">
        <v>643</v>
      </c>
      <c r="J1251" s="331"/>
      <c r="K1251" s="331"/>
      <c r="L1251" s="331"/>
      <c r="M1251" s="331"/>
      <c r="N1251" s="331"/>
      <c r="O1251" s="331"/>
      <c r="P1251" s="331"/>
      <c r="Q1251" s="332"/>
      <c r="R1251" s="332"/>
      <c r="S1251" s="328" t="s">
        <v>105</v>
      </c>
      <c r="T1251" s="328" t="s">
        <v>73</v>
      </c>
      <c r="U1251" s="328" t="s">
        <v>99</v>
      </c>
      <c r="V1251" s="328" t="s">
        <v>2935</v>
      </c>
      <c r="W1251" s="333"/>
      <c r="X1251" s="333"/>
      <c r="Y1251" s="333"/>
      <c r="Z1251" s="333"/>
      <c r="AA1251" s="334">
        <v>0.0</v>
      </c>
      <c r="AB1251" s="334">
        <v>1794690.0</v>
      </c>
      <c r="AC1251" s="24" t="s">
        <v>3524</v>
      </c>
      <c r="AD1251" s="195">
        <v>11036.0</v>
      </c>
      <c r="AE1251" s="38"/>
      <c r="AF1251" s="328" t="str">
        <f t="shared" si="1"/>
        <v>Tierra de Fuego, Argentina</v>
      </c>
      <c r="AG1251" s="328">
        <f t="shared" si="2"/>
        <v>0</v>
      </c>
      <c r="AH1251" s="335">
        <f t="shared" si="3"/>
        <v>0</v>
      </c>
      <c r="AI1251" s="335">
        <f t="shared" si="4"/>
        <v>0</v>
      </c>
      <c r="AJ1251" s="334">
        <f t="shared" si="5"/>
        <v>1794690</v>
      </c>
      <c r="AK1251" s="334">
        <f t="shared" si="6"/>
        <v>1794690</v>
      </c>
      <c r="AL1251" s="336"/>
      <c r="AM1251" s="336"/>
    </row>
    <row r="1252">
      <c r="A1252" s="328">
        <v>1251.0</v>
      </c>
      <c r="B1252" s="329">
        <v>45160.0</v>
      </c>
      <c r="C1252" s="195" t="str">
        <f t="shared" si="9"/>
        <v>82023</v>
      </c>
      <c r="D1252" s="330" t="s">
        <v>3521</v>
      </c>
      <c r="E1252" s="328" t="s">
        <v>3522</v>
      </c>
      <c r="F1252" s="330" t="s">
        <v>3525</v>
      </c>
      <c r="G1252" s="328" t="s">
        <v>64</v>
      </c>
      <c r="H1252" s="328" t="s">
        <v>41</v>
      </c>
      <c r="I1252" s="328" t="s">
        <v>643</v>
      </c>
      <c r="J1252" s="337">
        <v>1.0</v>
      </c>
      <c r="K1252" s="337">
        <v>7.0</v>
      </c>
      <c r="L1252" s="331"/>
      <c r="M1252" s="331"/>
      <c r="N1252" s="331"/>
      <c r="O1252" s="331"/>
      <c r="P1252" s="331"/>
      <c r="Q1252" s="332"/>
      <c r="R1252" s="332"/>
      <c r="S1252" s="328" t="s">
        <v>105</v>
      </c>
      <c r="T1252" s="328" t="s">
        <v>73</v>
      </c>
      <c r="U1252" s="328" t="s">
        <v>99</v>
      </c>
      <c r="V1252" s="328" t="s">
        <v>2935</v>
      </c>
      <c r="W1252" s="333"/>
      <c r="X1252" s="333"/>
      <c r="Y1252" s="333"/>
      <c r="Z1252" s="333"/>
      <c r="AA1252" s="334">
        <v>150280.0</v>
      </c>
      <c r="AB1252" s="334">
        <v>676260.0</v>
      </c>
      <c r="AC1252" s="24" t="s">
        <v>3526</v>
      </c>
      <c r="AD1252" s="195">
        <v>8672.0</v>
      </c>
      <c r="AE1252" s="38"/>
      <c r="AF1252" s="328" t="str">
        <f t="shared" si="1"/>
        <v>Tierra de Fuego, Argentina</v>
      </c>
      <c r="AG1252" s="328">
        <f t="shared" si="2"/>
        <v>8</v>
      </c>
      <c r="AH1252" s="335">
        <f t="shared" si="3"/>
        <v>0</v>
      </c>
      <c r="AI1252" s="335">
        <f t="shared" si="4"/>
        <v>0</v>
      </c>
      <c r="AJ1252" s="334">
        <f t="shared" si="5"/>
        <v>826540</v>
      </c>
      <c r="AK1252" s="334">
        <f t="shared" si="6"/>
        <v>826540</v>
      </c>
      <c r="AL1252" s="336"/>
      <c r="AM1252" s="336"/>
    </row>
    <row r="1253">
      <c r="A1253" s="328">
        <v>1252.0</v>
      </c>
      <c r="B1253" s="329">
        <v>45160.0</v>
      </c>
      <c r="C1253" s="195" t="str">
        <f t="shared" si="9"/>
        <v>82023</v>
      </c>
      <c r="D1253" s="330" t="s">
        <v>3527</v>
      </c>
      <c r="E1253" s="328" t="s">
        <v>2731</v>
      </c>
      <c r="F1253" s="330" t="s">
        <v>1412</v>
      </c>
      <c r="G1253" s="328" t="s">
        <v>64</v>
      </c>
      <c r="H1253" s="328" t="s">
        <v>41</v>
      </c>
      <c r="I1253" s="328" t="s">
        <v>643</v>
      </c>
      <c r="J1253" s="337">
        <v>2.0</v>
      </c>
      <c r="K1253" s="331"/>
      <c r="L1253" s="331"/>
      <c r="M1253" s="331"/>
      <c r="N1253" s="331"/>
      <c r="O1253" s="331"/>
      <c r="P1253" s="331"/>
      <c r="Q1253" s="332"/>
      <c r="R1253" s="332"/>
      <c r="S1253" s="328" t="s">
        <v>65</v>
      </c>
      <c r="T1253" s="328" t="s">
        <v>66</v>
      </c>
      <c r="U1253" s="328" t="s">
        <v>99</v>
      </c>
      <c r="V1253" s="328" t="s">
        <v>1984</v>
      </c>
      <c r="W1253" s="333"/>
      <c r="X1253" s="333"/>
      <c r="Y1253" s="333"/>
      <c r="Z1253" s="333"/>
      <c r="AA1253" s="334">
        <v>57800.0</v>
      </c>
      <c r="AB1253" s="334">
        <v>231200.0</v>
      </c>
      <c r="AC1253" s="24" t="s">
        <v>3528</v>
      </c>
      <c r="AD1253" s="195">
        <v>11014.0</v>
      </c>
      <c r="AE1253" s="38"/>
      <c r="AF1253" s="328" t="str">
        <f t="shared" si="1"/>
        <v>Buenos Aires, Argentina</v>
      </c>
      <c r="AG1253" s="328">
        <f t="shared" si="2"/>
        <v>2</v>
      </c>
      <c r="AH1253" s="335">
        <f t="shared" si="3"/>
        <v>0</v>
      </c>
      <c r="AI1253" s="335">
        <f t="shared" si="4"/>
        <v>0</v>
      </c>
      <c r="AJ1253" s="334">
        <f t="shared" si="5"/>
        <v>289000</v>
      </c>
      <c r="AK1253" s="334">
        <f t="shared" si="6"/>
        <v>289000</v>
      </c>
      <c r="AL1253" s="336"/>
      <c r="AM1253" s="336"/>
    </row>
    <row r="1254">
      <c r="A1254" s="328">
        <v>1253.0</v>
      </c>
      <c r="B1254" s="329">
        <v>45166.0</v>
      </c>
      <c r="C1254" s="195" t="str">
        <f t="shared" si="9"/>
        <v>82023</v>
      </c>
      <c r="D1254" s="330" t="s">
        <v>3529</v>
      </c>
      <c r="E1254" s="328" t="s">
        <v>3530</v>
      </c>
      <c r="F1254" s="330" t="s">
        <v>2056</v>
      </c>
      <c r="G1254" s="328" t="s">
        <v>40</v>
      </c>
      <c r="H1254" s="328" t="s">
        <v>41</v>
      </c>
      <c r="I1254" s="328" t="s">
        <v>643</v>
      </c>
      <c r="J1254" s="337">
        <v>1.0</v>
      </c>
      <c r="K1254" s="331"/>
      <c r="L1254" s="331"/>
      <c r="M1254" s="337">
        <v>1.0</v>
      </c>
      <c r="N1254" s="331"/>
      <c r="O1254" s="331"/>
      <c r="P1254" s="331"/>
      <c r="Q1254" s="332"/>
      <c r="R1254" s="332"/>
      <c r="S1254" s="328" t="s">
        <v>114</v>
      </c>
      <c r="T1254" s="328" t="s">
        <v>539</v>
      </c>
      <c r="U1254" s="328" t="s">
        <v>342</v>
      </c>
      <c r="V1254" s="328" t="s">
        <v>2945</v>
      </c>
      <c r="W1254" s="333"/>
      <c r="X1254" s="333"/>
      <c r="Y1254" s="333"/>
      <c r="Z1254" s="333"/>
      <c r="AA1254" s="334">
        <v>28900.0</v>
      </c>
      <c r="AB1254" s="334">
        <v>115600.0</v>
      </c>
      <c r="AC1254" s="24" t="s">
        <v>3531</v>
      </c>
      <c r="AD1254" s="195">
        <v>9578.0</v>
      </c>
      <c r="AE1254" s="38"/>
      <c r="AF1254" s="328" t="str">
        <f t="shared" si="1"/>
        <v>Misiones, Argentina</v>
      </c>
      <c r="AG1254" s="328">
        <f t="shared" si="2"/>
        <v>2</v>
      </c>
      <c r="AH1254" s="335">
        <f t="shared" si="3"/>
        <v>0</v>
      </c>
      <c r="AI1254" s="335">
        <f t="shared" si="4"/>
        <v>0</v>
      </c>
      <c r="AJ1254" s="334">
        <f t="shared" si="5"/>
        <v>144500</v>
      </c>
      <c r="AK1254" s="334">
        <f t="shared" si="6"/>
        <v>144500</v>
      </c>
      <c r="AL1254" s="336"/>
      <c r="AM1254" s="336"/>
    </row>
    <row r="1255">
      <c r="A1255" s="328">
        <v>1254.0</v>
      </c>
      <c r="B1255" s="329">
        <v>45166.0</v>
      </c>
      <c r="C1255" s="195" t="str">
        <f t="shared" si="9"/>
        <v>82023</v>
      </c>
      <c r="D1255" s="330" t="s">
        <v>1216</v>
      </c>
      <c r="E1255" s="328" t="s">
        <v>1217</v>
      </c>
      <c r="F1255" s="330" t="s">
        <v>1423</v>
      </c>
      <c r="G1255" s="328" t="s">
        <v>64</v>
      </c>
      <c r="H1255" s="328" t="s">
        <v>41</v>
      </c>
      <c r="I1255" s="328" t="s">
        <v>643</v>
      </c>
      <c r="J1255" s="337">
        <v>1.0</v>
      </c>
      <c r="K1255" s="331"/>
      <c r="L1255" s="331"/>
      <c r="M1255" s="331"/>
      <c r="N1255" s="331"/>
      <c r="O1255" s="331"/>
      <c r="P1255" s="331"/>
      <c r="Q1255" s="332"/>
      <c r="R1255" s="332"/>
      <c r="S1255" s="328" t="s">
        <v>65</v>
      </c>
      <c r="T1255" s="328" t="s">
        <v>66</v>
      </c>
      <c r="U1255" s="328" t="s">
        <v>99</v>
      </c>
      <c r="V1255" s="328" t="s">
        <v>1984</v>
      </c>
      <c r="W1255" s="333"/>
      <c r="X1255" s="333"/>
      <c r="Y1255" s="333"/>
      <c r="Z1255" s="333"/>
      <c r="AA1255" s="334">
        <v>28900.0</v>
      </c>
      <c r="AB1255" s="334">
        <v>119200.0</v>
      </c>
      <c r="AC1255" s="24" t="s">
        <v>3532</v>
      </c>
      <c r="AD1255" s="195">
        <v>11120.0</v>
      </c>
      <c r="AE1255" s="38"/>
      <c r="AF1255" s="328" t="str">
        <f t="shared" si="1"/>
        <v>Buenos Aires, Argentina</v>
      </c>
      <c r="AG1255" s="328">
        <f t="shared" si="2"/>
        <v>1</v>
      </c>
      <c r="AH1255" s="335">
        <f t="shared" si="3"/>
        <v>0</v>
      </c>
      <c r="AI1255" s="335">
        <f t="shared" si="4"/>
        <v>0</v>
      </c>
      <c r="AJ1255" s="334">
        <f t="shared" si="5"/>
        <v>148100</v>
      </c>
      <c r="AK1255" s="334">
        <f t="shared" si="6"/>
        <v>148100</v>
      </c>
      <c r="AL1255" s="336"/>
      <c r="AM1255" s="336"/>
    </row>
    <row r="1256">
      <c r="A1256" s="328">
        <v>1255.0</v>
      </c>
      <c r="B1256" s="329">
        <v>45166.0</v>
      </c>
      <c r="C1256" s="195" t="str">
        <f t="shared" si="9"/>
        <v>82023</v>
      </c>
      <c r="D1256" s="330" t="s">
        <v>3278</v>
      </c>
      <c r="E1256" s="328" t="s">
        <v>3279</v>
      </c>
      <c r="F1256" s="330" t="s">
        <v>1415</v>
      </c>
      <c r="G1256" s="328" t="s">
        <v>64</v>
      </c>
      <c r="H1256" s="328" t="s">
        <v>41</v>
      </c>
      <c r="I1256" s="328" t="s">
        <v>643</v>
      </c>
      <c r="J1256" s="331"/>
      <c r="K1256" s="337">
        <v>1.0</v>
      </c>
      <c r="L1256" s="331"/>
      <c r="M1256" s="331"/>
      <c r="N1256" s="331"/>
      <c r="O1256" s="331"/>
      <c r="P1256" s="331"/>
      <c r="Q1256" s="332"/>
      <c r="R1256" s="332"/>
      <c r="S1256" s="328" t="s">
        <v>72</v>
      </c>
      <c r="T1256" s="328" t="s">
        <v>66</v>
      </c>
      <c r="U1256" s="328" t="s">
        <v>99</v>
      </c>
      <c r="V1256" s="328" t="s">
        <v>1984</v>
      </c>
      <c r="W1256" s="333"/>
      <c r="X1256" s="333"/>
      <c r="Y1256" s="333"/>
      <c r="Z1256" s="333"/>
      <c r="AA1256" s="334">
        <v>21675.0</v>
      </c>
      <c r="AB1256" s="334">
        <v>86700.0</v>
      </c>
      <c r="AC1256" s="24" t="s">
        <v>3533</v>
      </c>
      <c r="AD1256" s="195">
        <v>11074.0</v>
      </c>
      <c r="AE1256" s="38"/>
      <c r="AF1256" s="328" t="str">
        <f t="shared" si="1"/>
        <v>Buenos Aires, Argentina</v>
      </c>
      <c r="AG1256" s="328">
        <f t="shared" si="2"/>
        <v>1</v>
      </c>
      <c r="AH1256" s="335">
        <f t="shared" si="3"/>
        <v>0</v>
      </c>
      <c r="AI1256" s="335">
        <f t="shared" si="4"/>
        <v>0</v>
      </c>
      <c r="AJ1256" s="334">
        <f t="shared" si="5"/>
        <v>108375</v>
      </c>
      <c r="AK1256" s="334">
        <f t="shared" si="6"/>
        <v>108375</v>
      </c>
      <c r="AL1256" s="336"/>
      <c r="AM1256" s="336"/>
    </row>
    <row r="1257">
      <c r="A1257" s="328">
        <v>1256.0</v>
      </c>
      <c r="B1257" s="329">
        <v>45167.0</v>
      </c>
      <c r="C1257" s="195" t="str">
        <f t="shared" si="9"/>
        <v>82023</v>
      </c>
      <c r="D1257" s="330" t="s">
        <v>3374</v>
      </c>
      <c r="E1257" s="328" t="s">
        <v>3375</v>
      </c>
      <c r="F1257" s="330" t="s">
        <v>1423</v>
      </c>
      <c r="G1257" s="328" t="s">
        <v>64</v>
      </c>
      <c r="H1257" s="328" t="s">
        <v>41</v>
      </c>
      <c r="I1257" s="328" t="s">
        <v>643</v>
      </c>
      <c r="J1257" s="337">
        <v>1.0</v>
      </c>
      <c r="K1257" s="331"/>
      <c r="L1257" s="331"/>
      <c r="M1257" s="331"/>
      <c r="N1257" s="331"/>
      <c r="O1257" s="331"/>
      <c r="P1257" s="331"/>
      <c r="Q1257" s="332"/>
      <c r="R1257" s="332"/>
      <c r="S1257" s="328" t="s">
        <v>98</v>
      </c>
      <c r="T1257" s="328" t="s">
        <v>83</v>
      </c>
      <c r="U1257" s="328" t="s">
        <v>99</v>
      </c>
      <c r="V1257" s="328" t="s">
        <v>1984</v>
      </c>
      <c r="W1257" s="333"/>
      <c r="X1257" s="333"/>
      <c r="Y1257" s="333"/>
      <c r="Z1257" s="333"/>
      <c r="AA1257" s="334">
        <v>28900.0</v>
      </c>
      <c r="AB1257" s="334">
        <v>119200.0</v>
      </c>
      <c r="AC1257" s="24" t="s">
        <v>3534</v>
      </c>
      <c r="AD1257" s="195">
        <v>11076.0</v>
      </c>
      <c r="AE1257" s="38"/>
      <c r="AF1257" s="328" t="str">
        <f t="shared" si="1"/>
        <v>Capital Federal, Argentina</v>
      </c>
      <c r="AG1257" s="328">
        <f t="shared" si="2"/>
        <v>1</v>
      </c>
      <c r="AH1257" s="335">
        <f t="shared" si="3"/>
        <v>0</v>
      </c>
      <c r="AI1257" s="335">
        <f t="shared" si="4"/>
        <v>0</v>
      </c>
      <c r="AJ1257" s="334">
        <f t="shared" si="5"/>
        <v>148100</v>
      </c>
      <c r="AK1257" s="334">
        <f t="shared" si="6"/>
        <v>148100</v>
      </c>
      <c r="AL1257" s="336"/>
      <c r="AM1257" s="336"/>
    </row>
    <row r="1258">
      <c r="A1258" s="328">
        <v>1257.0</v>
      </c>
      <c r="B1258" s="329">
        <v>45169.0</v>
      </c>
      <c r="C1258" s="195" t="str">
        <f t="shared" si="9"/>
        <v>82023</v>
      </c>
      <c r="D1258" s="330" t="s">
        <v>3535</v>
      </c>
      <c r="E1258" s="328" t="s">
        <v>3536</v>
      </c>
      <c r="F1258" s="330" t="s">
        <v>1415</v>
      </c>
      <c r="G1258" s="328" t="s">
        <v>64</v>
      </c>
      <c r="H1258" s="328" t="s">
        <v>41</v>
      </c>
      <c r="I1258" s="328" t="s">
        <v>643</v>
      </c>
      <c r="J1258" s="331"/>
      <c r="K1258" s="337">
        <v>1.0</v>
      </c>
      <c r="L1258" s="331"/>
      <c r="M1258" s="331"/>
      <c r="N1258" s="331"/>
      <c r="O1258" s="331"/>
      <c r="P1258" s="331"/>
      <c r="Q1258" s="332"/>
      <c r="R1258" s="332"/>
      <c r="S1258" s="328" t="s">
        <v>98</v>
      </c>
      <c r="T1258" s="328" t="s">
        <v>66</v>
      </c>
      <c r="U1258" s="328" t="s">
        <v>99</v>
      </c>
      <c r="V1258" s="328" t="s">
        <v>1984</v>
      </c>
      <c r="W1258" s="333"/>
      <c r="X1258" s="333"/>
      <c r="Y1258" s="333"/>
      <c r="Z1258" s="333"/>
      <c r="AA1258" s="334">
        <v>21675.0</v>
      </c>
      <c r="AB1258" s="334">
        <v>86700.0</v>
      </c>
      <c r="AC1258" s="24" t="s">
        <v>3537</v>
      </c>
      <c r="AD1258" s="195">
        <v>11142.0</v>
      </c>
      <c r="AE1258" s="38"/>
      <c r="AF1258" s="328" t="str">
        <f t="shared" si="1"/>
        <v>Buenos Aires, Argentina</v>
      </c>
      <c r="AG1258" s="328">
        <f t="shared" si="2"/>
        <v>1</v>
      </c>
      <c r="AH1258" s="335">
        <f t="shared" si="3"/>
        <v>0</v>
      </c>
      <c r="AI1258" s="335">
        <f t="shared" si="4"/>
        <v>0</v>
      </c>
      <c r="AJ1258" s="334">
        <f t="shared" si="5"/>
        <v>108375</v>
      </c>
      <c r="AK1258" s="334">
        <f t="shared" si="6"/>
        <v>108375</v>
      </c>
      <c r="AL1258" s="336"/>
      <c r="AM1258" s="336"/>
    </row>
    <row r="1259">
      <c r="A1259" s="328">
        <v>1258.0</v>
      </c>
      <c r="B1259" s="329">
        <v>45169.0</v>
      </c>
      <c r="C1259" s="195" t="str">
        <f t="shared" si="9"/>
        <v>82023</v>
      </c>
      <c r="D1259" s="330" t="s">
        <v>3529</v>
      </c>
      <c r="E1259" s="328" t="s">
        <v>3530</v>
      </c>
      <c r="F1259" s="330" t="s">
        <v>1878</v>
      </c>
      <c r="G1259" s="328" t="s">
        <v>40</v>
      </c>
      <c r="H1259" s="328" t="s">
        <v>41</v>
      </c>
      <c r="I1259" s="328" t="s">
        <v>643</v>
      </c>
      <c r="J1259" s="331"/>
      <c r="K1259" s="331"/>
      <c r="L1259" s="331"/>
      <c r="M1259" s="331"/>
      <c r="N1259" s="337">
        <v>1.0</v>
      </c>
      <c r="O1259" s="331"/>
      <c r="P1259" s="331"/>
      <c r="Q1259" s="332"/>
      <c r="R1259" s="332"/>
      <c r="S1259" s="328" t="s">
        <v>114</v>
      </c>
      <c r="T1259" s="328" t="s">
        <v>539</v>
      </c>
      <c r="U1259" s="328" t="s">
        <v>342</v>
      </c>
      <c r="V1259" s="328" t="s">
        <v>2945</v>
      </c>
      <c r="W1259" s="333"/>
      <c r="X1259" s="333"/>
      <c r="Y1259" s="333"/>
      <c r="Z1259" s="333"/>
      <c r="AA1259" s="334">
        <v>28900.0</v>
      </c>
      <c r="AB1259" s="334">
        <v>115600.0</v>
      </c>
      <c r="AC1259" s="24" t="s">
        <v>3538</v>
      </c>
      <c r="AD1259" s="195">
        <v>11144.0</v>
      </c>
      <c r="AE1259" s="38"/>
      <c r="AF1259" s="328" t="str">
        <f t="shared" si="1"/>
        <v>Misiones, Argentina</v>
      </c>
      <c r="AG1259" s="328">
        <f t="shared" si="2"/>
        <v>1</v>
      </c>
      <c r="AH1259" s="335">
        <f t="shared" si="3"/>
        <v>0</v>
      </c>
      <c r="AI1259" s="335">
        <f t="shared" si="4"/>
        <v>0</v>
      </c>
      <c r="AJ1259" s="334">
        <f t="shared" si="5"/>
        <v>144500</v>
      </c>
      <c r="AK1259" s="334">
        <f t="shared" si="6"/>
        <v>144500</v>
      </c>
      <c r="AL1259" s="336"/>
      <c r="AM1259" s="336"/>
    </row>
    <row r="1260">
      <c r="A1260" s="328">
        <v>1259.0</v>
      </c>
      <c r="B1260" s="329">
        <v>45169.0</v>
      </c>
      <c r="C1260" s="195" t="str">
        <f t="shared" si="9"/>
        <v>82023</v>
      </c>
      <c r="D1260" s="330" t="s">
        <v>3539</v>
      </c>
      <c r="E1260" s="328" t="s">
        <v>3540</v>
      </c>
      <c r="F1260" s="330" t="s">
        <v>3541</v>
      </c>
      <c r="G1260" s="328" t="s">
        <v>40</v>
      </c>
      <c r="H1260" s="328" t="s">
        <v>41</v>
      </c>
      <c r="I1260" s="328" t="s">
        <v>643</v>
      </c>
      <c r="J1260" s="337">
        <v>1.0</v>
      </c>
      <c r="K1260" s="337">
        <v>1.0</v>
      </c>
      <c r="L1260" s="331"/>
      <c r="M1260" s="337">
        <v>1.0</v>
      </c>
      <c r="N1260" s="331"/>
      <c r="O1260" s="331"/>
      <c r="P1260" s="331"/>
      <c r="Q1260" s="332"/>
      <c r="R1260" s="332"/>
      <c r="S1260" s="328" t="s">
        <v>65</v>
      </c>
      <c r="T1260" s="328" t="s">
        <v>267</v>
      </c>
      <c r="U1260" s="328" t="s">
        <v>342</v>
      </c>
      <c r="V1260" s="328" t="s">
        <v>2945</v>
      </c>
      <c r="W1260" s="333"/>
      <c r="X1260" s="333"/>
      <c r="Y1260" s="333"/>
      <c r="Z1260" s="333"/>
      <c r="AA1260" s="334">
        <v>50575.0</v>
      </c>
      <c r="AB1260" s="334">
        <v>411463.0</v>
      </c>
      <c r="AC1260" s="24" t="s">
        <v>3542</v>
      </c>
      <c r="AD1260" s="195">
        <v>10818.0</v>
      </c>
      <c r="AE1260" s="38"/>
      <c r="AF1260" s="328" t="str">
        <f t="shared" si="1"/>
        <v>Entre Ríos, Argentina</v>
      </c>
      <c r="AG1260" s="328">
        <f t="shared" si="2"/>
        <v>3</v>
      </c>
      <c r="AH1260" s="335">
        <f t="shared" si="3"/>
        <v>0</v>
      </c>
      <c r="AI1260" s="335">
        <f t="shared" si="4"/>
        <v>0</v>
      </c>
      <c r="AJ1260" s="334">
        <f t="shared" si="5"/>
        <v>462038</v>
      </c>
      <c r="AK1260" s="334">
        <f t="shared" si="6"/>
        <v>462038</v>
      </c>
      <c r="AL1260" s="336"/>
      <c r="AM1260" s="336"/>
    </row>
    <row r="1261">
      <c r="A1261" s="328">
        <v>1260.0</v>
      </c>
      <c r="B1261" s="329">
        <v>45169.0</v>
      </c>
      <c r="C1261" s="195" t="str">
        <f t="shared" si="9"/>
        <v>82023</v>
      </c>
      <c r="D1261" s="330" t="s">
        <v>3543</v>
      </c>
      <c r="E1261" s="328" t="s">
        <v>3544</v>
      </c>
      <c r="F1261" s="330" t="s">
        <v>2056</v>
      </c>
      <c r="G1261" s="328" t="s">
        <v>40</v>
      </c>
      <c r="H1261" s="328" t="s">
        <v>547</v>
      </c>
      <c r="I1261" s="328" t="s">
        <v>42</v>
      </c>
      <c r="J1261" s="337">
        <v>1.0</v>
      </c>
      <c r="K1261" s="331"/>
      <c r="L1261" s="331"/>
      <c r="M1261" s="337">
        <v>1.0</v>
      </c>
      <c r="N1261" s="331"/>
      <c r="O1261" s="331"/>
      <c r="P1261" s="331"/>
      <c r="Q1261" s="332"/>
      <c r="R1261" s="332"/>
      <c r="S1261" s="328" t="s">
        <v>72</v>
      </c>
      <c r="T1261" s="328" t="s">
        <v>972</v>
      </c>
      <c r="U1261" s="328" t="s">
        <v>342</v>
      </c>
      <c r="V1261" s="328" t="s">
        <v>3545</v>
      </c>
      <c r="W1261" s="333"/>
      <c r="X1261" s="333"/>
      <c r="Y1261" s="333"/>
      <c r="Z1261" s="333"/>
      <c r="AA1261" s="334">
        <v>17340.0</v>
      </c>
      <c r="AB1261" s="334">
        <v>62424.0</v>
      </c>
      <c r="AC1261" s="24" t="s">
        <v>3546</v>
      </c>
      <c r="AD1261" s="195">
        <v>11068.0</v>
      </c>
      <c r="AE1261" s="38"/>
      <c r="AF1261" s="328" t="str">
        <f t="shared" si="1"/>
        <v>Río Negro, Argentina</v>
      </c>
      <c r="AG1261" s="328">
        <f t="shared" si="2"/>
        <v>2</v>
      </c>
      <c r="AH1261" s="335">
        <f t="shared" si="3"/>
        <v>0</v>
      </c>
      <c r="AI1261" s="335">
        <f t="shared" si="4"/>
        <v>0</v>
      </c>
      <c r="AJ1261" s="334">
        <f t="shared" si="5"/>
        <v>79764</v>
      </c>
      <c r="AK1261" s="334">
        <f t="shared" si="6"/>
        <v>79764</v>
      </c>
      <c r="AL1261" s="336"/>
      <c r="AM1261" s="336"/>
    </row>
    <row r="1262">
      <c r="A1262" s="328">
        <v>1261.0</v>
      </c>
      <c r="B1262" s="329">
        <v>45169.0</v>
      </c>
      <c r="C1262" s="195" t="str">
        <f t="shared" si="9"/>
        <v>82023</v>
      </c>
      <c r="D1262" s="330" t="s">
        <v>3547</v>
      </c>
      <c r="E1262" s="328" t="s">
        <v>3035</v>
      </c>
      <c r="F1262" s="330" t="s">
        <v>1423</v>
      </c>
      <c r="G1262" s="328" t="s">
        <v>64</v>
      </c>
      <c r="H1262" s="328" t="s">
        <v>41</v>
      </c>
      <c r="I1262" s="328" t="s">
        <v>643</v>
      </c>
      <c r="J1262" s="337">
        <v>1.0</v>
      </c>
      <c r="K1262" s="331"/>
      <c r="L1262" s="331"/>
      <c r="M1262" s="331"/>
      <c r="N1262" s="331"/>
      <c r="O1262" s="331"/>
      <c r="P1262" s="331"/>
      <c r="Q1262" s="332"/>
      <c r="R1262" s="332"/>
      <c r="S1262" s="328" t="s">
        <v>105</v>
      </c>
      <c r="T1262" s="328" t="s">
        <v>66</v>
      </c>
      <c r="U1262" s="328" t="s">
        <v>99</v>
      </c>
      <c r="V1262" s="328" t="s">
        <v>1984</v>
      </c>
      <c r="W1262" s="333"/>
      <c r="X1262" s="333"/>
      <c r="Y1262" s="333"/>
      <c r="Z1262" s="333"/>
      <c r="AA1262" s="334">
        <v>28900.0</v>
      </c>
      <c r="AB1262" s="334">
        <v>115600.0</v>
      </c>
      <c r="AC1262" s="24" t="s">
        <v>3548</v>
      </c>
      <c r="AD1262" s="195">
        <v>11190.0</v>
      </c>
      <c r="AE1262" s="38"/>
      <c r="AF1262" s="328" t="str">
        <f t="shared" si="1"/>
        <v>Buenos Aires, Argentina</v>
      </c>
      <c r="AG1262" s="328">
        <f t="shared" si="2"/>
        <v>1</v>
      </c>
      <c r="AH1262" s="335">
        <f t="shared" si="3"/>
        <v>0</v>
      </c>
      <c r="AI1262" s="335">
        <f t="shared" si="4"/>
        <v>0</v>
      </c>
      <c r="AJ1262" s="334">
        <f t="shared" si="5"/>
        <v>144500</v>
      </c>
      <c r="AK1262" s="334">
        <f t="shared" si="6"/>
        <v>144500</v>
      </c>
      <c r="AL1262" s="336"/>
      <c r="AM1262" s="336"/>
    </row>
    <row r="1263">
      <c r="A1263" s="328">
        <v>1262.0</v>
      </c>
      <c r="B1263" s="329">
        <v>45169.0</v>
      </c>
      <c r="C1263" s="195" t="str">
        <f t="shared" si="9"/>
        <v>82023</v>
      </c>
      <c r="D1263" s="330" t="s">
        <v>2766</v>
      </c>
      <c r="E1263" s="328" t="s">
        <v>2767</v>
      </c>
      <c r="F1263" s="330" t="s">
        <v>3549</v>
      </c>
      <c r="G1263" s="328" t="s">
        <v>64</v>
      </c>
      <c r="H1263" s="328" t="s">
        <v>41</v>
      </c>
      <c r="I1263" s="328" t="s">
        <v>643</v>
      </c>
      <c r="J1263" s="331"/>
      <c r="K1263" s="331"/>
      <c r="L1263" s="331"/>
      <c r="M1263" s="331"/>
      <c r="N1263" s="331"/>
      <c r="O1263" s="331"/>
      <c r="P1263" s="331"/>
      <c r="Q1263" s="332"/>
      <c r="R1263" s="332"/>
      <c r="S1263" s="328" t="s">
        <v>276</v>
      </c>
      <c r="T1263" s="328" t="s">
        <v>83</v>
      </c>
      <c r="U1263" s="328" t="s">
        <v>99</v>
      </c>
      <c r="V1263" s="328" t="s">
        <v>2935</v>
      </c>
      <c r="W1263" s="334">
        <v>0.0</v>
      </c>
      <c r="X1263" s="334">
        <v>1500000.0</v>
      </c>
      <c r="Y1263" s="333"/>
      <c r="Z1263" s="333"/>
      <c r="AA1263" s="334">
        <v>0.0</v>
      </c>
      <c r="AB1263" s="334">
        <v>0.0</v>
      </c>
      <c r="AC1263" s="24" t="s">
        <v>3550</v>
      </c>
      <c r="AD1263" s="195">
        <v>10174.0</v>
      </c>
      <c r="AE1263" s="38"/>
      <c r="AF1263" s="328" t="str">
        <f t="shared" si="1"/>
        <v>Capital Federal, Argentina</v>
      </c>
      <c r="AG1263" s="328">
        <f t="shared" si="2"/>
        <v>0</v>
      </c>
      <c r="AH1263" s="335">
        <f t="shared" si="3"/>
        <v>1500000</v>
      </c>
      <c r="AI1263" s="335">
        <f t="shared" si="4"/>
        <v>0</v>
      </c>
      <c r="AJ1263" s="334">
        <f t="shared" si="5"/>
        <v>0</v>
      </c>
      <c r="AK1263" s="334">
        <f t="shared" si="6"/>
        <v>1500000</v>
      </c>
      <c r="AL1263" s="336"/>
      <c r="AM1263" s="336"/>
    </row>
    <row r="1264">
      <c r="A1264" s="328">
        <v>1263.0</v>
      </c>
      <c r="B1264" s="329">
        <v>45169.0</v>
      </c>
      <c r="C1264" s="195" t="str">
        <f t="shared" si="9"/>
        <v>82023</v>
      </c>
      <c r="D1264" s="330" t="s">
        <v>3551</v>
      </c>
      <c r="E1264" s="328" t="s">
        <v>1928</v>
      </c>
      <c r="F1264" s="330" t="s">
        <v>1423</v>
      </c>
      <c r="G1264" s="328" t="s">
        <v>64</v>
      </c>
      <c r="H1264" s="328" t="s">
        <v>41</v>
      </c>
      <c r="I1264" s="328" t="s">
        <v>643</v>
      </c>
      <c r="J1264" s="337">
        <v>1.0</v>
      </c>
      <c r="K1264" s="331"/>
      <c r="L1264" s="331"/>
      <c r="M1264" s="331"/>
      <c r="N1264" s="331"/>
      <c r="O1264" s="331"/>
      <c r="P1264" s="331"/>
      <c r="Q1264" s="332"/>
      <c r="R1264" s="332"/>
      <c r="S1264" s="328" t="s">
        <v>65</v>
      </c>
      <c r="T1264" s="328" t="s">
        <v>66</v>
      </c>
      <c r="U1264" s="328" t="s">
        <v>99</v>
      </c>
      <c r="V1264" s="328" t="s">
        <v>1984</v>
      </c>
      <c r="W1264" s="333"/>
      <c r="X1264" s="333"/>
      <c r="Y1264" s="333"/>
      <c r="Z1264" s="333"/>
      <c r="AA1264" s="334">
        <v>28900.0</v>
      </c>
      <c r="AB1264" s="334">
        <v>115600.0</v>
      </c>
      <c r="AC1264" s="24" t="s">
        <v>3552</v>
      </c>
      <c r="AD1264" s="195">
        <v>10518.0</v>
      </c>
      <c r="AE1264" s="38"/>
      <c r="AF1264" s="328" t="str">
        <f t="shared" si="1"/>
        <v>Buenos Aires, Argentina</v>
      </c>
      <c r="AG1264" s="328">
        <f t="shared" si="2"/>
        <v>1</v>
      </c>
      <c r="AH1264" s="335">
        <f t="shared" si="3"/>
        <v>0</v>
      </c>
      <c r="AI1264" s="335">
        <f t="shared" si="4"/>
        <v>0</v>
      </c>
      <c r="AJ1264" s="334">
        <f t="shared" si="5"/>
        <v>144500</v>
      </c>
      <c r="AK1264" s="334">
        <f t="shared" si="6"/>
        <v>144500</v>
      </c>
      <c r="AL1264" s="336"/>
      <c r="AM1264" s="336"/>
    </row>
    <row r="1265">
      <c r="A1265" s="328">
        <v>1264.0</v>
      </c>
      <c r="B1265" s="329">
        <v>45169.0</v>
      </c>
      <c r="C1265" s="195" t="str">
        <f t="shared" si="9"/>
        <v>82023</v>
      </c>
      <c r="D1265" s="330" t="s">
        <v>3553</v>
      </c>
      <c r="E1265" s="328" t="s">
        <v>3554</v>
      </c>
      <c r="F1265" s="330" t="s">
        <v>3555</v>
      </c>
      <c r="G1265" s="328" t="s">
        <v>40</v>
      </c>
      <c r="H1265" s="328" t="s">
        <v>41</v>
      </c>
      <c r="I1265" s="328" t="s">
        <v>42</v>
      </c>
      <c r="J1265" s="337">
        <v>2.0</v>
      </c>
      <c r="K1265" s="337">
        <v>2.0</v>
      </c>
      <c r="L1265" s="337">
        <v>3.0</v>
      </c>
      <c r="M1265" s="337">
        <v>1.0</v>
      </c>
      <c r="N1265" s="331"/>
      <c r="O1265" s="331"/>
      <c r="P1265" s="331"/>
      <c r="Q1265" s="332"/>
      <c r="R1265" s="332"/>
      <c r="S1265" s="328" t="s">
        <v>72</v>
      </c>
      <c r="T1265" s="328" t="s">
        <v>984</v>
      </c>
      <c r="U1265" s="328" t="s">
        <v>45</v>
      </c>
      <c r="V1265" s="328" t="s">
        <v>3545</v>
      </c>
      <c r="W1265" s="333"/>
      <c r="X1265" s="333"/>
      <c r="Y1265" s="333"/>
      <c r="Z1265" s="333"/>
      <c r="AA1265" s="334">
        <v>153170.0</v>
      </c>
      <c r="AB1265" s="334">
        <v>689265.0</v>
      </c>
      <c r="AC1265" s="24" t="s">
        <v>3556</v>
      </c>
      <c r="AD1265" s="195">
        <v>11080.0</v>
      </c>
      <c r="AE1265" s="38"/>
      <c r="AF1265" s="328" t="str">
        <f t="shared" si="1"/>
        <v>Santiago del Estero, Argentina</v>
      </c>
      <c r="AG1265" s="328">
        <f t="shared" si="2"/>
        <v>8</v>
      </c>
      <c r="AH1265" s="335">
        <f t="shared" si="3"/>
        <v>0</v>
      </c>
      <c r="AI1265" s="335">
        <f t="shared" si="4"/>
        <v>0</v>
      </c>
      <c r="AJ1265" s="334">
        <f t="shared" si="5"/>
        <v>842435</v>
      </c>
      <c r="AK1265" s="334">
        <f t="shared" si="6"/>
        <v>842435</v>
      </c>
      <c r="AL1265" s="336"/>
      <c r="AM1265" s="336"/>
    </row>
    <row r="1266">
      <c r="A1266" s="338">
        <v>1265.0</v>
      </c>
      <c r="B1266" s="339">
        <v>45181.0</v>
      </c>
      <c r="C1266" s="195" t="str">
        <f t="shared" si="9"/>
        <v>92023</v>
      </c>
      <c r="D1266" s="340" t="s">
        <v>3557</v>
      </c>
      <c r="E1266" s="338" t="s">
        <v>3558</v>
      </c>
      <c r="F1266" s="340" t="s">
        <v>2056</v>
      </c>
      <c r="G1266" s="338" t="s">
        <v>40</v>
      </c>
      <c r="H1266" s="338" t="s">
        <v>41</v>
      </c>
      <c r="I1266" s="338" t="s">
        <v>42</v>
      </c>
      <c r="J1266" s="341">
        <v>1.0</v>
      </c>
      <c r="K1266" s="65"/>
      <c r="L1266" s="65"/>
      <c r="M1266" s="341">
        <v>1.0</v>
      </c>
      <c r="N1266" s="65"/>
      <c r="O1266" s="65"/>
      <c r="P1266" s="65"/>
      <c r="Q1266" s="66"/>
      <c r="R1266" s="66"/>
      <c r="S1266" s="338" t="s">
        <v>189</v>
      </c>
      <c r="T1266" s="338" t="s">
        <v>66</v>
      </c>
      <c r="U1266" s="338" t="s">
        <v>45</v>
      </c>
      <c r="V1266" s="338" t="s">
        <v>2922</v>
      </c>
      <c r="W1266" s="67"/>
      <c r="X1266" s="67"/>
      <c r="Y1266" s="67"/>
      <c r="Z1266" s="67"/>
      <c r="AA1266" s="342">
        <v>32500.0</v>
      </c>
      <c r="AB1266" s="342">
        <v>130000.0</v>
      </c>
      <c r="AC1266" s="24" t="s">
        <v>3559</v>
      </c>
      <c r="AD1266" s="195">
        <v>10638.0</v>
      </c>
      <c r="AE1266" s="38"/>
      <c r="AF1266" s="338" t="str">
        <f t="shared" si="1"/>
        <v>Buenos Aires, Argentina</v>
      </c>
      <c r="AG1266" s="338">
        <f t="shared" si="2"/>
        <v>2</v>
      </c>
      <c r="AH1266" s="343">
        <f t="shared" si="3"/>
        <v>0</v>
      </c>
      <c r="AI1266" s="343">
        <f t="shared" si="4"/>
        <v>0</v>
      </c>
      <c r="AJ1266" s="342">
        <f t="shared" si="5"/>
        <v>162500</v>
      </c>
      <c r="AK1266" s="342">
        <f t="shared" si="6"/>
        <v>162500</v>
      </c>
      <c r="AL1266" s="70"/>
      <c r="AM1266" s="70"/>
    </row>
    <row r="1267">
      <c r="A1267" s="338">
        <v>1266.0</v>
      </c>
      <c r="B1267" s="339">
        <v>45181.0</v>
      </c>
      <c r="C1267" s="195" t="str">
        <f t="shared" si="9"/>
        <v>92023</v>
      </c>
      <c r="D1267" s="340" t="s">
        <v>3560</v>
      </c>
      <c r="E1267" s="338" t="s">
        <v>3561</v>
      </c>
      <c r="F1267" s="340" t="s">
        <v>2056</v>
      </c>
      <c r="G1267" s="338" t="s">
        <v>40</v>
      </c>
      <c r="H1267" s="338" t="s">
        <v>547</v>
      </c>
      <c r="I1267" s="338" t="s">
        <v>42</v>
      </c>
      <c r="J1267" s="341">
        <v>1.0</v>
      </c>
      <c r="K1267" s="65"/>
      <c r="L1267" s="65"/>
      <c r="M1267" s="341">
        <v>1.0</v>
      </c>
      <c r="N1267" s="65"/>
      <c r="O1267" s="65"/>
      <c r="P1267" s="65"/>
      <c r="Q1267" s="66"/>
      <c r="R1267" s="66"/>
      <c r="S1267" s="338" t="s">
        <v>109</v>
      </c>
      <c r="T1267" s="338" t="s">
        <v>66</v>
      </c>
      <c r="U1267" s="338" t="s">
        <v>342</v>
      </c>
      <c r="V1267" s="338" t="s">
        <v>2922</v>
      </c>
      <c r="W1267" s="67"/>
      <c r="X1267" s="67"/>
      <c r="Y1267" s="67"/>
      <c r="Z1267" s="67"/>
      <c r="AA1267" s="342">
        <v>19500.0</v>
      </c>
      <c r="AB1267" s="342">
        <v>87750.0</v>
      </c>
      <c r="AC1267" s="24" t="s">
        <v>3562</v>
      </c>
      <c r="AD1267" s="195">
        <v>11210.0</v>
      </c>
      <c r="AE1267" s="38"/>
      <c r="AF1267" s="338" t="str">
        <f t="shared" si="1"/>
        <v>Buenos Aires, Argentina</v>
      </c>
      <c r="AG1267" s="338">
        <f t="shared" si="2"/>
        <v>2</v>
      </c>
      <c r="AH1267" s="343">
        <f t="shared" si="3"/>
        <v>0</v>
      </c>
      <c r="AI1267" s="343">
        <f t="shared" si="4"/>
        <v>0</v>
      </c>
      <c r="AJ1267" s="342">
        <f t="shared" si="5"/>
        <v>107250</v>
      </c>
      <c r="AK1267" s="342">
        <f t="shared" si="6"/>
        <v>107250</v>
      </c>
      <c r="AL1267" s="70"/>
      <c r="AM1267" s="70"/>
    </row>
    <row r="1268">
      <c r="A1268" s="338">
        <v>1267.0</v>
      </c>
      <c r="B1268" s="339">
        <v>45182.0</v>
      </c>
      <c r="C1268" s="195" t="str">
        <f t="shared" si="9"/>
        <v>92023</v>
      </c>
      <c r="D1268" s="340" t="s">
        <v>3458</v>
      </c>
      <c r="E1268" s="338" t="s">
        <v>3459</v>
      </c>
      <c r="F1268" s="340" t="s">
        <v>1423</v>
      </c>
      <c r="G1268" s="338" t="s">
        <v>64</v>
      </c>
      <c r="H1268" s="338" t="s">
        <v>41</v>
      </c>
      <c r="I1268" s="338" t="s">
        <v>42</v>
      </c>
      <c r="J1268" s="341">
        <v>1.0</v>
      </c>
      <c r="K1268" s="65"/>
      <c r="L1268" s="65"/>
      <c r="M1268" s="65"/>
      <c r="N1268" s="65"/>
      <c r="O1268" s="65"/>
      <c r="P1268" s="65"/>
      <c r="Q1268" s="66"/>
      <c r="R1268" s="66"/>
      <c r="S1268" s="338" t="s">
        <v>109</v>
      </c>
      <c r="T1268" s="338" t="s">
        <v>66</v>
      </c>
      <c r="U1268" s="338" t="s">
        <v>99</v>
      </c>
      <c r="V1268" s="338" t="s">
        <v>2922</v>
      </c>
      <c r="W1268" s="67"/>
      <c r="X1268" s="67"/>
      <c r="Y1268" s="67"/>
      <c r="Z1268" s="67"/>
      <c r="AA1268" s="342">
        <v>32500.0</v>
      </c>
      <c r="AB1268" s="342">
        <v>130000.0</v>
      </c>
      <c r="AC1268" s="24" t="s">
        <v>3563</v>
      </c>
      <c r="AD1268" s="195">
        <v>11278.0</v>
      </c>
      <c r="AE1268" s="38"/>
      <c r="AF1268" s="338" t="str">
        <f t="shared" si="1"/>
        <v>Buenos Aires, Argentina</v>
      </c>
      <c r="AG1268" s="338">
        <f t="shared" si="2"/>
        <v>1</v>
      </c>
      <c r="AH1268" s="343">
        <f t="shared" si="3"/>
        <v>0</v>
      </c>
      <c r="AI1268" s="343">
        <f t="shared" si="4"/>
        <v>0</v>
      </c>
      <c r="AJ1268" s="342">
        <f t="shared" si="5"/>
        <v>162500</v>
      </c>
      <c r="AK1268" s="342">
        <f t="shared" si="6"/>
        <v>162500</v>
      </c>
      <c r="AL1268" s="70"/>
      <c r="AM1268" s="70"/>
    </row>
    <row r="1269">
      <c r="A1269" s="344">
        <v>1268.0</v>
      </c>
      <c r="B1269" s="345">
        <v>45184.0</v>
      </c>
      <c r="C1269" s="38"/>
      <c r="D1269" s="346" t="s">
        <v>3564</v>
      </c>
      <c r="E1269" s="344" t="s">
        <v>3565</v>
      </c>
      <c r="F1269" s="346" t="s">
        <v>2502</v>
      </c>
      <c r="G1269" s="344" t="s">
        <v>40</v>
      </c>
      <c r="H1269" s="344" t="s">
        <v>547</v>
      </c>
      <c r="I1269" s="344" t="s">
        <v>42</v>
      </c>
      <c r="J1269" s="347">
        <v>1.0</v>
      </c>
      <c r="K1269" s="347">
        <v>3.0</v>
      </c>
      <c r="L1269" s="65"/>
      <c r="M1269" s="347">
        <v>1.0</v>
      </c>
      <c r="N1269" s="65"/>
      <c r="O1269" s="65"/>
      <c r="P1269" s="65"/>
      <c r="Q1269" s="66"/>
      <c r="R1269" s="66"/>
      <c r="S1269" s="344" t="s">
        <v>105</v>
      </c>
      <c r="T1269" s="344" t="s">
        <v>66</v>
      </c>
      <c r="U1269" s="344" t="s">
        <v>45</v>
      </c>
      <c r="V1269" s="344" t="s">
        <v>2922</v>
      </c>
      <c r="W1269" s="67"/>
      <c r="X1269" s="67"/>
      <c r="Y1269" s="67"/>
      <c r="Z1269" s="67"/>
      <c r="AA1269" s="348">
        <v>63375.0</v>
      </c>
      <c r="AB1269" s="348">
        <v>285187.0</v>
      </c>
      <c r="AC1269" s="24" t="s">
        <v>3566</v>
      </c>
      <c r="AD1269" s="349">
        <v>11006.0</v>
      </c>
      <c r="AE1269" s="38"/>
      <c r="AF1269" s="344" t="str">
        <f t="shared" si="1"/>
        <v>Buenos Aires, Argentina</v>
      </c>
      <c r="AG1269" s="344">
        <f t="shared" si="2"/>
        <v>5</v>
      </c>
      <c r="AH1269" s="350">
        <f t="shared" si="3"/>
        <v>0</v>
      </c>
      <c r="AI1269" s="350">
        <f t="shared" si="4"/>
        <v>0</v>
      </c>
      <c r="AJ1269" s="348">
        <f t="shared" si="5"/>
        <v>348562</v>
      </c>
      <c r="AK1269" s="348">
        <f t="shared" si="6"/>
        <v>348562</v>
      </c>
      <c r="AL1269" s="70"/>
      <c r="AM1269" s="70"/>
    </row>
    <row r="1270">
      <c r="A1270" s="338">
        <v>1269.0</v>
      </c>
      <c r="B1270" s="339">
        <v>45189.0</v>
      </c>
      <c r="C1270" s="195" t="str">
        <f t="shared" ref="C1270:C1421" si="10">IF(B1270&lt;&gt;"",CONCATENATE(MONTH(B1270),YEAR(B1270)),0)</f>
        <v>92023</v>
      </c>
      <c r="D1270" s="340" t="s">
        <v>3567</v>
      </c>
      <c r="E1270" s="338" t="s">
        <v>3568</v>
      </c>
      <c r="F1270" s="340" t="s">
        <v>3569</v>
      </c>
      <c r="G1270" s="338" t="s">
        <v>64</v>
      </c>
      <c r="H1270" s="338" t="s">
        <v>41</v>
      </c>
      <c r="I1270" s="338" t="s">
        <v>643</v>
      </c>
      <c r="J1270" s="65"/>
      <c r="K1270" s="65"/>
      <c r="L1270" s="65"/>
      <c r="M1270" s="65"/>
      <c r="N1270" s="65"/>
      <c r="O1270" s="341">
        <v>1.0</v>
      </c>
      <c r="P1270" s="65"/>
      <c r="Q1270" s="66"/>
      <c r="R1270" s="66"/>
      <c r="S1270" s="338" t="s">
        <v>98</v>
      </c>
      <c r="T1270" s="338" t="s">
        <v>66</v>
      </c>
      <c r="U1270" s="338" t="s">
        <v>99</v>
      </c>
      <c r="V1270" s="338" t="s">
        <v>1984</v>
      </c>
      <c r="W1270" s="67"/>
      <c r="X1270" s="67"/>
      <c r="Y1270" s="67"/>
      <c r="Z1270" s="67"/>
      <c r="AA1270" s="342">
        <v>19500.0</v>
      </c>
      <c r="AB1270" s="342">
        <v>78000.0</v>
      </c>
      <c r="AC1270" s="24" t="s">
        <v>3570</v>
      </c>
      <c r="AD1270" s="195">
        <v>11328.0</v>
      </c>
      <c r="AE1270" s="38"/>
      <c r="AF1270" s="338" t="str">
        <f t="shared" si="1"/>
        <v>Buenos Aires, Argentina</v>
      </c>
      <c r="AG1270" s="338">
        <f t="shared" si="2"/>
        <v>1</v>
      </c>
      <c r="AH1270" s="343">
        <f t="shared" si="3"/>
        <v>0</v>
      </c>
      <c r="AI1270" s="343">
        <f t="shared" si="4"/>
        <v>0</v>
      </c>
      <c r="AJ1270" s="342">
        <f t="shared" si="5"/>
        <v>97500</v>
      </c>
      <c r="AK1270" s="342">
        <f t="shared" si="6"/>
        <v>97500</v>
      </c>
      <c r="AL1270" s="70"/>
      <c r="AM1270" s="70"/>
    </row>
    <row r="1271">
      <c r="A1271" s="338">
        <v>1270.0</v>
      </c>
      <c r="B1271" s="339">
        <v>45191.0</v>
      </c>
      <c r="C1271" s="195" t="str">
        <f t="shared" si="10"/>
        <v>92023</v>
      </c>
      <c r="D1271" s="340" t="s">
        <v>2677</v>
      </c>
      <c r="E1271" s="338" t="s">
        <v>2678</v>
      </c>
      <c r="F1271" s="340" t="s">
        <v>3571</v>
      </c>
      <c r="G1271" s="338" t="s">
        <v>64</v>
      </c>
      <c r="H1271" s="338" t="s">
        <v>41</v>
      </c>
      <c r="I1271" s="338" t="s">
        <v>643</v>
      </c>
      <c r="J1271" s="65"/>
      <c r="K1271" s="341">
        <v>1.0</v>
      </c>
      <c r="L1271" s="341">
        <v>3.0</v>
      </c>
      <c r="M1271" s="65"/>
      <c r="N1271" s="65"/>
      <c r="O1271" s="65"/>
      <c r="P1271" s="65"/>
      <c r="Q1271" s="66"/>
      <c r="R1271" s="66"/>
      <c r="S1271" s="338" t="s">
        <v>105</v>
      </c>
      <c r="T1271" s="338" t="s">
        <v>66</v>
      </c>
      <c r="U1271" s="338" t="s">
        <v>99</v>
      </c>
      <c r="V1271" s="338" t="s">
        <v>1984</v>
      </c>
      <c r="W1271" s="67"/>
      <c r="X1271" s="67"/>
      <c r="Y1271" s="67"/>
      <c r="Z1271" s="67"/>
      <c r="AA1271" s="342">
        <v>73125.0</v>
      </c>
      <c r="AB1271" s="342">
        <v>329060.0</v>
      </c>
      <c r="AC1271" s="24" t="s">
        <v>3572</v>
      </c>
      <c r="AD1271" s="195">
        <v>11288.0</v>
      </c>
      <c r="AE1271" s="38"/>
      <c r="AF1271" s="338" t="str">
        <f t="shared" si="1"/>
        <v>Buenos Aires, Argentina</v>
      </c>
      <c r="AG1271" s="338">
        <f t="shared" si="2"/>
        <v>4</v>
      </c>
      <c r="AH1271" s="343">
        <f t="shared" si="3"/>
        <v>0</v>
      </c>
      <c r="AI1271" s="343">
        <f t="shared" si="4"/>
        <v>0</v>
      </c>
      <c r="AJ1271" s="342">
        <f t="shared" si="5"/>
        <v>402185</v>
      </c>
      <c r="AK1271" s="342">
        <f t="shared" si="6"/>
        <v>402185</v>
      </c>
      <c r="AL1271" s="70"/>
      <c r="AM1271" s="70"/>
    </row>
    <row r="1272">
      <c r="A1272" s="338">
        <v>1271.0</v>
      </c>
      <c r="B1272" s="339">
        <v>45195.0</v>
      </c>
      <c r="C1272" s="195" t="str">
        <f t="shared" si="10"/>
        <v>92023</v>
      </c>
      <c r="D1272" s="340" t="s">
        <v>3573</v>
      </c>
      <c r="E1272" s="338" t="s">
        <v>2501</v>
      </c>
      <c r="F1272" s="340" t="s">
        <v>3574</v>
      </c>
      <c r="G1272" s="338" t="s">
        <v>64</v>
      </c>
      <c r="H1272" s="338" t="s">
        <v>41</v>
      </c>
      <c r="I1272" s="338" t="s">
        <v>643</v>
      </c>
      <c r="J1272" s="341">
        <v>2.0</v>
      </c>
      <c r="K1272" s="65"/>
      <c r="L1272" s="65"/>
      <c r="M1272" s="65"/>
      <c r="N1272" s="65"/>
      <c r="O1272" s="65"/>
      <c r="P1272" s="65"/>
      <c r="Q1272" s="66"/>
      <c r="R1272" s="66"/>
      <c r="S1272" s="338" t="s">
        <v>137</v>
      </c>
      <c r="T1272" s="338" t="s">
        <v>83</v>
      </c>
      <c r="U1272" s="338" t="s">
        <v>99</v>
      </c>
      <c r="V1272" s="338" t="s">
        <v>1984</v>
      </c>
      <c r="W1272" s="67"/>
      <c r="X1272" s="67"/>
      <c r="Y1272" s="67"/>
      <c r="Z1272" s="67"/>
      <c r="AA1272" s="342">
        <v>65000.0</v>
      </c>
      <c r="AB1272" s="342">
        <v>260000.0</v>
      </c>
      <c r="AC1272" s="24" t="s">
        <v>3575</v>
      </c>
      <c r="AD1272" s="195">
        <v>11078.0</v>
      </c>
      <c r="AE1272" s="38"/>
      <c r="AF1272" s="338" t="str">
        <f t="shared" si="1"/>
        <v>Capital Federal, Argentina</v>
      </c>
      <c r="AG1272" s="338">
        <f t="shared" si="2"/>
        <v>2</v>
      </c>
      <c r="AH1272" s="343">
        <f t="shared" si="3"/>
        <v>0</v>
      </c>
      <c r="AI1272" s="343">
        <f t="shared" si="4"/>
        <v>0</v>
      </c>
      <c r="AJ1272" s="342">
        <f t="shared" si="5"/>
        <v>325000</v>
      </c>
      <c r="AK1272" s="342">
        <f t="shared" si="6"/>
        <v>325000</v>
      </c>
      <c r="AL1272" s="70"/>
      <c r="AM1272" s="70"/>
    </row>
    <row r="1273">
      <c r="A1273" s="338">
        <v>1272.0</v>
      </c>
      <c r="B1273" s="339">
        <v>45195.0</v>
      </c>
      <c r="C1273" s="195" t="str">
        <f t="shared" si="10"/>
        <v>92023</v>
      </c>
      <c r="D1273" s="340" t="s">
        <v>3439</v>
      </c>
      <c r="E1273" s="338" t="s">
        <v>3440</v>
      </c>
      <c r="F1273" s="340" t="s">
        <v>3576</v>
      </c>
      <c r="G1273" s="338" t="s">
        <v>64</v>
      </c>
      <c r="H1273" s="338" t="s">
        <v>41</v>
      </c>
      <c r="I1273" s="338" t="s">
        <v>42</v>
      </c>
      <c r="J1273" s="65"/>
      <c r="K1273" s="341">
        <v>1.0</v>
      </c>
      <c r="L1273" s="65"/>
      <c r="M1273" s="65"/>
      <c r="N1273" s="65"/>
      <c r="O1273" s="341">
        <v>1.0</v>
      </c>
      <c r="P1273" s="65"/>
      <c r="Q1273" s="66"/>
      <c r="R1273" s="66"/>
      <c r="S1273" s="338" t="s">
        <v>114</v>
      </c>
      <c r="T1273" s="338" t="s">
        <v>655</v>
      </c>
      <c r="U1273" s="338" t="s">
        <v>99</v>
      </c>
      <c r="V1273" s="338" t="s">
        <v>2922</v>
      </c>
      <c r="W1273" s="67"/>
      <c r="X1273" s="67"/>
      <c r="Y1273" s="67"/>
      <c r="Z1273" s="67"/>
      <c r="AA1273" s="342">
        <v>43875.0</v>
      </c>
      <c r="AB1273" s="342">
        <v>197437.0</v>
      </c>
      <c r="AC1273" s="24" t="s">
        <v>3577</v>
      </c>
      <c r="AD1273" s="195">
        <v>11834.0</v>
      </c>
      <c r="AE1273" s="38"/>
      <c r="AF1273" s="338" t="str">
        <f t="shared" si="1"/>
        <v>La Pampa, Argentina</v>
      </c>
      <c r="AG1273" s="338">
        <f t="shared" si="2"/>
        <v>2</v>
      </c>
      <c r="AH1273" s="343">
        <f t="shared" si="3"/>
        <v>0</v>
      </c>
      <c r="AI1273" s="343">
        <f t="shared" si="4"/>
        <v>0</v>
      </c>
      <c r="AJ1273" s="342">
        <f t="shared" si="5"/>
        <v>241312</v>
      </c>
      <c r="AK1273" s="342">
        <f t="shared" si="6"/>
        <v>241312</v>
      </c>
      <c r="AL1273" s="70"/>
      <c r="AM1273" s="70"/>
    </row>
    <row r="1274">
      <c r="A1274" s="338">
        <v>1273.0</v>
      </c>
      <c r="B1274" s="339">
        <v>45195.0</v>
      </c>
      <c r="C1274" s="195" t="str">
        <f t="shared" si="10"/>
        <v>92023</v>
      </c>
      <c r="D1274" s="340" t="s">
        <v>3578</v>
      </c>
      <c r="E1274" s="338" t="s">
        <v>3579</v>
      </c>
      <c r="F1274" s="340" t="s">
        <v>2056</v>
      </c>
      <c r="G1274" s="338" t="s">
        <v>40</v>
      </c>
      <c r="H1274" s="338" t="s">
        <v>41</v>
      </c>
      <c r="I1274" s="338" t="s">
        <v>42</v>
      </c>
      <c r="J1274" s="341">
        <v>1.0</v>
      </c>
      <c r="K1274" s="65"/>
      <c r="L1274" s="65"/>
      <c r="M1274" s="341">
        <v>1.0</v>
      </c>
      <c r="N1274" s="65"/>
      <c r="O1274" s="65"/>
      <c r="P1274" s="65"/>
      <c r="Q1274" s="66"/>
      <c r="R1274" s="66"/>
      <c r="S1274" s="338" t="s">
        <v>65</v>
      </c>
      <c r="T1274" s="338" t="s">
        <v>66</v>
      </c>
      <c r="U1274" s="338" t="s">
        <v>342</v>
      </c>
      <c r="V1274" s="338" t="s">
        <v>2922</v>
      </c>
      <c r="W1274" s="67"/>
      <c r="X1274" s="67"/>
      <c r="Y1274" s="67"/>
      <c r="Z1274" s="67"/>
      <c r="AA1274" s="342">
        <v>32500.0</v>
      </c>
      <c r="AB1274" s="342">
        <v>130000.0</v>
      </c>
      <c r="AC1274" s="24" t="s">
        <v>3580</v>
      </c>
      <c r="AD1274" s="195">
        <v>9290.0</v>
      </c>
      <c r="AE1274" s="38"/>
      <c r="AF1274" s="338" t="str">
        <f t="shared" si="1"/>
        <v>Buenos Aires, Argentina</v>
      </c>
      <c r="AG1274" s="338">
        <f t="shared" si="2"/>
        <v>2</v>
      </c>
      <c r="AH1274" s="343">
        <f t="shared" si="3"/>
        <v>0</v>
      </c>
      <c r="AI1274" s="343">
        <f t="shared" si="4"/>
        <v>0</v>
      </c>
      <c r="AJ1274" s="342">
        <f t="shared" si="5"/>
        <v>162500</v>
      </c>
      <c r="AK1274" s="342">
        <f t="shared" si="6"/>
        <v>162500</v>
      </c>
      <c r="AL1274" s="70"/>
      <c r="AM1274" s="70"/>
    </row>
    <row r="1275">
      <c r="A1275" s="338">
        <v>1274.0</v>
      </c>
      <c r="B1275" s="339">
        <v>45196.0</v>
      </c>
      <c r="C1275" s="195" t="str">
        <f t="shared" si="10"/>
        <v>92023</v>
      </c>
      <c r="D1275" s="340" t="s">
        <v>3285</v>
      </c>
      <c r="E1275" s="338" t="s">
        <v>3286</v>
      </c>
      <c r="F1275" s="340" t="s">
        <v>3581</v>
      </c>
      <c r="G1275" s="338" t="s">
        <v>64</v>
      </c>
      <c r="H1275" s="338" t="s">
        <v>41</v>
      </c>
      <c r="I1275" s="338" t="s">
        <v>643</v>
      </c>
      <c r="J1275" s="65"/>
      <c r="K1275" s="341">
        <v>4.0</v>
      </c>
      <c r="L1275" s="65"/>
      <c r="M1275" s="65"/>
      <c r="N1275" s="65"/>
      <c r="O1275" s="65"/>
      <c r="P1275" s="65"/>
      <c r="Q1275" s="66"/>
      <c r="R1275" s="66"/>
      <c r="S1275" s="338" t="s">
        <v>65</v>
      </c>
      <c r="T1275" s="338" t="s">
        <v>66</v>
      </c>
      <c r="U1275" s="338" t="s">
        <v>99</v>
      </c>
      <c r="V1275" s="338" t="s">
        <v>1984</v>
      </c>
      <c r="W1275" s="67"/>
      <c r="X1275" s="67"/>
      <c r="Y1275" s="67"/>
      <c r="Z1275" s="67"/>
      <c r="AA1275" s="342">
        <v>97500.0</v>
      </c>
      <c r="AB1275" s="342">
        <v>390000.0</v>
      </c>
      <c r="AC1275" s="24" t="s">
        <v>3582</v>
      </c>
      <c r="AD1275" s="195">
        <v>11386.0</v>
      </c>
      <c r="AE1275" s="38"/>
      <c r="AF1275" s="338" t="str">
        <f t="shared" si="1"/>
        <v>Buenos Aires, Argentina</v>
      </c>
      <c r="AG1275" s="338">
        <f t="shared" si="2"/>
        <v>4</v>
      </c>
      <c r="AH1275" s="343">
        <f t="shared" si="3"/>
        <v>0</v>
      </c>
      <c r="AI1275" s="343">
        <f t="shared" si="4"/>
        <v>0</v>
      </c>
      <c r="AJ1275" s="342">
        <f t="shared" si="5"/>
        <v>487500</v>
      </c>
      <c r="AK1275" s="342">
        <f t="shared" si="6"/>
        <v>487500</v>
      </c>
      <c r="AL1275" s="70"/>
      <c r="AM1275" s="70"/>
    </row>
    <row r="1276">
      <c r="A1276" s="338">
        <v>1275.0</v>
      </c>
      <c r="B1276" s="339">
        <v>45196.0</v>
      </c>
      <c r="C1276" s="195" t="str">
        <f t="shared" si="10"/>
        <v>92023</v>
      </c>
      <c r="D1276" s="340" t="s">
        <v>1995</v>
      </c>
      <c r="E1276" s="338" t="s">
        <v>1996</v>
      </c>
      <c r="F1276" s="340" t="s">
        <v>3490</v>
      </c>
      <c r="G1276" s="338" t="s">
        <v>64</v>
      </c>
      <c r="H1276" s="338" t="s">
        <v>41</v>
      </c>
      <c r="I1276" s="338" t="s">
        <v>643</v>
      </c>
      <c r="J1276" s="65"/>
      <c r="K1276" s="65"/>
      <c r="L1276" s="65"/>
      <c r="M1276" s="65"/>
      <c r="N1276" s="65"/>
      <c r="O1276" s="65"/>
      <c r="P1276" s="341">
        <v>1.0</v>
      </c>
      <c r="Q1276" s="66"/>
      <c r="R1276" s="66"/>
      <c r="S1276" s="338" t="s">
        <v>98</v>
      </c>
      <c r="T1276" s="338" t="s">
        <v>66</v>
      </c>
      <c r="U1276" s="338" t="s">
        <v>99</v>
      </c>
      <c r="V1276" s="338" t="s">
        <v>1984</v>
      </c>
      <c r="W1276" s="67"/>
      <c r="X1276" s="67"/>
      <c r="Y1276" s="67"/>
      <c r="Z1276" s="67"/>
      <c r="AA1276" s="342">
        <v>24375.0</v>
      </c>
      <c r="AB1276" s="342">
        <v>109687.0</v>
      </c>
      <c r="AC1276" s="24" t="s">
        <v>3583</v>
      </c>
      <c r="AD1276" s="195">
        <v>10814.0</v>
      </c>
      <c r="AE1276" s="38"/>
      <c r="AF1276" s="338" t="str">
        <f t="shared" si="1"/>
        <v>Buenos Aires, Argentina</v>
      </c>
      <c r="AG1276" s="338">
        <f t="shared" si="2"/>
        <v>1</v>
      </c>
      <c r="AH1276" s="343">
        <f t="shared" si="3"/>
        <v>0</v>
      </c>
      <c r="AI1276" s="343">
        <f t="shared" si="4"/>
        <v>0</v>
      </c>
      <c r="AJ1276" s="342">
        <f t="shared" si="5"/>
        <v>134062</v>
      </c>
      <c r="AK1276" s="342">
        <f t="shared" si="6"/>
        <v>134062</v>
      </c>
      <c r="AL1276" s="70"/>
      <c r="AM1276" s="70"/>
    </row>
    <row r="1277">
      <c r="A1277" s="338">
        <v>1276.0</v>
      </c>
      <c r="B1277" s="339">
        <v>45196.0</v>
      </c>
      <c r="C1277" s="195" t="str">
        <f t="shared" si="10"/>
        <v>92023</v>
      </c>
      <c r="D1277" s="340" t="s">
        <v>1995</v>
      </c>
      <c r="E1277" s="338" t="s">
        <v>1996</v>
      </c>
      <c r="F1277" s="340" t="s">
        <v>3584</v>
      </c>
      <c r="G1277" s="338" t="s">
        <v>64</v>
      </c>
      <c r="H1277" s="338" t="s">
        <v>41</v>
      </c>
      <c r="I1277" s="338" t="s">
        <v>643</v>
      </c>
      <c r="J1277" s="65"/>
      <c r="K1277" s="65"/>
      <c r="L1277" s="65"/>
      <c r="M1277" s="65"/>
      <c r="N1277" s="65"/>
      <c r="O1277" s="65"/>
      <c r="P1277" s="65"/>
      <c r="Q1277" s="66"/>
      <c r="R1277" s="66"/>
      <c r="S1277" s="338" t="s">
        <v>98</v>
      </c>
      <c r="T1277" s="338" t="s">
        <v>66</v>
      </c>
      <c r="U1277" s="338" t="s">
        <v>99</v>
      </c>
      <c r="V1277" s="338" t="s">
        <v>1984</v>
      </c>
      <c r="W1277" s="342">
        <v>34130.0</v>
      </c>
      <c r="X1277" s="342">
        <v>153586.0</v>
      </c>
      <c r="Y1277" s="67"/>
      <c r="Z1277" s="67"/>
      <c r="AA1277" s="67"/>
      <c r="AB1277" s="67" t="s">
        <v>926</v>
      </c>
      <c r="AC1277" s="24" t="s">
        <v>3585</v>
      </c>
      <c r="AD1277" s="195">
        <v>10816.0</v>
      </c>
      <c r="AE1277" s="38"/>
      <c r="AF1277" s="338" t="str">
        <f t="shared" si="1"/>
        <v>Buenos Aires, Argentina</v>
      </c>
      <c r="AG1277" s="338">
        <f t="shared" si="2"/>
        <v>0</v>
      </c>
      <c r="AH1277" s="343">
        <f t="shared" si="3"/>
        <v>187716</v>
      </c>
      <c r="AI1277" s="343">
        <f t="shared" si="4"/>
        <v>0</v>
      </c>
      <c r="AJ1277" s="342">
        <f t="shared" si="5"/>
        <v>0</v>
      </c>
      <c r="AK1277" s="342">
        <f t="shared" si="6"/>
        <v>187716</v>
      </c>
      <c r="AL1277" s="70"/>
      <c r="AM1277" s="70"/>
    </row>
    <row r="1278">
      <c r="A1278" s="338">
        <v>1277.0</v>
      </c>
      <c r="B1278" s="339">
        <v>45196.0</v>
      </c>
      <c r="C1278" s="195" t="str">
        <f t="shared" si="10"/>
        <v>92023</v>
      </c>
      <c r="D1278" s="340" t="s">
        <v>3261</v>
      </c>
      <c r="E1278" s="338" t="s">
        <v>3262</v>
      </c>
      <c r="F1278" s="340" t="s">
        <v>3586</v>
      </c>
      <c r="G1278" s="338" t="s">
        <v>64</v>
      </c>
      <c r="H1278" s="338" t="s">
        <v>41</v>
      </c>
      <c r="I1278" s="338" t="s">
        <v>643</v>
      </c>
      <c r="J1278" s="341">
        <v>1.0</v>
      </c>
      <c r="K1278" s="65"/>
      <c r="L1278" s="65"/>
      <c r="M1278" s="65"/>
      <c r="N1278" s="65"/>
      <c r="O1278" s="341">
        <v>1.0</v>
      </c>
      <c r="P1278" s="65"/>
      <c r="Q1278" s="66"/>
      <c r="R1278" s="66"/>
      <c r="S1278" s="338" t="s">
        <v>89</v>
      </c>
      <c r="T1278" s="338" t="s">
        <v>66</v>
      </c>
      <c r="U1278" s="338" t="s">
        <v>99</v>
      </c>
      <c r="V1278" s="338" t="s">
        <v>1984</v>
      </c>
      <c r="W1278" s="67"/>
      <c r="X1278" s="67"/>
      <c r="Y1278" s="67"/>
      <c r="Z1278" s="67"/>
      <c r="AA1278" s="342">
        <v>52000.0</v>
      </c>
      <c r="AB1278" s="342">
        <v>208000.0</v>
      </c>
      <c r="AC1278" s="24" t="s">
        <v>3587</v>
      </c>
      <c r="AD1278" s="195">
        <v>11396.0</v>
      </c>
      <c r="AE1278" s="38"/>
      <c r="AF1278" s="338" t="str">
        <f t="shared" si="1"/>
        <v>Buenos Aires, Argentina</v>
      </c>
      <c r="AG1278" s="338">
        <f t="shared" si="2"/>
        <v>2</v>
      </c>
      <c r="AH1278" s="343">
        <f t="shared" si="3"/>
        <v>0</v>
      </c>
      <c r="AI1278" s="343">
        <f t="shared" si="4"/>
        <v>0</v>
      </c>
      <c r="AJ1278" s="342">
        <f t="shared" si="5"/>
        <v>260000</v>
      </c>
      <c r="AK1278" s="342">
        <f t="shared" si="6"/>
        <v>260000</v>
      </c>
      <c r="AL1278" s="70"/>
      <c r="AM1278" s="70"/>
    </row>
    <row r="1279">
      <c r="A1279" s="338">
        <v>1278.0</v>
      </c>
      <c r="B1279" s="339">
        <v>45197.0</v>
      </c>
      <c r="C1279" s="195" t="str">
        <f t="shared" si="10"/>
        <v>92023</v>
      </c>
      <c r="D1279" s="340" t="s">
        <v>3261</v>
      </c>
      <c r="E1279" s="338" t="s">
        <v>3588</v>
      </c>
      <c r="F1279" s="340" t="s">
        <v>3589</v>
      </c>
      <c r="G1279" s="338" t="s">
        <v>64</v>
      </c>
      <c r="H1279" s="338" t="s">
        <v>41</v>
      </c>
      <c r="I1279" s="338" t="s">
        <v>643</v>
      </c>
      <c r="J1279" s="65"/>
      <c r="K1279" s="65"/>
      <c r="L1279" s="65"/>
      <c r="M1279" s="65"/>
      <c r="N1279" s="65"/>
      <c r="O1279" s="65"/>
      <c r="P1279" s="65"/>
      <c r="Q1279" s="66"/>
      <c r="R1279" s="66"/>
      <c r="S1279" s="338" t="s">
        <v>89</v>
      </c>
      <c r="T1279" s="338" t="s">
        <v>66</v>
      </c>
      <c r="U1279" s="338" t="s">
        <v>99</v>
      </c>
      <c r="V1279" s="338" t="s">
        <v>1984</v>
      </c>
      <c r="W1279" s="342">
        <v>18075.0</v>
      </c>
      <c r="X1279" s="342">
        <v>72300.0</v>
      </c>
      <c r="Y1279" s="67"/>
      <c r="Z1279" s="67"/>
      <c r="AA1279" s="67"/>
      <c r="AB1279" s="67" t="s">
        <v>926</v>
      </c>
      <c r="AC1279" s="24" t="s">
        <v>3590</v>
      </c>
      <c r="AD1279" s="195">
        <v>11296.0</v>
      </c>
      <c r="AE1279" s="38"/>
      <c r="AF1279" s="338" t="str">
        <f t="shared" si="1"/>
        <v>Buenos Aires, Argentina</v>
      </c>
      <c r="AG1279" s="338">
        <f t="shared" si="2"/>
        <v>0</v>
      </c>
      <c r="AH1279" s="343">
        <f t="shared" si="3"/>
        <v>90375</v>
      </c>
      <c r="AI1279" s="343">
        <f t="shared" si="4"/>
        <v>0</v>
      </c>
      <c r="AJ1279" s="342">
        <f t="shared" si="5"/>
        <v>0</v>
      </c>
      <c r="AK1279" s="342">
        <f t="shared" si="6"/>
        <v>90375</v>
      </c>
      <c r="AL1279" s="70"/>
      <c r="AM1279" s="70"/>
    </row>
    <row r="1280">
      <c r="A1280" s="338">
        <v>1279.0</v>
      </c>
      <c r="B1280" s="339">
        <v>45197.0</v>
      </c>
      <c r="C1280" s="195" t="str">
        <f t="shared" si="10"/>
        <v>92023</v>
      </c>
      <c r="D1280" s="340" t="s">
        <v>3591</v>
      </c>
      <c r="E1280" s="338" t="s">
        <v>3592</v>
      </c>
      <c r="F1280" s="340" t="s">
        <v>3593</v>
      </c>
      <c r="G1280" s="338" t="s">
        <v>40</v>
      </c>
      <c r="H1280" s="338" t="s">
        <v>41</v>
      </c>
      <c r="I1280" s="338" t="s">
        <v>42</v>
      </c>
      <c r="J1280" s="341">
        <v>1.0</v>
      </c>
      <c r="K1280" s="341">
        <v>2.0</v>
      </c>
      <c r="L1280" s="65"/>
      <c r="M1280" s="341">
        <v>1.0</v>
      </c>
      <c r="N1280" s="341">
        <v>1.0</v>
      </c>
      <c r="O1280" s="65"/>
      <c r="P1280" s="65"/>
      <c r="Q1280" s="66"/>
      <c r="R1280" s="66"/>
      <c r="S1280" s="338" t="s">
        <v>109</v>
      </c>
      <c r="T1280" s="338" t="s">
        <v>66</v>
      </c>
      <c r="U1280" s="338" t="s">
        <v>342</v>
      </c>
      <c r="V1280" s="338" t="s">
        <v>3594</v>
      </c>
      <c r="W1280" s="67"/>
      <c r="X1280" s="67"/>
      <c r="Y1280" s="67"/>
      <c r="Z1280" s="67"/>
      <c r="AA1280" s="342">
        <v>113750.0</v>
      </c>
      <c r="AB1280" s="342">
        <v>455000.0</v>
      </c>
      <c r="AC1280" s="24" t="s">
        <v>3595</v>
      </c>
      <c r="AD1280" s="195">
        <v>11230.0</v>
      </c>
      <c r="AE1280" s="38"/>
      <c r="AF1280" s="338" t="str">
        <f t="shared" si="1"/>
        <v>Buenos Aires, Argentina</v>
      </c>
      <c r="AG1280" s="338">
        <f t="shared" si="2"/>
        <v>5</v>
      </c>
      <c r="AH1280" s="343">
        <f t="shared" si="3"/>
        <v>0</v>
      </c>
      <c r="AI1280" s="343">
        <f t="shared" si="4"/>
        <v>0</v>
      </c>
      <c r="AJ1280" s="342">
        <f t="shared" si="5"/>
        <v>568750</v>
      </c>
      <c r="AK1280" s="342">
        <f t="shared" si="6"/>
        <v>568750</v>
      </c>
      <c r="AL1280" s="70"/>
      <c r="AM1280" s="70"/>
    </row>
    <row r="1281">
      <c r="A1281" s="338">
        <v>1280.0</v>
      </c>
      <c r="B1281" s="339">
        <v>45197.0</v>
      </c>
      <c r="C1281" s="195" t="str">
        <f t="shared" si="10"/>
        <v>92023</v>
      </c>
      <c r="D1281" s="340" t="s">
        <v>3591</v>
      </c>
      <c r="E1281" s="338" t="s">
        <v>3592</v>
      </c>
      <c r="F1281" s="340" t="s">
        <v>3596</v>
      </c>
      <c r="G1281" s="338" t="s">
        <v>40</v>
      </c>
      <c r="H1281" s="338" t="s">
        <v>41</v>
      </c>
      <c r="I1281" s="338" t="s">
        <v>42</v>
      </c>
      <c r="J1281" s="65"/>
      <c r="K1281" s="65"/>
      <c r="L1281" s="65"/>
      <c r="M1281" s="65"/>
      <c r="N1281" s="65"/>
      <c r="O1281" s="65"/>
      <c r="P1281" s="65"/>
      <c r="Q1281" s="66"/>
      <c r="R1281" s="66"/>
      <c r="S1281" s="338" t="s">
        <v>109</v>
      </c>
      <c r="T1281" s="338" t="s">
        <v>66</v>
      </c>
      <c r="U1281" s="338" t="s">
        <v>342</v>
      </c>
      <c r="V1281" s="338" t="s">
        <v>3594</v>
      </c>
      <c r="W1281" s="342">
        <v>90000.0</v>
      </c>
      <c r="X1281" s="342">
        <v>225000.0</v>
      </c>
      <c r="Y1281" s="67"/>
      <c r="Z1281" s="67"/>
      <c r="AA1281" s="67"/>
      <c r="AB1281" s="67" t="s">
        <v>926</v>
      </c>
      <c r="AC1281" s="38"/>
      <c r="AD1281" s="195">
        <v>11426.0</v>
      </c>
      <c r="AE1281" s="38"/>
      <c r="AF1281" s="338" t="str">
        <f t="shared" si="1"/>
        <v>Buenos Aires, Argentina</v>
      </c>
      <c r="AG1281" s="338">
        <f t="shared" si="2"/>
        <v>0</v>
      </c>
      <c r="AH1281" s="343">
        <f t="shared" si="3"/>
        <v>315000</v>
      </c>
      <c r="AI1281" s="343">
        <f t="shared" si="4"/>
        <v>0</v>
      </c>
      <c r="AJ1281" s="342">
        <f t="shared" si="5"/>
        <v>0</v>
      </c>
      <c r="AK1281" s="342">
        <f t="shared" si="6"/>
        <v>315000</v>
      </c>
      <c r="AL1281" s="70"/>
      <c r="AM1281" s="70"/>
    </row>
    <row r="1282">
      <c r="A1282" s="338">
        <v>1281.0</v>
      </c>
      <c r="B1282" s="339">
        <v>45197.0</v>
      </c>
      <c r="C1282" s="195" t="str">
        <f t="shared" si="10"/>
        <v>92023</v>
      </c>
      <c r="D1282" s="340" t="s">
        <v>2153</v>
      </c>
      <c r="E1282" s="338" t="s">
        <v>2154</v>
      </c>
      <c r="F1282" s="340" t="s">
        <v>3597</v>
      </c>
      <c r="G1282" s="338" t="s">
        <v>64</v>
      </c>
      <c r="H1282" s="338" t="s">
        <v>41</v>
      </c>
      <c r="I1282" s="338" t="s">
        <v>643</v>
      </c>
      <c r="J1282" s="65"/>
      <c r="K1282" s="65"/>
      <c r="L1282" s="65"/>
      <c r="M1282" s="65"/>
      <c r="N1282" s="65"/>
      <c r="O1282" s="65"/>
      <c r="P1282" s="65"/>
      <c r="Q1282" s="66"/>
      <c r="R1282" s="66"/>
      <c r="S1282" s="338" t="s">
        <v>65</v>
      </c>
      <c r="T1282" s="338" t="s">
        <v>66</v>
      </c>
      <c r="U1282" s="338" t="s">
        <v>99</v>
      </c>
      <c r="V1282" s="338" t="s">
        <v>1984</v>
      </c>
      <c r="W1282" s="67"/>
      <c r="X1282" s="67"/>
      <c r="Y1282" s="67"/>
      <c r="Z1282" s="67"/>
      <c r="AA1282" s="342">
        <v>0.0</v>
      </c>
      <c r="AB1282" s="342">
        <v>104000.0</v>
      </c>
      <c r="AC1282" s="24" t="s">
        <v>3598</v>
      </c>
      <c r="AD1282" s="195">
        <v>11306.0</v>
      </c>
      <c r="AE1282" s="38"/>
      <c r="AF1282" s="338" t="str">
        <f t="shared" si="1"/>
        <v>Buenos Aires, Argentina</v>
      </c>
      <c r="AG1282" s="338">
        <f t="shared" si="2"/>
        <v>0</v>
      </c>
      <c r="AH1282" s="343">
        <f t="shared" si="3"/>
        <v>0</v>
      </c>
      <c r="AI1282" s="343">
        <f t="shared" si="4"/>
        <v>0</v>
      </c>
      <c r="AJ1282" s="342">
        <f t="shared" si="5"/>
        <v>104000</v>
      </c>
      <c r="AK1282" s="342">
        <f t="shared" si="6"/>
        <v>104000</v>
      </c>
      <c r="AL1282" s="70"/>
      <c r="AM1282" s="70"/>
    </row>
    <row r="1283">
      <c r="A1283" s="338">
        <v>1282.0</v>
      </c>
      <c r="B1283" s="339">
        <v>45198.0</v>
      </c>
      <c r="C1283" s="195" t="str">
        <f t="shared" si="10"/>
        <v>92023</v>
      </c>
      <c r="D1283" s="340" t="s">
        <v>2706</v>
      </c>
      <c r="E1283" s="338" t="s">
        <v>2707</v>
      </c>
      <c r="F1283" s="340" t="s">
        <v>3599</v>
      </c>
      <c r="G1283" s="338" t="s">
        <v>64</v>
      </c>
      <c r="H1283" s="338" t="s">
        <v>41</v>
      </c>
      <c r="I1283" s="338" t="s">
        <v>643</v>
      </c>
      <c r="J1283" s="65"/>
      <c r="K1283" s="65"/>
      <c r="L1283" s="65"/>
      <c r="M1283" s="65"/>
      <c r="N1283" s="65"/>
      <c r="O1283" s="65"/>
      <c r="P1283" s="65"/>
      <c r="Q1283" s="66"/>
      <c r="R1283" s="66"/>
      <c r="S1283" s="338" t="s">
        <v>189</v>
      </c>
      <c r="T1283" s="338" t="s">
        <v>73</v>
      </c>
      <c r="U1283" s="338" t="s">
        <v>99</v>
      </c>
      <c r="V1283" s="338" t="s">
        <v>1984</v>
      </c>
      <c r="W1283" s="67"/>
      <c r="X1283" s="67"/>
      <c r="Y1283" s="67"/>
      <c r="Z1283" s="67"/>
      <c r="AA1283" s="342">
        <v>0.0</v>
      </c>
      <c r="AB1283" s="342">
        <v>877500.0</v>
      </c>
      <c r="AC1283" s="24" t="s">
        <v>3600</v>
      </c>
      <c r="AD1283" s="195">
        <v>11444.0</v>
      </c>
      <c r="AE1283" s="38"/>
      <c r="AF1283" s="338" t="str">
        <f t="shared" si="1"/>
        <v>Tierra de Fuego, Argentina</v>
      </c>
      <c r="AG1283" s="338">
        <f t="shared" si="2"/>
        <v>0</v>
      </c>
      <c r="AH1283" s="343">
        <f t="shared" si="3"/>
        <v>0</v>
      </c>
      <c r="AI1283" s="343">
        <f t="shared" si="4"/>
        <v>0</v>
      </c>
      <c r="AJ1283" s="342">
        <f t="shared" si="5"/>
        <v>877500</v>
      </c>
      <c r="AK1283" s="342">
        <f t="shared" si="6"/>
        <v>877500</v>
      </c>
      <c r="AL1283" s="70"/>
      <c r="AM1283" s="70"/>
    </row>
    <row r="1284">
      <c r="A1284" s="338">
        <v>1283.0</v>
      </c>
      <c r="B1284" s="339">
        <v>45198.0</v>
      </c>
      <c r="C1284" s="195" t="str">
        <f t="shared" si="10"/>
        <v>92023</v>
      </c>
      <c r="D1284" s="340" t="s">
        <v>2329</v>
      </c>
      <c r="E1284" s="338" t="s">
        <v>2330</v>
      </c>
      <c r="F1284" s="340" t="s">
        <v>1878</v>
      </c>
      <c r="G1284" s="338" t="s">
        <v>64</v>
      </c>
      <c r="H1284" s="338" t="s">
        <v>41</v>
      </c>
      <c r="I1284" s="338" t="s">
        <v>643</v>
      </c>
      <c r="J1284" s="65"/>
      <c r="K1284" s="65"/>
      <c r="L1284" s="65"/>
      <c r="M1284" s="65"/>
      <c r="N1284" s="341">
        <v>1.0</v>
      </c>
      <c r="O1284" s="65"/>
      <c r="P1284" s="65"/>
      <c r="Q1284" s="66"/>
      <c r="R1284" s="66"/>
      <c r="S1284" s="338" t="s">
        <v>105</v>
      </c>
      <c r="T1284" s="338" t="s">
        <v>83</v>
      </c>
      <c r="U1284" s="338" t="s">
        <v>99</v>
      </c>
      <c r="V1284" s="338" t="s">
        <v>1984</v>
      </c>
      <c r="W1284" s="67"/>
      <c r="X1284" s="67"/>
      <c r="Y1284" s="67"/>
      <c r="Z1284" s="67"/>
      <c r="AA1284" s="342">
        <v>32500.0</v>
      </c>
      <c r="AB1284" s="342">
        <v>130000.0</v>
      </c>
      <c r="AC1284" s="24" t="s">
        <v>3601</v>
      </c>
      <c r="AD1284" s="195">
        <v>11452.0</v>
      </c>
      <c r="AE1284" s="38"/>
      <c r="AF1284" s="338" t="str">
        <f t="shared" si="1"/>
        <v>Capital Federal, Argentina</v>
      </c>
      <c r="AG1284" s="338">
        <f t="shared" si="2"/>
        <v>1</v>
      </c>
      <c r="AH1284" s="343">
        <f t="shared" si="3"/>
        <v>0</v>
      </c>
      <c r="AI1284" s="343">
        <f t="shared" si="4"/>
        <v>0</v>
      </c>
      <c r="AJ1284" s="342">
        <f t="shared" si="5"/>
        <v>162500</v>
      </c>
      <c r="AK1284" s="342">
        <f t="shared" si="6"/>
        <v>162500</v>
      </c>
      <c r="AL1284" s="70"/>
      <c r="AM1284" s="70"/>
    </row>
    <row r="1285">
      <c r="A1285" s="338">
        <v>1284.0</v>
      </c>
      <c r="B1285" s="339">
        <v>45198.0</v>
      </c>
      <c r="C1285" s="195" t="str">
        <f t="shared" si="10"/>
        <v>92023</v>
      </c>
      <c r="D1285" s="340" t="s">
        <v>2329</v>
      </c>
      <c r="E1285" s="338" t="s">
        <v>2330</v>
      </c>
      <c r="F1285" s="340" t="s">
        <v>3596</v>
      </c>
      <c r="G1285" s="338" t="s">
        <v>64</v>
      </c>
      <c r="H1285" s="338" t="s">
        <v>41</v>
      </c>
      <c r="I1285" s="338" t="s">
        <v>643</v>
      </c>
      <c r="J1285" s="65"/>
      <c r="K1285" s="65"/>
      <c r="L1285" s="65"/>
      <c r="M1285" s="65"/>
      <c r="N1285" s="65"/>
      <c r="O1285" s="65"/>
      <c r="P1285" s="65"/>
      <c r="Q1285" s="66"/>
      <c r="R1285" s="66"/>
      <c r="S1285" s="338" t="s">
        <v>105</v>
      </c>
      <c r="T1285" s="338" t="s">
        <v>83</v>
      </c>
      <c r="U1285" s="338" t="s">
        <v>99</v>
      </c>
      <c r="V1285" s="338" t="s">
        <v>1984</v>
      </c>
      <c r="W1285" s="342">
        <v>90000.0</v>
      </c>
      <c r="X1285" s="342">
        <v>225000.0</v>
      </c>
      <c r="Y1285" s="67"/>
      <c r="Z1285" s="67"/>
      <c r="AA1285" s="67"/>
      <c r="AB1285" s="67" t="s">
        <v>926</v>
      </c>
      <c r="AC1285" s="24" t="s">
        <v>3602</v>
      </c>
      <c r="AD1285" s="195">
        <v>11334.0</v>
      </c>
      <c r="AE1285" s="38"/>
      <c r="AF1285" s="338" t="str">
        <f t="shared" si="1"/>
        <v>Capital Federal, Argentina</v>
      </c>
      <c r="AG1285" s="338">
        <f t="shared" si="2"/>
        <v>0</v>
      </c>
      <c r="AH1285" s="343">
        <f t="shared" si="3"/>
        <v>315000</v>
      </c>
      <c r="AI1285" s="343">
        <f t="shared" si="4"/>
        <v>0</v>
      </c>
      <c r="AJ1285" s="342">
        <f t="shared" si="5"/>
        <v>0</v>
      </c>
      <c r="AK1285" s="342">
        <f t="shared" si="6"/>
        <v>315000</v>
      </c>
      <c r="AL1285" s="70"/>
      <c r="AM1285" s="70"/>
    </row>
    <row r="1286">
      <c r="A1286" s="338">
        <v>1285.0</v>
      </c>
      <c r="B1286" s="339">
        <v>45198.0</v>
      </c>
      <c r="C1286" s="195" t="str">
        <f t="shared" si="10"/>
        <v>92023</v>
      </c>
      <c r="D1286" s="340" t="s">
        <v>3603</v>
      </c>
      <c r="E1286" s="338" t="s">
        <v>3446</v>
      </c>
      <c r="F1286" s="340" t="s">
        <v>1423</v>
      </c>
      <c r="G1286" s="338" t="s">
        <v>64</v>
      </c>
      <c r="H1286" s="338" t="s">
        <v>41</v>
      </c>
      <c r="I1286" s="338" t="s">
        <v>643</v>
      </c>
      <c r="J1286" s="341">
        <v>1.0</v>
      </c>
      <c r="K1286" s="65"/>
      <c r="L1286" s="65"/>
      <c r="M1286" s="65"/>
      <c r="N1286" s="65"/>
      <c r="O1286" s="65"/>
      <c r="P1286" s="65"/>
      <c r="Q1286" s="66"/>
      <c r="R1286" s="66"/>
      <c r="S1286" s="338" t="s">
        <v>65</v>
      </c>
      <c r="T1286" s="338" t="s">
        <v>58</v>
      </c>
      <c r="U1286" s="338" t="s">
        <v>99</v>
      </c>
      <c r="V1286" s="338" t="s">
        <v>1984</v>
      </c>
      <c r="W1286" s="67"/>
      <c r="X1286" s="67"/>
      <c r="Y1286" s="67"/>
      <c r="Z1286" s="67"/>
      <c r="AA1286" s="342">
        <v>32500.0</v>
      </c>
      <c r="AB1286" s="342">
        <v>130000.0</v>
      </c>
      <c r="AC1286" s="24" t="s">
        <v>3604</v>
      </c>
      <c r="AD1286" s="195">
        <v>11324.0</v>
      </c>
      <c r="AE1286" s="38"/>
      <c r="AF1286" s="338" t="str">
        <f t="shared" si="1"/>
        <v>Córdoba, Argentina</v>
      </c>
      <c r="AG1286" s="338">
        <f t="shared" si="2"/>
        <v>1</v>
      </c>
      <c r="AH1286" s="343">
        <f t="shared" si="3"/>
        <v>0</v>
      </c>
      <c r="AI1286" s="343">
        <f t="shared" si="4"/>
        <v>0</v>
      </c>
      <c r="AJ1286" s="342">
        <f t="shared" si="5"/>
        <v>162500</v>
      </c>
      <c r="AK1286" s="342">
        <f t="shared" si="6"/>
        <v>162500</v>
      </c>
      <c r="AL1286" s="70"/>
      <c r="AM1286" s="70"/>
    </row>
    <row r="1287">
      <c r="A1287" s="338">
        <v>1286.0</v>
      </c>
      <c r="B1287" s="339">
        <v>45198.0</v>
      </c>
      <c r="C1287" s="195" t="str">
        <f t="shared" si="10"/>
        <v>92023</v>
      </c>
      <c r="D1287" s="340" t="s">
        <v>2174</v>
      </c>
      <c r="E1287" s="338" t="s">
        <v>2175</v>
      </c>
      <c r="F1287" s="340" t="s">
        <v>1423</v>
      </c>
      <c r="G1287" s="338" t="s">
        <v>64</v>
      </c>
      <c r="H1287" s="338" t="s">
        <v>41</v>
      </c>
      <c r="I1287" s="338" t="s">
        <v>643</v>
      </c>
      <c r="J1287" s="341">
        <v>1.0</v>
      </c>
      <c r="K1287" s="65"/>
      <c r="L1287" s="65"/>
      <c r="M1287" s="65"/>
      <c r="N1287" s="65"/>
      <c r="O1287" s="65"/>
      <c r="P1287" s="65"/>
      <c r="Q1287" s="66"/>
      <c r="R1287" s="66"/>
      <c r="S1287" s="338" t="s">
        <v>65</v>
      </c>
      <c r="T1287" s="338" t="s">
        <v>83</v>
      </c>
      <c r="U1287" s="338" t="s">
        <v>99</v>
      </c>
      <c r="V1287" s="338" t="s">
        <v>1984</v>
      </c>
      <c r="W1287" s="67"/>
      <c r="X1287" s="67"/>
      <c r="Y1287" s="67"/>
      <c r="Z1287" s="67"/>
      <c r="AA1287" s="342">
        <v>29250.0</v>
      </c>
      <c r="AB1287" s="342">
        <v>130000.0</v>
      </c>
      <c r="AC1287" s="24" t="s">
        <v>3605</v>
      </c>
      <c r="AD1287" s="195">
        <v>11322.0</v>
      </c>
      <c r="AE1287" s="38"/>
      <c r="AF1287" s="338" t="str">
        <f t="shared" si="1"/>
        <v>Capital Federal, Argentina</v>
      </c>
      <c r="AG1287" s="338">
        <f t="shared" si="2"/>
        <v>1</v>
      </c>
      <c r="AH1287" s="343">
        <f t="shared" si="3"/>
        <v>0</v>
      </c>
      <c r="AI1287" s="343">
        <f t="shared" si="4"/>
        <v>0</v>
      </c>
      <c r="AJ1287" s="342">
        <f t="shared" si="5"/>
        <v>159250</v>
      </c>
      <c r="AK1287" s="342">
        <f t="shared" si="6"/>
        <v>159250</v>
      </c>
      <c r="AL1287" s="70"/>
      <c r="AM1287" s="70"/>
    </row>
    <row r="1288">
      <c r="A1288" s="338">
        <v>1287.0</v>
      </c>
      <c r="B1288" s="339">
        <v>45198.0</v>
      </c>
      <c r="C1288" s="195" t="str">
        <f t="shared" si="10"/>
        <v>92023</v>
      </c>
      <c r="D1288" s="340" t="s">
        <v>2174</v>
      </c>
      <c r="E1288" s="338" t="s">
        <v>2175</v>
      </c>
      <c r="F1288" s="340" t="s">
        <v>1878</v>
      </c>
      <c r="G1288" s="338" t="s">
        <v>64</v>
      </c>
      <c r="H1288" s="338" t="s">
        <v>41</v>
      </c>
      <c r="I1288" s="338" t="s">
        <v>643</v>
      </c>
      <c r="J1288" s="65"/>
      <c r="K1288" s="65"/>
      <c r="L1288" s="65"/>
      <c r="M1288" s="65"/>
      <c r="N1288" s="341">
        <v>1.0</v>
      </c>
      <c r="O1288" s="65"/>
      <c r="P1288" s="65"/>
      <c r="Q1288" s="66"/>
      <c r="R1288" s="66"/>
      <c r="S1288" s="338" t="s">
        <v>65</v>
      </c>
      <c r="T1288" s="338" t="s">
        <v>83</v>
      </c>
      <c r="U1288" s="338" t="s">
        <v>99</v>
      </c>
      <c r="V1288" s="338" t="s">
        <v>1984</v>
      </c>
      <c r="W1288" s="67"/>
      <c r="X1288" s="67"/>
      <c r="Y1288" s="67"/>
      <c r="Z1288" s="67"/>
      <c r="AA1288" s="342">
        <v>29250.0</v>
      </c>
      <c r="AB1288" s="342">
        <v>130000.0</v>
      </c>
      <c r="AC1288" s="24" t="s">
        <v>3606</v>
      </c>
      <c r="AD1288" s="195">
        <v>11370.0</v>
      </c>
      <c r="AE1288" s="38"/>
      <c r="AF1288" s="338" t="str">
        <f t="shared" si="1"/>
        <v>Capital Federal, Argentina</v>
      </c>
      <c r="AG1288" s="338">
        <f t="shared" si="2"/>
        <v>1</v>
      </c>
      <c r="AH1288" s="343">
        <f t="shared" si="3"/>
        <v>0</v>
      </c>
      <c r="AI1288" s="343">
        <f t="shared" si="4"/>
        <v>0</v>
      </c>
      <c r="AJ1288" s="342">
        <f t="shared" si="5"/>
        <v>159250</v>
      </c>
      <c r="AK1288" s="342">
        <f t="shared" si="6"/>
        <v>159250</v>
      </c>
      <c r="AL1288" s="70"/>
      <c r="AM1288" s="70"/>
    </row>
    <row r="1289">
      <c r="A1289" s="338">
        <v>1288.0</v>
      </c>
      <c r="B1289" s="339">
        <v>45198.0</v>
      </c>
      <c r="C1289" s="195" t="str">
        <f t="shared" si="10"/>
        <v>92023</v>
      </c>
      <c r="D1289" s="340" t="s">
        <v>2594</v>
      </c>
      <c r="E1289" s="338" t="s">
        <v>1796</v>
      </c>
      <c r="F1289" s="340" t="s">
        <v>3607</v>
      </c>
      <c r="G1289" s="338" t="s">
        <v>40</v>
      </c>
      <c r="H1289" s="338" t="s">
        <v>41</v>
      </c>
      <c r="I1289" s="338" t="s">
        <v>643</v>
      </c>
      <c r="J1289" s="341">
        <v>2.0</v>
      </c>
      <c r="K1289" s="341">
        <v>2.0</v>
      </c>
      <c r="L1289" s="65"/>
      <c r="M1289" s="341">
        <v>1.0</v>
      </c>
      <c r="N1289" s="65"/>
      <c r="O1289" s="65"/>
      <c r="P1289" s="341">
        <v>1.0</v>
      </c>
      <c r="Q1289" s="66"/>
      <c r="R1289" s="66"/>
      <c r="S1289" s="338" t="s">
        <v>43</v>
      </c>
      <c r="T1289" s="338" t="s">
        <v>83</v>
      </c>
      <c r="U1289" s="338" t="s">
        <v>342</v>
      </c>
      <c r="V1289" s="338" t="s">
        <v>2935</v>
      </c>
      <c r="W1289" s="67"/>
      <c r="X1289" s="67"/>
      <c r="Y1289" s="67"/>
      <c r="Z1289" s="67"/>
      <c r="AA1289" s="342">
        <v>138125.0</v>
      </c>
      <c r="AB1289" s="342">
        <v>552500.0</v>
      </c>
      <c r="AC1289" s="24" t="s">
        <v>3608</v>
      </c>
      <c r="AD1289" s="195">
        <v>9810.0</v>
      </c>
      <c r="AE1289" s="38"/>
      <c r="AF1289" s="338" t="str">
        <f t="shared" si="1"/>
        <v>Capital Federal, Argentina</v>
      </c>
      <c r="AG1289" s="338">
        <f t="shared" si="2"/>
        <v>6</v>
      </c>
      <c r="AH1289" s="343">
        <f t="shared" si="3"/>
        <v>0</v>
      </c>
      <c r="AI1289" s="343">
        <f t="shared" si="4"/>
        <v>0</v>
      </c>
      <c r="AJ1289" s="342">
        <f t="shared" si="5"/>
        <v>690625</v>
      </c>
      <c r="AK1289" s="342">
        <f t="shared" si="6"/>
        <v>690625</v>
      </c>
      <c r="AL1289" s="70"/>
      <c r="AM1289" s="70"/>
    </row>
    <row r="1290">
      <c r="A1290" s="338">
        <v>1289.0</v>
      </c>
      <c r="B1290" s="339">
        <v>45198.0</v>
      </c>
      <c r="C1290" s="195" t="str">
        <f t="shared" si="10"/>
        <v>92023</v>
      </c>
      <c r="D1290" s="340" t="s">
        <v>3609</v>
      </c>
      <c r="E1290" s="338" t="s">
        <v>1458</v>
      </c>
      <c r="F1290" s="340" t="s">
        <v>1415</v>
      </c>
      <c r="G1290" s="338" t="s">
        <v>64</v>
      </c>
      <c r="H1290" s="338" t="s">
        <v>41</v>
      </c>
      <c r="I1290" s="338" t="s">
        <v>643</v>
      </c>
      <c r="J1290" s="65"/>
      <c r="K1290" s="341">
        <v>1.0</v>
      </c>
      <c r="L1290" s="65"/>
      <c r="M1290" s="65"/>
      <c r="N1290" s="65"/>
      <c r="O1290" s="65"/>
      <c r="P1290" s="65"/>
      <c r="Q1290" s="66"/>
      <c r="R1290" s="66"/>
      <c r="S1290" s="338" t="s">
        <v>98</v>
      </c>
      <c r="T1290" s="338" t="s">
        <v>66</v>
      </c>
      <c r="U1290" s="338" t="s">
        <v>99</v>
      </c>
      <c r="V1290" s="338" t="s">
        <v>1984</v>
      </c>
      <c r="W1290" s="67"/>
      <c r="X1290" s="67"/>
      <c r="Y1290" s="67"/>
      <c r="Z1290" s="67"/>
      <c r="AA1290" s="342">
        <v>24375.0</v>
      </c>
      <c r="AB1290" s="342">
        <v>97500.0</v>
      </c>
      <c r="AC1290" s="24" t="s">
        <v>3610</v>
      </c>
      <c r="AD1290" s="195">
        <v>11480.0</v>
      </c>
      <c r="AE1290" s="38"/>
      <c r="AF1290" s="338" t="str">
        <f t="shared" si="1"/>
        <v>Buenos Aires, Argentina</v>
      </c>
      <c r="AG1290" s="338">
        <f t="shared" si="2"/>
        <v>1</v>
      </c>
      <c r="AH1290" s="343">
        <f t="shared" si="3"/>
        <v>0</v>
      </c>
      <c r="AI1290" s="343">
        <f t="shared" si="4"/>
        <v>0</v>
      </c>
      <c r="AJ1290" s="342">
        <f t="shared" si="5"/>
        <v>121875</v>
      </c>
      <c r="AK1290" s="342">
        <f t="shared" si="6"/>
        <v>121875</v>
      </c>
      <c r="AL1290" s="70"/>
      <c r="AM1290" s="70"/>
    </row>
    <row r="1291">
      <c r="A1291" s="338">
        <v>1290.0</v>
      </c>
      <c r="B1291" s="339">
        <v>45198.0</v>
      </c>
      <c r="C1291" s="195" t="str">
        <f t="shared" si="10"/>
        <v>92023</v>
      </c>
      <c r="D1291" s="340" t="s">
        <v>3611</v>
      </c>
      <c r="E1291" s="338" t="s">
        <v>3612</v>
      </c>
      <c r="F1291" s="340" t="s">
        <v>3416</v>
      </c>
      <c r="G1291" s="338" t="s">
        <v>40</v>
      </c>
      <c r="H1291" s="338" t="s">
        <v>41</v>
      </c>
      <c r="I1291" s="338" t="s">
        <v>42</v>
      </c>
      <c r="J1291" s="341">
        <v>1.0</v>
      </c>
      <c r="K1291" s="341">
        <v>1.0</v>
      </c>
      <c r="L1291" s="65"/>
      <c r="M1291" s="341">
        <v>1.0</v>
      </c>
      <c r="N1291" s="65"/>
      <c r="O1291" s="65"/>
      <c r="P1291" s="65"/>
      <c r="Q1291" s="66"/>
      <c r="R1291" s="66"/>
      <c r="S1291" s="338" t="s">
        <v>65</v>
      </c>
      <c r="T1291" s="338" t="s">
        <v>66</v>
      </c>
      <c r="U1291" s="338" t="s">
        <v>342</v>
      </c>
      <c r="V1291" s="338" t="s">
        <v>2922</v>
      </c>
      <c r="W1291" s="67"/>
      <c r="X1291" s="67"/>
      <c r="Y1291" s="67"/>
      <c r="Z1291" s="67"/>
      <c r="AA1291" s="342">
        <v>56875.0</v>
      </c>
      <c r="AB1291" s="342">
        <v>227500.0</v>
      </c>
      <c r="AC1291" s="24" t="s">
        <v>3613</v>
      </c>
      <c r="AD1291" s="195">
        <v>10480.0</v>
      </c>
      <c r="AE1291" s="38"/>
      <c r="AF1291" s="338" t="str">
        <f t="shared" si="1"/>
        <v>Buenos Aires, Argentina</v>
      </c>
      <c r="AG1291" s="338">
        <f t="shared" si="2"/>
        <v>3</v>
      </c>
      <c r="AH1291" s="343">
        <f t="shared" si="3"/>
        <v>0</v>
      </c>
      <c r="AI1291" s="343">
        <f t="shared" si="4"/>
        <v>0</v>
      </c>
      <c r="AJ1291" s="342">
        <f t="shared" si="5"/>
        <v>284375</v>
      </c>
      <c r="AK1291" s="342">
        <f t="shared" si="6"/>
        <v>284375</v>
      </c>
      <c r="AL1291" s="70"/>
      <c r="AM1291" s="70"/>
    </row>
    <row r="1292">
      <c r="A1292" s="338">
        <v>1291.0</v>
      </c>
      <c r="B1292" s="339">
        <v>45198.0</v>
      </c>
      <c r="C1292" s="195" t="str">
        <f t="shared" si="10"/>
        <v>92023</v>
      </c>
      <c r="D1292" s="340" t="s">
        <v>3477</v>
      </c>
      <c r="E1292" s="338" t="s">
        <v>2605</v>
      </c>
      <c r="F1292" s="340" t="s">
        <v>3614</v>
      </c>
      <c r="G1292" s="338" t="s">
        <v>64</v>
      </c>
      <c r="H1292" s="338" t="s">
        <v>41</v>
      </c>
      <c r="I1292" s="338" t="s">
        <v>643</v>
      </c>
      <c r="J1292" s="65"/>
      <c r="K1292" s="65"/>
      <c r="L1292" s="65"/>
      <c r="M1292" s="65"/>
      <c r="N1292" s="65"/>
      <c r="O1292" s="65"/>
      <c r="P1292" s="65"/>
      <c r="Q1292" s="66"/>
      <c r="R1292" s="66"/>
      <c r="S1292" s="338" t="s">
        <v>65</v>
      </c>
      <c r="T1292" s="338" t="s">
        <v>83</v>
      </c>
      <c r="U1292" s="338" t="s">
        <v>99</v>
      </c>
      <c r="V1292" s="338" t="s">
        <v>1984</v>
      </c>
      <c r="W1292" s="342">
        <v>18075.0</v>
      </c>
      <c r="X1292" s="342">
        <v>81338.0</v>
      </c>
      <c r="Y1292" s="67"/>
      <c r="Z1292" s="67"/>
      <c r="AA1292" s="342">
        <v>0.0</v>
      </c>
      <c r="AB1292" s="342">
        <v>0.0</v>
      </c>
      <c r="AC1292" s="24" t="s">
        <v>3615</v>
      </c>
      <c r="AD1292" s="195">
        <v>11172.0</v>
      </c>
      <c r="AE1292" s="38"/>
      <c r="AF1292" s="338" t="str">
        <f t="shared" si="1"/>
        <v>Capital Federal, Argentina</v>
      </c>
      <c r="AG1292" s="338">
        <f t="shared" si="2"/>
        <v>0</v>
      </c>
      <c r="AH1292" s="343">
        <f t="shared" si="3"/>
        <v>99413</v>
      </c>
      <c r="AI1292" s="343">
        <f t="shared" si="4"/>
        <v>0</v>
      </c>
      <c r="AJ1292" s="342">
        <f t="shared" si="5"/>
        <v>0</v>
      </c>
      <c r="AK1292" s="342">
        <f t="shared" si="6"/>
        <v>99413</v>
      </c>
      <c r="AL1292" s="70"/>
      <c r="AM1292" s="70"/>
    </row>
    <row r="1293">
      <c r="A1293" s="338">
        <v>1292.0</v>
      </c>
      <c r="B1293" s="339">
        <v>45198.0</v>
      </c>
      <c r="C1293" s="195" t="str">
        <f t="shared" si="10"/>
        <v>92023</v>
      </c>
      <c r="D1293" s="340" t="s">
        <v>3616</v>
      </c>
      <c r="E1293" s="338" t="s">
        <v>3617</v>
      </c>
      <c r="F1293" s="340" t="s">
        <v>3618</v>
      </c>
      <c r="G1293" s="338" t="s">
        <v>40</v>
      </c>
      <c r="H1293" s="338" t="s">
        <v>41</v>
      </c>
      <c r="I1293" s="338" t="s">
        <v>643</v>
      </c>
      <c r="J1293" s="341">
        <v>4.0</v>
      </c>
      <c r="K1293" s="341">
        <v>4.0</v>
      </c>
      <c r="L1293" s="65"/>
      <c r="M1293" s="341">
        <v>1.0</v>
      </c>
      <c r="N1293" s="65"/>
      <c r="O1293" s="341">
        <v>10.0</v>
      </c>
      <c r="P1293" s="65"/>
      <c r="Q1293" s="66"/>
      <c r="R1293" s="66"/>
      <c r="S1293" s="338" t="s">
        <v>105</v>
      </c>
      <c r="T1293" s="338" t="s">
        <v>66</v>
      </c>
      <c r="U1293" s="338" t="s">
        <v>342</v>
      </c>
      <c r="V1293" s="338" t="s">
        <v>2935</v>
      </c>
      <c r="W1293" s="67"/>
      <c r="X1293" s="67"/>
      <c r="Y1293" s="67"/>
      <c r="Z1293" s="67"/>
      <c r="AA1293" s="342">
        <v>422500.0</v>
      </c>
      <c r="AB1293" s="342">
        <v>1795625.0</v>
      </c>
      <c r="AC1293" s="24" t="s">
        <v>3619</v>
      </c>
      <c r="AD1293" s="195">
        <v>9804.0</v>
      </c>
      <c r="AE1293" s="38"/>
      <c r="AF1293" s="338" t="str">
        <f t="shared" si="1"/>
        <v>Buenos Aires, Argentina</v>
      </c>
      <c r="AG1293" s="338">
        <f t="shared" si="2"/>
        <v>19</v>
      </c>
      <c r="AH1293" s="343">
        <f t="shared" si="3"/>
        <v>0</v>
      </c>
      <c r="AI1293" s="343">
        <f t="shared" si="4"/>
        <v>0</v>
      </c>
      <c r="AJ1293" s="342">
        <f t="shared" si="5"/>
        <v>2218125</v>
      </c>
      <c r="AK1293" s="342">
        <f t="shared" si="6"/>
        <v>2218125</v>
      </c>
      <c r="AL1293" s="70"/>
      <c r="AM1293" s="70"/>
    </row>
    <row r="1294">
      <c r="A1294" s="338">
        <v>1293.0</v>
      </c>
      <c r="B1294" s="339">
        <v>45198.0</v>
      </c>
      <c r="C1294" s="195" t="str">
        <f t="shared" si="10"/>
        <v>92023</v>
      </c>
      <c r="D1294" s="340" t="s">
        <v>3616</v>
      </c>
      <c r="E1294" s="338" t="s">
        <v>3617</v>
      </c>
      <c r="F1294" s="340" t="s">
        <v>3620</v>
      </c>
      <c r="G1294" s="338" t="s">
        <v>40</v>
      </c>
      <c r="H1294" s="338" t="s">
        <v>41</v>
      </c>
      <c r="I1294" s="338" t="s">
        <v>643</v>
      </c>
      <c r="J1294" s="65"/>
      <c r="K1294" s="65"/>
      <c r="L1294" s="65"/>
      <c r="M1294" s="65"/>
      <c r="N1294" s="65"/>
      <c r="O1294" s="65"/>
      <c r="P1294" s="65"/>
      <c r="Q1294" s="66"/>
      <c r="R1294" s="66"/>
      <c r="S1294" s="338" t="s">
        <v>105</v>
      </c>
      <c r="T1294" s="338" t="s">
        <v>66</v>
      </c>
      <c r="U1294" s="338" t="s">
        <v>342</v>
      </c>
      <c r="V1294" s="338" t="s">
        <v>2935</v>
      </c>
      <c r="W1294" s="67"/>
      <c r="X1294" s="67"/>
      <c r="Y1294" s="67"/>
      <c r="Z1294" s="67"/>
      <c r="AA1294" s="342">
        <v>0.0</v>
      </c>
      <c r="AB1294" s="342">
        <v>5437575.0</v>
      </c>
      <c r="AC1294" s="24" t="s">
        <v>3619</v>
      </c>
      <c r="AD1294" s="195">
        <v>9804.0</v>
      </c>
      <c r="AE1294" s="38"/>
      <c r="AF1294" s="338" t="str">
        <f t="shared" si="1"/>
        <v>Buenos Aires, Argentina</v>
      </c>
      <c r="AG1294" s="338">
        <f t="shared" si="2"/>
        <v>0</v>
      </c>
      <c r="AH1294" s="343">
        <f t="shared" si="3"/>
        <v>0</v>
      </c>
      <c r="AI1294" s="343">
        <f t="shared" si="4"/>
        <v>0</v>
      </c>
      <c r="AJ1294" s="342">
        <f t="shared" si="5"/>
        <v>5437575</v>
      </c>
      <c r="AK1294" s="342">
        <f t="shared" si="6"/>
        <v>5437575</v>
      </c>
      <c r="AL1294" s="70"/>
      <c r="AM1294" s="70"/>
    </row>
    <row r="1295">
      <c r="A1295" s="338">
        <v>1294.0</v>
      </c>
      <c r="B1295" s="339">
        <v>45198.0</v>
      </c>
      <c r="C1295" s="195" t="str">
        <f t="shared" si="10"/>
        <v>92023</v>
      </c>
      <c r="D1295" s="340" t="s">
        <v>2349</v>
      </c>
      <c r="E1295" s="338" t="s">
        <v>2175</v>
      </c>
      <c r="F1295" s="340" t="s">
        <v>3621</v>
      </c>
      <c r="G1295" s="338" t="s">
        <v>64</v>
      </c>
      <c r="H1295" s="338" t="s">
        <v>41</v>
      </c>
      <c r="I1295" s="338" t="s">
        <v>643</v>
      </c>
      <c r="J1295" s="65"/>
      <c r="K1295" s="65"/>
      <c r="L1295" s="65"/>
      <c r="M1295" s="65"/>
      <c r="N1295" s="65"/>
      <c r="O1295" s="65"/>
      <c r="P1295" s="65"/>
      <c r="Q1295" s="66"/>
      <c r="R1295" s="66"/>
      <c r="S1295" s="338" t="s">
        <v>65</v>
      </c>
      <c r="T1295" s="338" t="s">
        <v>66</v>
      </c>
      <c r="U1295" s="338" t="s">
        <v>99</v>
      </c>
      <c r="V1295" s="338" t="s">
        <v>1984</v>
      </c>
      <c r="W1295" s="342">
        <v>18075.0</v>
      </c>
      <c r="X1295" s="342">
        <v>81337.0</v>
      </c>
      <c r="Y1295" s="67"/>
      <c r="Z1295" s="67"/>
      <c r="AA1295" s="342">
        <v>0.0</v>
      </c>
      <c r="AB1295" s="342">
        <v>0.0</v>
      </c>
      <c r="AC1295" s="24" t="s">
        <v>3622</v>
      </c>
      <c r="AD1295" s="201">
        <v>11664.0</v>
      </c>
      <c r="AE1295" s="134"/>
      <c r="AF1295" s="338" t="str">
        <f t="shared" si="1"/>
        <v>Buenos Aires, Argentina</v>
      </c>
      <c r="AG1295" s="338">
        <f t="shared" si="2"/>
        <v>0</v>
      </c>
      <c r="AH1295" s="343">
        <f t="shared" si="3"/>
        <v>99412</v>
      </c>
      <c r="AI1295" s="343">
        <f t="shared" si="4"/>
        <v>0</v>
      </c>
      <c r="AJ1295" s="342">
        <f t="shared" si="5"/>
        <v>0</v>
      </c>
      <c r="AK1295" s="342">
        <f t="shared" si="6"/>
        <v>99412</v>
      </c>
      <c r="AL1295" s="70"/>
      <c r="AM1295" s="70"/>
    </row>
    <row r="1296">
      <c r="A1296" s="338">
        <v>1295.0</v>
      </c>
      <c r="B1296" s="339">
        <v>45198.0</v>
      </c>
      <c r="C1296" s="195" t="str">
        <f t="shared" si="10"/>
        <v>92023</v>
      </c>
      <c r="D1296" s="340" t="s">
        <v>1974</v>
      </c>
      <c r="E1296" s="338" t="s">
        <v>1754</v>
      </c>
      <c r="F1296" s="340" t="s">
        <v>3274</v>
      </c>
      <c r="G1296" s="338" t="s">
        <v>64</v>
      </c>
      <c r="H1296" s="338" t="s">
        <v>41</v>
      </c>
      <c r="I1296" s="338" t="s">
        <v>643</v>
      </c>
      <c r="J1296" s="341">
        <v>1.0</v>
      </c>
      <c r="K1296" s="65"/>
      <c r="L1296" s="65"/>
      <c r="M1296" s="65"/>
      <c r="N1296" s="65"/>
      <c r="O1296" s="65"/>
      <c r="P1296" s="65"/>
      <c r="Q1296" s="66"/>
      <c r="R1296" s="66"/>
      <c r="S1296" s="338" t="s">
        <v>189</v>
      </c>
      <c r="T1296" s="338" t="s">
        <v>66</v>
      </c>
      <c r="U1296" s="338" t="s">
        <v>99</v>
      </c>
      <c r="V1296" s="338" t="s">
        <v>1984</v>
      </c>
      <c r="W1296" s="67"/>
      <c r="X1296" s="67"/>
      <c r="Y1296" s="67"/>
      <c r="Z1296" s="67"/>
      <c r="AA1296" s="342">
        <v>32500.0</v>
      </c>
      <c r="AB1296" s="342">
        <v>162500.0</v>
      </c>
      <c r="AC1296" s="24" t="s">
        <v>3623</v>
      </c>
      <c r="AD1296" s="195">
        <v>11224.0</v>
      </c>
      <c r="AE1296" s="38"/>
      <c r="AF1296" s="338" t="str">
        <f t="shared" si="1"/>
        <v>Buenos Aires, Argentina</v>
      </c>
      <c r="AG1296" s="338">
        <f t="shared" si="2"/>
        <v>1</v>
      </c>
      <c r="AH1296" s="343">
        <f t="shared" si="3"/>
        <v>0</v>
      </c>
      <c r="AI1296" s="343">
        <f t="shared" si="4"/>
        <v>0</v>
      </c>
      <c r="AJ1296" s="342">
        <f t="shared" si="5"/>
        <v>195000</v>
      </c>
      <c r="AK1296" s="342">
        <f t="shared" si="6"/>
        <v>195000</v>
      </c>
      <c r="AL1296" s="70"/>
      <c r="AM1296" s="70"/>
    </row>
    <row r="1297">
      <c r="A1297" s="338">
        <v>1296.0</v>
      </c>
      <c r="B1297" s="339">
        <v>45198.0</v>
      </c>
      <c r="C1297" s="195" t="str">
        <f t="shared" si="10"/>
        <v>92023</v>
      </c>
      <c r="D1297" s="340" t="s">
        <v>3624</v>
      </c>
      <c r="E1297" s="338" t="s">
        <v>3625</v>
      </c>
      <c r="F1297" s="340" t="s">
        <v>1412</v>
      </c>
      <c r="G1297" s="338" t="s">
        <v>64</v>
      </c>
      <c r="H1297" s="338" t="s">
        <v>41</v>
      </c>
      <c r="I1297" s="338" t="s">
        <v>643</v>
      </c>
      <c r="J1297" s="341">
        <v>2.0</v>
      </c>
      <c r="K1297" s="65"/>
      <c r="L1297" s="65"/>
      <c r="M1297" s="65"/>
      <c r="N1297" s="65"/>
      <c r="O1297" s="65"/>
      <c r="P1297" s="65"/>
      <c r="Q1297" s="66"/>
      <c r="R1297" s="66"/>
      <c r="S1297" s="338" t="s">
        <v>65</v>
      </c>
      <c r="T1297" s="338" t="s">
        <v>267</v>
      </c>
      <c r="U1297" s="338" t="s">
        <v>99</v>
      </c>
      <c r="V1297" s="338" t="s">
        <v>1984</v>
      </c>
      <c r="W1297" s="67"/>
      <c r="X1297" s="67"/>
      <c r="Y1297" s="67"/>
      <c r="Z1297" s="67"/>
      <c r="AA1297" s="342">
        <v>35000.0</v>
      </c>
      <c r="AB1297" s="342">
        <v>325000.0</v>
      </c>
      <c r="AC1297" s="24" t="s">
        <v>3626</v>
      </c>
      <c r="AD1297" s="195">
        <v>11332.0</v>
      </c>
      <c r="AE1297" s="38"/>
      <c r="AF1297" s="338" t="str">
        <f t="shared" si="1"/>
        <v>Entre Ríos, Argentina</v>
      </c>
      <c r="AG1297" s="338">
        <f t="shared" si="2"/>
        <v>2</v>
      </c>
      <c r="AH1297" s="343">
        <f t="shared" si="3"/>
        <v>0</v>
      </c>
      <c r="AI1297" s="343">
        <f t="shared" si="4"/>
        <v>0</v>
      </c>
      <c r="AJ1297" s="342">
        <f t="shared" si="5"/>
        <v>360000</v>
      </c>
      <c r="AK1297" s="342">
        <f t="shared" si="6"/>
        <v>360000</v>
      </c>
      <c r="AL1297" s="70"/>
      <c r="AM1297" s="70"/>
    </row>
    <row r="1298">
      <c r="A1298" s="278">
        <v>1297.0</v>
      </c>
      <c r="B1298" s="279">
        <v>45203.0</v>
      </c>
      <c r="C1298" s="195" t="str">
        <f t="shared" si="10"/>
        <v>102023</v>
      </c>
      <c r="D1298" s="280" t="s">
        <v>3627</v>
      </c>
      <c r="E1298" s="278" t="s">
        <v>3628</v>
      </c>
      <c r="F1298" s="280" t="s">
        <v>3629</v>
      </c>
      <c r="G1298" s="278" t="s">
        <v>40</v>
      </c>
      <c r="H1298" s="278" t="s">
        <v>547</v>
      </c>
      <c r="I1298" s="278" t="s">
        <v>42</v>
      </c>
      <c r="J1298" s="281">
        <v>2.0</v>
      </c>
      <c r="K1298" s="281">
        <v>4.0</v>
      </c>
      <c r="L1298" s="282"/>
      <c r="M1298" s="281">
        <v>1.0</v>
      </c>
      <c r="N1298" s="282"/>
      <c r="O1298" s="282"/>
      <c r="P1298" s="282"/>
      <c r="Q1298" s="283"/>
      <c r="R1298" s="283"/>
      <c r="S1298" s="278" t="s">
        <v>72</v>
      </c>
      <c r="T1298" s="278" t="s">
        <v>115</v>
      </c>
      <c r="U1298" s="278" t="s">
        <v>3630</v>
      </c>
      <c r="V1298" s="278" t="s">
        <v>2922</v>
      </c>
      <c r="W1298" s="284"/>
      <c r="X1298" s="284"/>
      <c r="Y1298" s="284"/>
      <c r="Z1298" s="284"/>
      <c r="AA1298" s="285">
        <v>107100.0</v>
      </c>
      <c r="AB1298" s="285">
        <v>481950.0</v>
      </c>
      <c r="AC1298" s="24" t="s">
        <v>3631</v>
      </c>
      <c r="AD1298" s="195">
        <v>11404.0</v>
      </c>
      <c r="AE1298" s="38"/>
      <c r="AF1298" s="278" t="str">
        <f t="shared" si="1"/>
        <v>Jujuy, Argentina</v>
      </c>
      <c r="AG1298" s="278">
        <f t="shared" si="2"/>
        <v>7</v>
      </c>
      <c r="AH1298" s="286">
        <f t="shared" si="3"/>
        <v>0</v>
      </c>
      <c r="AI1298" s="286">
        <f t="shared" si="4"/>
        <v>0</v>
      </c>
      <c r="AJ1298" s="285">
        <f t="shared" si="5"/>
        <v>589050</v>
      </c>
      <c r="AK1298" s="285">
        <f t="shared" si="6"/>
        <v>589050</v>
      </c>
      <c r="AL1298" s="287"/>
      <c r="AM1298" s="287"/>
    </row>
    <row r="1299">
      <c r="A1299" s="278">
        <v>1298.0</v>
      </c>
      <c r="B1299" s="279">
        <v>45211.0</v>
      </c>
      <c r="C1299" s="195" t="str">
        <f t="shared" si="10"/>
        <v>102023</v>
      </c>
      <c r="D1299" s="280" t="s">
        <v>3632</v>
      </c>
      <c r="E1299" s="278" t="s">
        <v>3633</v>
      </c>
      <c r="F1299" s="280" t="s">
        <v>1423</v>
      </c>
      <c r="G1299" s="278" t="s">
        <v>40</v>
      </c>
      <c r="H1299" s="278" t="s">
        <v>547</v>
      </c>
      <c r="I1299" s="278" t="s">
        <v>42</v>
      </c>
      <c r="J1299" s="281">
        <v>1.0</v>
      </c>
      <c r="K1299" s="282"/>
      <c r="L1299" s="282"/>
      <c r="M1299" s="282"/>
      <c r="N1299" s="282"/>
      <c r="O1299" s="282"/>
      <c r="P1299" s="282"/>
      <c r="Q1299" s="283"/>
      <c r="R1299" s="283"/>
      <c r="S1299" s="278" t="s">
        <v>72</v>
      </c>
      <c r="T1299" s="278" t="s">
        <v>83</v>
      </c>
      <c r="U1299" s="278" t="s">
        <v>45</v>
      </c>
      <c r="V1299" s="278" t="s">
        <v>3594</v>
      </c>
      <c r="W1299" s="284"/>
      <c r="X1299" s="284"/>
      <c r="Y1299" s="284"/>
      <c r="Z1299" s="284"/>
      <c r="AA1299" s="285">
        <v>21420.0</v>
      </c>
      <c r="AB1299" s="285">
        <v>96390.0</v>
      </c>
      <c r="AC1299" s="24" t="s">
        <v>3634</v>
      </c>
      <c r="AD1299" s="195">
        <v>11744.0</v>
      </c>
      <c r="AE1299" s="38"/>
      <c r="AF1299" s="278" t="str">
        <f t="shared" si="1"/>
        <v>Capital Federal, Argentina</v>
      </c>
      <c r="AG1299" s="278">
        <f t="shared" si="2"/>
        <v>1</v>
      </c>
      <c r="AH1299" s="286">
        <f t="shared" si="3"/>
        <v>0</v>
      </c>
      <c r="AI1299" s="286">
        <f t="shared" si="4"/>
        <v>0</v>
      </c>
      <c r="AJ1299" s="285">
        <f t="shared" si="5"/>
        <v>117810</v>
      </c>
      <c r="AK1299" s="285">
        <f t="shared" si="6"/>
        <v>117810</v>
      </c>
      <c r="AL1299" s="287"/>
      <c r="AM1299" s="287"/>
    </row>
    <row r="1300">
      <c r="A1300" s="278">
        <v>1299.0</v>
      </c>
      <c r="B1300" s="279">
        <v>45211.0</v>
      </c>
      <c r="C1300" s="195" t="str">
        <f t="shared" si="10"/>
        <v>102023</v>
      </c>
      <c r="D1300" s="280" t="s">
        <v>3635</v>
      </c>
      <c r="E1300" s="278" t="s">
        <v>3636</v>
      </c>
      <c r="F1300" s="280" t="s">
        <v>3637</v>
      </c>
      <c r="G1300" s="278" t="s">
        <v>64</v>
      </c>
      <c r="H1300" s="278" t="s">
        <v>41</v>
      </c>
      <c r="I1300" s="278" t="s">
        <v>643</v>
      </c>
      <c r="J1300" s="281">
        <v>1.0</v>
      </c>
      <c r="K1300" s="281">
        <v>1.0</v>
      </c>
      <c r="L1300" s="282"/>
      <c r="M1300" s="282"/>
      <c r="N1300" s="282"/>
      <c r="O1300" s="282"/>
      <c r="P1300" s="282"/>
      <c r="Q1300" s="283"/>
      <c r="R1300" s="283"/>
      <c r="S1300" s="278" t="s">
        <v>189</v>
      </c>
      <c r="T1300" s="278" t="s">
        <v>73</v>
      </c>
      <c r="U1300" s="278" t="s">
        <v>99</v>
      </c>
      <c r="V1300" s="278" t="s">
        <v>1984</v>
      </c>
      <c r="W1300" s="284"/>
      <c r="X1300" s="284"/>
      <c r="Y1300" s="284"/>
      <c r="Z1300" s="284"/>
      <c r="AA1300" s="285">
        <v>98175.0</v>
      </c>
      <c r="AB1300" s="285">
        <v>392700.0</v>
      </c>
      <c r="AC1300" s="24" t="s">
        <v>3638</v>
      </c>
      <c r="AD1300" s="195">
        <v>11752.0</v>
      </c>
      <c r="AE1300" s="38"/>
      <c r="AF1300" s="278" t="str">
        <f t="shared" si="1"/>
        <v>Tierra de Fuego, Argentina</v>
      </c>
      <c r="AG1300" s="278">
        <f t="shared" si="2"/>
        <v>2</v>
      </c>
      <c r="AH1300" s="286">
        <f t="shared" si="3"/>
        <v>0</v>
      </c>
      <c r="AI1300" s="286">
        <f t="shared" si="4"/>
        <v>0</v>
      </c>
      <c r="AJ1300" s="285">
        <f t="shared" si="5"/>
        <v>490875</v>
      </c>
      <c r="AK1300" s="285">
        <f t="shared" si="6"/>
        <v>490875</v>
      </c>
      <c r="AL1300" s="287"/>
      <c r="AM1300" s="287"/>
    </row>
    <row r="1301">
      <c r="A1301" s="278">
        <v>1300.0</v>
      </c>
      <c r="B1301" s="279">
        <v>45218.0</v>
      </c>
      <c r="C1301" s="195" t="str">
        <f t="shared" si="10"/>
        <v>102023</v>
      </c>
      <c r="D1301" s="280" t="s">
        <v>1328</v>
      </c>
      <c r="E1301" s="278" t="s">
        <v>1962</v>
      </c>
      <c r="F1301" s="280" t="s">
        <v>3639</v>
      </c>
      <c r="G1301" s="278" t="s">
        <v>64</v>
      </c>
      <c r="H1301" s="278" t="s">
        <v>227</v>
      </c>
      <c r="I1301" s="278" t="s">
        <v>643</v>
      </c>
      <c r="J1301" s="282"/>
      <c r="K1301" s="281">
        <v>23.0</v>
      </c>
      <c r="L1301" s="282"/>
      <c r="M1301" s="282"/>
      <c r="N1301" s="282"/>
      <c r="O1301" s="281">
        <v>7.0</v>
      </c>
      <c r="P1301" s="282"/>
      <c r="Q1301" s="283"/>
      <c r="R1301" s="283"/>
      <c r="S1301" s="278" t="s">
        <v>89</v>
      </c>
      <c r="T1301" s="278" t="s">
        <v>83</v>
      </c>
      <c r="U1301" s="278" t="s">
        <v>99</v>
      </c>
      <c r="V1301" s="278" t="s">
        <v>1984</v>
      </c>
      <c r="W1301" s="284"/>
      <c r="X1301" s="284"/>
      <c r="Y1301" s="284"/>
      <c r="Z1301" s="284"/>
      <c r="AA1301" s="285">
        <v>1129920.0</v>
      </c>
      <c r="AB1301" s="285">
        <v>5932080.0</v>
      </c>
      <c r="AC1301" s="24" t="s">
        <v>3640</v>
      </c>
      <c r="AD1301" s="195">
        <v>11824.0</v>
      </c>
      <c r="AE1301" s="38"/>
      <c r="AF1301" s="278" t="str">
        <f t="shared" si="1"/>
        <v>Capital Federal, Argentina</v>
      </c>
      <c r="AG1301" s="278">
        <f t="shared" si="2"/>
        <v>30</v>
      </c>
      <c r="AH1301" s="286">
        <f t="shared" si="3"/>
        <v>0</v>
      </c>
      <c r="AI1301" s="286">
        <f t="shared" si="4"/>
        <v>0</v>
      </c>
      <c r="AJ1301" s="285">
        <f t="shared" si="5"/>
        <v>7062000</v>
      </c>
      <c r="AK1301" s="285">
        <f t="shared" si="6"/>
        <v>7062000</v>
      </c>
      <c r="AL1301" s="287"/>
      <c r="AM1301" s="287"/>
    </row>
    <row r="1302">
      <c r="A1302" s="278">
        <v>1301.0</v>
      </c>
      <c r="B1302" s="279">
        <v>45218.0</v>
      </c>
      <c r="C1302" s="195" t="str">
        <f t="shared" si="10"/>
        <v>102023</v>
      </c>
      <c r="D1302" s="280" t="s">
        <v>1328</v>
      </c>
      <c r="E1302" s="278" t="s">
        <v>1962</v>
      </c>
      <c r="F1302" s="280" t="s">
        <v>3641</v>
      </c>
      <c r="G1302" s="278" t="s">
        <v>64</v>
      </c>
      <c r="H1302" s="278" t="s">
        <v>227</v>
      </c>
      <c r="I1302" s="278" t="s">
        <v>643</v>
      </c>
      <c r="J1302" s="282"/>
      <c r="K1302" s="282"/>
      <c r="L1302" s="282"/>
      <c r="M1302" s="282"/>
      <c r="N1302" s="282"/>
      <c r="O1302" s="282"/>
      <c r="P1302" s="282"/>
      <c r="Q1302" s="283"/>
      <c r="R1302" s="283"/>
      <c r="S1302" s="278" t="s">
        <v>89</v>
      </c>
      <c r="T1302" s="278" t="s">
        <v>83</v>
      </c>
      <c r="U1302" s="278" t="s">
        <v>99</v>
      </c>
      <c r="V1302" s="278" t="s">
        <v>1984</v>
      </c>
      <c r="W1302" s="284"/>
      <c r="X1302" s="284"/>
      <c r="Y1302" s="284"/>
      <c r="Z1302" s="284"/>
      <c r="AA1302" s="285">
        <v>0.0</v>
      </c>
      <c r="AB1302" s="285">
        <v>3139500.0</v>
      </c>
      <c r="AC1302" s="24" t="s">
        <v>3640</v>
      </c>
      <c r="AD1302" s="195">
        <v>11824.0</v>
      </c>
      <c r="AE1302" s="38"/>
      <c r="AF1302" s="278" t="str">
        <f t="shared" si="1"/>
        <v>Capital Federal, Argentina</v>
      </c>
      <c r="AG1302" s="278">
        <f t="shared" si="2"/>
        <v>0</v>
      </c>
      <c r="AH1302" s="286">
        <f t="shared" si="3"/>
        <v>0</v>
      </c>
      <c r="AI1302" s="286">
        <f t="shared" si="4"/>
        <v>0</v>
      </c>
      <c r="AJ1302" s="285">
        <f t="shared" si="5"/>
        <v>3139500</v>
      </c>
      <c r="AK1302" s="285">
        <f t="shared" si="6"/>
        <v>3139500</v>
      </c>
      <c r="AL1302" s="287"/>
      <c r="AM1302" s="287"/>
    </row>
    <row r="1303">
      <c r="A1303" s="278">
        <v>1302.0</v>
      </c>
      <c r="B1303" s="279">
        <v>45218.0</v>
      </c>
      <c r="C1303" s="195" t="str">
        <f t="shared" si="10"/>
        <v>102023</v>
      </c>
      <c r="D1303" s="280" t="s">
        <v>3529</v>
      </c>
      <c r="E1303" s="278" t="s">
        <v>3530</v>
      </c>
      <c r="F1303" s="280" t="s">
        <v>3490</v>
      </c>
      <c r="G1303" s="278" t="s">
        <v>64</v>
      </c>
      <c r="H1303" s="278" t="s">
        <v>41</v>
      </c>
      <c r="I1303" s="278" t="s">
        <v>643</v>
      </c>
      <c r="J1303" s="282"/>
      <c r="K1303" s="282"/>
      <c r="L1303" s="282"/>
      <c r="M1303" s="282"/>
      <c r="N1303" s="282"/>
      <c r="O1303" s="282"/>
      <c r="P1303" s="281">
        <v>1.0</v>
      </c>
      <c r="Q1303" s="283"/>
      <c r="R1303" s="283"/>
      <c r="S1303" s="278" t="s">
        <v>114</v>
      </c>
      <c r="T1303" s="278" t="s">
        <v>539</v>
      </c>
      <c r="U1303" s="278" t="s">
        <v>99</v>
      </c>
      <c r="V1303" s="278" t="s">
        <v>1984</v>
      </c>
      <c r="W1303" s="284"/>
      <c r="X1303" s="284"/>
      <c r="Y1303" s="284"/>
      <c r="Z1303" s="284"/>
      <c r="AA1303" s="285">
        <v>26775.0</v>
      </c>
      <c r="AB1303" s="285">
        <v>133876.0</v>
      </c>
      <c r="AC1303" s="24" t="s">
        <v>3642</v>
      </c>
      <c r="AD1303" s="195">
        <v>11748.0</v>
      </c>
      <c r="AE1303" s="38"/>
      <c r="AF1303" s="278" t="str">
        <f t="shared" si="1"/>
        <v>Misiones, Argentina</v>
      </c>
      <c r="AG1303" s="278">
        <f t="shared" si="2"/>
        <v>1</v>
      </c>
      <c r="AH1303" s="286">
        <f t="shared" si="3"/>
        <v>0</v>
      </c>
      <c r="AI1303" s="286">
        <f t="shared" si="4"/>
        <v>0</v>
      </c>
      <c r="AJ1303" s="285">
        <f t="shared" si="5"/>
        <v>160651</v>
      </c>
      <c r="AK1303" s="285">
        <f t="shared" si="6"/>
        <v>160651</v>
      </c>
      <c r="AL1303" s="287"/>
      <c r="AM1303" s="287"/>
    </row>
    <row r="1304">
      <c r="A1304" s="278">
        <v>1303.0</v>
      </c>
      <c r="B1304" s="279">
        <v>45219.0</v>
      </c>
      <c r="C1304" s="195" t="str">
        <f t="shared" si="10"/>
        <v>102023</v>
      </c>
      <c r="D1304" s="280" t="s">
        <v>3643</v>
      </c>
      <c r="E1304" s="278" t="s">
        <v>3644</v>
      </c>
      <c r="F1304" s="280" t="s">
        <v>3645</v>
      </c>
      <c r="G1304" s="278" t="s">
        <v>40</v>
      </c>
      <c r="H1304" s="278" t="s">
        <v>41</v>
      </c>
      <c r="I1304" s="278" t="s">
        <v>42</v>
      </c>
      <c r="J1304" s="281">
        <v>1.0</v>
      </c>
      <c r="K1304" s="281">
        <v>10.0</v>
      </c>
      <c r="L1304" s="282"/>
      <c r="M1304" s="281">
        <v>1.0</v>
      </c>
      <c r="N1304" s="282"/>
      <c r="O1304" s="282"/>
      <c r="P1304" s="282"/>
      <c r="Q1304" s="283"/>
      <c r="R1304" s="283"/>
      <c r="S1304" s="278" t="s">
        <v>98</v>
      </c>
      <c r="T1304" s="278" t="s">
        <v>839</v>
      </c>
      <c r="U1304" s="278" t="s">
        <v>53</v>
      </c>
      <c r="V1304" s="278" t="s">
        <v>3545</v>
      </c>
      <c r="W1304" s="284"/>
      <c r="X1304" s="284"/>
      <c r="Y1304" s="284"/>
      <c r="Z1304" s="284"/>
      <c r="AA1304" s="285">
        <v>303450.0</v>
      </c>
      <c r="AB1304" s="285">
        <v>1213800.0</v>
      </c>
      <c r="AC1304" s="24" t="s">
        <v>3646</v>
      </c>
      <c r="AD1304" s="195">
        <v>11822.0</v>
      </c>
      <c r="AE1304" s="38"/>
      <c r="AF1304" s="278" t="str">
        <f t="shared" si="1"/>
        <v>Neuquén, Argentina</v>
      </c>
      <c r="AG1304" s="278">
        <f t="shared" si="2"/>
        <v>12</v>
      </c>
      <c r="AH1304" s="286">
        <f t="shared" si="3"/>
        <v>0</v>
      </c>
      <c r="AI1304" s="286">
        <f t="shared" si="4"/>
        <v>0</v>
      </c>
      <c r="AJ1304" s="285">
        <f t="shared" si="5"/>
        <v>1517250</v>
      </c>
      <c r="AK1304" s="285">
        <f t="shared" si="6"/>
        <v>1517250</v>
      </c>
      <c r="AL1304" s="287"/>
      <c r="AM1304" s="287"/>
    </row>
    <row r="1305">
      <c r="A1305" s="278">
        <v>1304.0</v>
      </c>
      <c r="B1305" s="279">
        <v>45219.0</v>
      </c>
      <c r="C1305" s="195" t="str">
        <f t="shared" si="10"/>
        <v>102023</v>
      </c>
      <c r="D1305" s="280" t="s">
        <v>2329</v>
      </c>
      <c r="E1305" s="278" t="s">
        <v>2330</v>
      </c>
      <c r="F1305" s="280" t="s">
        <v>1459</v>
      </c>
      <c r="G1305" s="278" t="s">
        <v>64</v>
      </c>
      <c r="H1305" s="278" t="s">
        <v>41</v>
      </c>
      <c r="I1305" s="278" t="s">
        <v>643</v>
      </c>
      <c r="J1305" s="282"/>
      <c r="K1305" s="281">
        <v>3.0</v>
      </c>
      <c r="L1305" s="282"/>
      <c r="M1305" s="282"/>
      <c r="N1305" s="282"/>
      <c r="O1305" s="282"/>
      <c r="P1305" s="282"/>
      <c r="Q1305" s="283"/>
      <c r="R1305" s="283"/>
      <c r="S1305" s="278" t="s">
        <v>105</v>
      </c>
      <c r="T1305" s="278" t="s">
        <v>83</v>
      </c>
      <c r="U1305" s="278" t="s">
        <v>99</v>
      </c>
      <c r="V1305" s="278" t="s">
        <v>1984</v>
      </c>
      <c r="W1305" s="284"/>
      <c r="X1305" s="284"/>
      <c r="Y1305" s="284"/>
      <c r="Z1305" s="284"/>
      <c r="AA1305" s="285">
        <v>80325.0</v>
      </c>
      <c r="AB1305" s="285">
        <v>321300.0</v>
      </c>
      <c r="AC1305" s="24" t="s">
        <v>3647</v>
      </c>
      <c r="AD1305" s="195">
        <v>11836.0</v>
      </c>
      <c r="AE1305" s="38"/>
      <c r="AF1305" s="278" t="str">
        <f t="shared" si="1"/>
        <v>Capital Federal, Argentina</v>
      </c>
      <c r="AG1305" s="278">
        <f t="shared" si="2"/>
        <v>3</v>
      </c>
      <c r="AH1305" s="286">
        <f t="shared" si="3"/>
        <v>0</v>
      </c>
      <c r="AI1305" s="286">
        <f t="shared" si="4"/>
        <v>0</v>
      </c>
      <c r="AJ1305" s="285">
        <f t="shared" si="5"/>
        <v>401625</v>
      </c>
      <c r="AK1305" s="285">
        <f t="shared" si="6"/>
        <v>401625</v>
      </c>
      <c r="AL1305" s="287"/>
      <c r="AM1305" s="287"/>
    </row>
    <row r="1306">
      <c r="A1306" s="278">
        <v>1305.0</v>
      </c>
      <c r="B1306" s="279">
        <v>45219.0</v>
      </c>
      <c r="C1306" s="195" t="str">
        <f t="shared" si="10"/>
        <v>102023</v>
      </c>
      <c r="D1306" s="280" t="s">
        <v>3648</v>
      </c>
      <c r="E1306" s="278" t="s">
        <v>3649</v>
      </c>
      <c r="F1306" s="280" t="s">
        <v>3650</v>
      </c>
      <c r="G1306" s="278" t="s">
        <v>40</v>
      </c>
      <c r="H1306" s="278" t="s">
        <v>41</v>
      </c>
      <c r="I1306" s="278" t="s">
        <v>42</v>
      </c>
      <c r="J1306" s="281">
        <v>1.0</v>
      </c>
      <c r="K1306" s="281">
        <v>1.0</v>
      </c>
      <c r="L1306" s="282"/>
      <c r="M1306" s="281">
        <v>1.0</v>
      </c>
      <c r="N1306" s="282"/>
      <c r="O1306" s="282"/>
      <c r="P1306" s="282"/>
      <c r="Q1306" s="283"/>
      <c r="R1306" s="283"/>
      <c r="S1306" s="278" t="s">
        <v>98</v>
      </c>
      <c r="T1306" s="278" t="s">
        <v>66</v>
      </c>
      <c r="U1306" s="278" t="s">
        <v>342</v>
      </c>
      <c r="V1306" s="278" t="s">
        <v>3594</v>
      </c>
      <c r="W1306" s="284"/>
      <c r="X1306" s="284"/>
      <c r="Y1306" s="284"/>
      <c r="Z1306" s="284"/>
      <c r="AA1306" s="285">
        <v>62475.0</v>
      </c>
      <c r="AB1306" s="285">
        <v>249900.0</v>
      </c>
      <c r="AC1306" s="24" t="s">
        <v>3651</v>
      </c>
      <c r="AD1306" s="195">
        <v>11794.0</v>
      </c>
      <c r="AE1306" s="38"/>
      <c r="AF1306" s="278" t="str">
        <f t="shared" si="1"/>
        <v>Buenos Aires, Argentina</v>
      </c>
      <c r="AG1306" s="278">
        <f t="shared" si="2"/>
        <v>3</v>
      </c>
      <c r="AH1306" s="286">
        <f t="shared" si="3"/>
        <v>0</v>
      </c>
      <c r="AI1306" s="286">
        <f t="shared" si="4"/>
        <v>0</v>
      </c>
      <c r="AJ1306" s="285">
        <f t="shared" si="5"/>
        <v>312375</v>
      </c>
      <c r="AK1306" s="285">
        <f t="shared" si="6"/>
        <v>312375</v>
      </c>
      <c r="AL1306" s="287"/>
      <c r="AM1306" s="287"/>
    </row>
    <row r="1307">
      <c r="A1307" s="278">
        <v>1306.0</v>
      </c>
      <c r="B1307" s="279">
        <v>45219.0</v>
      </c>
      <c r="C1307" s="195" t="str">
        <f t="shared" si="10"/>
        <v>102023</v>
      </c>
      <c r="D1307" s="280" t="s">
        <v>3652</v>
      </c>
      <c r="E1307" s="278" t="s">
        <v>3332</v>
      </c>
      <c r="F1307" s="280" t="s">
        <v>3653</v>
      </c>
      <c r="G1307" s="278" t="s">
        <v>64</v>
      </c>
      <c r="H1307" s="278" t="s">
        <v>41</v>
      </c>
      <c r="I1307" s="278" t="s">
        <v>643</v>
      </c>
      <c r="J1307" s="281">
        <v>1.0</v>
      </c>
      <c r="K1307" s="282"/>
      <c r="L1307" s="282"/>
      <c r="M1307" s="282"/>
      <c r="N1307" s="282"/>
      <c r="O1307" s="282"/>
      <c r="P1307" s="282"/>
      <c r="Q1307" s="283"/>
      <c r="R1307" s="283"/>
      <c r="S1307" s="278" t="s">
        <v>109</v>
      </c>
      <c r="T1307" s="278" t="s">
        <v>66</v>
      </c>
      <c r="U1307" s="278" t="s">
        <v>99</v>
      </c>
      <c r="V1307" s="278" t="s">
        <v>1984</v>
      </c>
      <c r="W1307" s="284"/>
      <c r="X1307" s="284"/>
      <c r="Y1307" s="284"/>
      <c r="Z1307" s="284"/>
      <c r="AA1307" s="285">
        <v>35700.0</v>
      </c>
      <c r="AB1307" s="285">
        <v>199920.0</v>
      </c>
      <c r="AC1307" s="24" t="s">
        <v>3654</v>
      </c>
      <c r="AD1307" s="195">
        <v>11446.0</v>
      </c>
      <c r="AE1307" s="38"/>
      <c r="AF1307" s="278" t="str">
        <f t="shared" si="1"/>
        <v>Buenos Aires, Argentina</v>
      </c>
      <c r="AG1307" s="278">
        <f t="shared" si="2"/>
        <v>1</v>
      </c>
      <c r="AH1307" s="286">
        <f t="shared" si="3"/>
        <v>0</v>
      </c>
      <c r="AI1307" s="286">
        <f t="shared" si="4"/>
        <v>0</v>
      </c>
      <c r="AJ1307" s="285">
        <f t="shared" si="5"/>
        <v>235620</v>
      </c>
      <c r="AK1307" s="285">
        <f t="shared" si="6"/>
        <v>235620</v>
      </c>
      <c r="AL1307" s="287"/>
      <c r="AM1307" s="287"/>
    </row>
    <row r="1308">
      <c r="A1308" s="278">
        <v>1307.0</v>
      </c>
      <c r="B1308" s="279">
        <v>45219.0</v>
      </c>
      <c r="C1308" s="195" t="str">
        <f t="shared" si="10"/>
        <v>102023</v>
      </c>
      <c r="D1308" s="280" t="s">
        <v>3655</v>
      </c>
      <c r="E1308" s="278" t="s">
        <v>3656</v>
      </c>
      <c r="F1308" s="280" t="s">
        <v>3657</v>
      </c>
      <c r="G1308" s="278" t="s">
        <v>40</v>
      </c>
      <c r="H1308" s="278" t="s">
        <v>41</v>
      </c>
      <c r="I1308" s="278" t="s">
        <v>42</v>
      </c>
      <c r="J1308" s="281">
        <v>1.0</v>
      </c>
      <c r="K1308" s="282"/>
      <c r="L1308" s="282"/>
      <c r="M1308" s="281">
        <v>1.0</v>
      </c>
      <c r="N1308" s="282"/>
      <c r="O1308" s="282"/>
      <c r="P1308" s="282"/>
      <c r="Q1308" s="283"/>
      <c r="R1308" s="283"/>
      <c r="S1308" s="278" t="s">
        <v>167</v>
      </c>
      <c r="T1308" s="278" t="s">
        <v>83</v>
      </c>
      <c r="U1308" s="278" t="s">
        <v>342</v>
      </c>
      <c r="V1308" s="278" t="s">
        <v>3594</v>
      </c>
      <c r="W1308" s="284"/>
      <c r="X1308" s="284"/>
      <c r="Y1308" s="284"/>
      <c r="Z1308" s="284"/>
      <c r="AA1308" s="285">
        <v>35700.0</v>
      </c>
      <c r="AB1308" s="285">
        <v>142800.0</v>
      </c>
      <c r="AC1308" s="24" t="s">
        <v>3658</v>
      </c>
      <c r="AD1308" s="195">
        <v>11634.0</v>
      </c>
      <c r="AE1308" s="38"/>
      <c r="AF1308" s="278" t="str">
        <f t="shared" si="1"/>
        <v>Capital Federal, Argentina</v>
      </c>
      <c r="AG1308" s="278">
        <f t="shared" si="2"/>
        <v>2</v>
      </c>
      <c r="AH1308" s="286">
        <f t="shared" si="3"/>
        <v>0</v>
      </c>
      <c r="AI1308" s="286">
        <f t="shared" si="4"/>
        <v>0</v>
      </c>
      <c r="AJ1308" s="285">
        <f t="shared" si="5"/>
        <v>178500</v>
      </c>
      <c r="AK1308" s="285">
        <f t="shared" si="6"/>
        <v>178500</v>
      </c>
      <c r="AL1308" s="287"/>
      <c r="AM1308" s="287"/>
    </row>
    <row r="1309">
      <c r="A1309" s="278">
        <v>1308.0</v>
      </c>
      <c r="B1309" s="279">
        <v>45219.0</v>
      </c>
      <c r="C1309" s="195" t="str">
        <f t="shared" si="10"/>
        <v>102023</v>
      </c>
      <c r="D1309" s="280" t="s">
        <v>3659</v>
      </c>
      <c r="E1309" s="278" t="s">
        <v>3660</v>
      </c>
      <c r="F1309" s="280" t="s">
        <v>3661</v>
      </c>
      <c r="G1309" s="278" t="s">
        <v>40</v>
      </c>
      <c r="H1309" s="278" t="s">
        <v>41</v>
      </c>
      <c r="I1309" s="278" t="s">
        <v>42</v>
      </c>
      <c r="J1309" s="281">
        <v>1.0</v>
      </c>
      <c r="K1309" s="282"/>
      <c r="L1309" s="282"/>
      <c r="M1309" s="281">
        <v>1.0</v>
      </c>
      <c r="N1309" s="282"/>
      <c r="O1309" s="282"/>
      <c r="P1309" s="282"/>
      <c r="Q1309" s="283"/>
      <c r="R1309" s="283"/>
      <c r="S1309" s="278" t="s">
        <v>189</v>
      </c>
      <c r="T1309" s="278" t="s">
        <v>879</v>
      </c>
      <c r="U1309" s="278" t="s">
        <v>342</v>
      </c>
      <c r="V1309" s="278" t="s">
        <v>3545</v>
      </c>
      <c r="W1309" s="284"/>
      <c r="X1309" s="284"/>
      <c r="Y1309" s="284"/>
      <c r="Z1309" s="284"/>
      <c r="AA1309" s="285">
        <v>71400.0</v>
      </c>
      <c r="AB1309" s="285">
        <v>285600.0</v>
      </c>
      <c r="AC1309" s="24" t="s">
        <v>3662</v>
      </c>
      <c r="AD1309" s="195">
        <v>11862.0</v>
      </c>
      <c r="AE1309" s="38"/>
      <c r="AF1309" s="278" t="str">
        <f t="shared" si="1"/>
        <v>Salta, Argentina</v>
      </c>
      <c r="AG1309" s="278">
        <f t="shared" si="2"/>
        <v>2</v>
      </c>
      <c r="AH1309" s="286">
        <f t="shared" si="3"/>
        <v>0</v>
      </c>
      <c r="AI1309" s="286">
        <f t="shared" si="4"/>
        <v>0</v>
      </c>
      <c r="AJ1309" s="285">
        <f t="shared" si="5"/>
        <v>357000</v>
      </c>
      <c r="AK1309" s="285">
        <f t="shared" si="6"/>
        <v>357000</v>
      </c>
      <c r="AL1309" s="287"/>
      <c r="AM1309" s="287"/>
    </row>
    <row r="1310">
      <c r="A1310" s="278">
        <v>1309.0</v>
      </c>
      <c r="B1310" s="279">
        <v>45229.0</v>
      </c>
      <c r="C1310" s="195" t="str">
        <f t="shared" si="10"/>
        <v>102023</v>
      </c>
      <c r="D1310" s="280" t="s">
        <v>3663</v>
      </c>
      <c r="E1310" s="278" t="s">
        <v>3664</v>
      </c>
      <c r="F1310" s="280" t="s">
        <v>3665</v>
      </c>
      <c r="G1310" s="278" t="s">
        <v>40</v>
      </c>
      <c r="H1310" s="278" t="s">
        <v>547</v>
      </c>
      <c r="I1310" s="278" t="s">
        <v>42</v>
      </c>
      <c r="J1310" s="281">
        <v>1.0</v>
      </c>
      <c r="K1310" s="282"/>
      <c r="L1310" s="282"/>
      <c r="M1310" s="281">
        <v>1.0</v>
      </c>
      <c r="N1310" s="282"/>
      <c r="O1310" s="282"/>
      <c r="P1310" s="282"/>
      <c r="Q1310" s="283"/>
      <c r="R1310" s="283"/>
      <c r="S1310" s="278" t="s">
        <v>137</v>
      </c>
      <c r="T1310" s="278" t="s">
        <v>66</v>
      </c>
      <c r="U1310" s="278" t="s">
        <v>342</v>
      </c>
      <c r="V1310" s="278" t="s">
        <v>2922</v>
      </c>
      <c r="W1310" s="284"/>
      <c r="X1310" s="284"/>
      <c r="Y1310" s="284"/>
      <c r="Z1310" s="284"/>
      <c r="AA1310" s="285">
        <v>21420.0</v>
      </c>
      <c r="AB1310" s="285">
        <v>96390.0</v>
      </c>
      <c r="AC1310" s="24" t="s">
        <v>3666</v>
      </c>
      <c r="AD1310" s="195">
        <v>10572.0</v>
      </c>
      <c r="AE1310" s="38"/>
      <c r="AF1310" s="278" t="str">
        <f t="shared" si="1"/>
        <v>Buenos Aires, Argentina</v>
      </c>
      <c r="AG1310" s="278">
        <f t="shared" si="2"/>
        <v>2</v>
      </c>
      <c r="AH1310" s="286">
        <f t="shared" si="3"/>
        <v>0</v>
      </c>
      <c r="AI1310" s="286">
        <f t="shared" si="4"/>
        <v>0</v>
      </c>
      <c r="AJ1310" s="285">
        <f t="shared" si="5"/>
        <v>117810</v>
      </c>
      <c r="AK1310" s="285">
        <f t="shared" si="6"/>
        <v>117810</v>
      </c>
      <c r="AL1310" s="287"/>
      <c r="AM1310" s="287"/>
    </row>
    <row r="1311">
      <c r="A1311" s="278">
        <v>1310.0</v>
      </c>
      <c r="B1311" s="279">
        <v>45230.0</v>
      </c>
      <c r="C1311" s="195" t="str">
        <f t="shared" si="10"/>
        <v>102023</v>
      </c>
      <c r="D1311" s="280" t="s">
        <v>1588</v>
      </c>
      <c r="E1311" s="278" t="s">
        <v>3667</v>
      </c>
      <c r="F1311" s="280" t="s">
        <v>3129</v>
      </c>
      <c r="G1311" s="278" t="s">
        <v>64</v>
      </c>
      <c r="H1311" s="278" t="s">
        <v>41</v>
      </c>
      <c r="I1311" s="278" t="s">
        <v>643</v>
      </c>
      <c r="J1311" s="282"/>
      <c r="K1311" s="282"/>
      <c r="L1311" s="282"/>
      <c r="M1311" s="282"/>
      <c r="N1311" s="282"/>
      <c r="O1311" s="282"/>
      <c r="P1311" s="282"/>
      <c r="Q1311" s="283"/>
      <c r="R1311" s="283"/>
      <c r="S1311" s="278" t="s">
        <v>65</v>
      </c>
      <c r="T1311" s="278" t="s">
        <v>66</v>
      </c>
      <c r="U1311" s="278" t="s">
        <v>99</v>
      </c>
      <c r="V1311" s="278" t="s">
        <v>1984</v>
      </c>
      <c r="W1311" s="284"/>
      <c r="X1311" s="284"/>
      <c r="Y1311" s="284"/>
      <c r="Z1311" s="284"/>
      <c r="AA1311" s="285">
        <v>0.0</v>
      </c>
      <c r="AB1311" s="285">
        <v>85680.0</v>
      </c>
      <c r="AC1311" s="24" t="s">
        <v>3668</v>
      </c>
      <c r="AD1311" s="195">
        <v>11896.0</v>
      </c>
      <c r="AE1311" s="38"/>
      <c r="AF1311" s="278" t="str">
        <f t="shared" si="1"/>
        <v>Buenos Aires, Argentina</v>
      </c>
      <c r="AG1311" s="278">
        <f t="shared" si="2"/>
        <v>0</v>
      </c>
      <c r="AH1311" s="286">
        <f t="shared" si="3"/>
        <v>0</v>
      </c>
      <c r="AI1311" s="286">
        <f t="shared" si="4"/>
        <v>0</v>
      </c>
      <c r="AJ1311" s="285">
        <f t="shared" si="5"/>
        <v>85680</v>
      </c>
      <c r="AK1311" s="285">
        <f t="shared" si="6"/>
        <v>85680</v>
      </c>
      <c r="AL1311" s="287"/>
      <c r="AM1311" s="287"/>
    </row>
    <row r="1312">
      <c r="A1312" s="278">
        <v>1311.0</v>
      </c>
      <c r="B1312" s="279">
        <v>45230.0</v>
      </c>
      <c r="C1312" s="195" t="str">
        <f t="shared" si="10"/>
        <v>102023</v>
      </c>
      <c r="D1312" s="280" t="s">
        <v>3669</v>
      </c>
      <c r="E1312" s="278" t="s">
        <v>3670</v>
      </c>
      <c r="F1312" s="280" t="s">
        <v>3665</v>
      </c>
      <c r="G1312" s="278" t="s">
        <v>40</v>
      </c>
      <c r="H1312" s="278" t="s">
        <v>547</v>
      </c>
      <c r="I1312" s="278" t="s">
        <v>643</v>
      </c>
      <c r="J1312" s="281">
        <v>1.0</v>
      </c>
      <c r="K1312" s="282"/>
      <c r="L1312" s="282"/>
      <c r="M1312" s="281">
        <v>1.0</v>
      </c>
      <c r="N1312" s="282"/>
      <c r="O1312" s="282"/>
      <c r="P1312" s="282"/>
      <c r="Q1312" s="283"/>
      <c r="R1312" s="283"/>
      <c r="S1312" s="278" t="s">
        <v>89</v>
      </c>
      <c r="T1312" s="351" t="s">
        <v>83</v>
      </c>
      <c r="U1312" s="351" t="s">
        <v>342</v>
      </c>
      <c r="V1312" s="351" t="s">
        <v>1984</v>
      </c>
      <c r="W1312" s="284"/>
      <c r="X1312" s="284"/>
      <c r="Y1312" s="284"/>
      <c r="Z1312" s="284"/>
      <c r="AA1312" s="285">
        <v>21420.0</v>
      </c>
      <c r="AB1312" s="285">
        <v>96390.0</v>
      </c>
      <c r="AC1312" s="24" t="s">
        <v>3671</v>
      </c>
      <c r="AD1312" s="195">
        <v>7660.0</v>
      </c>
      <c r="AE1312" s="38"/>
      <c r="AF1312" s="278" t="str">
        <f t="shared" si="1"/>
        <v>Capital Federal, Argentina</v>
      </c>
      <c r="AG1312" s="278">
        <f t="shared" si="2"/>
        <v>2</v>
      </c>
      <c r="AH1312" s="286">
        <f t="shared" si="3"/>
        <v>0</v>
      </c>
      <c r="AI1312" s="286">
        <f t="shared" si="4"/>
        <v>0</v>
      </c>
      <c r="AJ1312" s="285">
        <f t="shared" si="5"/>
        <v>117810</v>
      </c>
      <c r="AK1312" s="285">
        <f t="shared" si="6"/>
        <v>117810</v>
      </c>
      <c r="AL1312" s="287"/>
      <c r="AM1312" s="287"/>
    </row>
    <row r="1313">
      <c r="A1313" s="278">
        <v>1312.0</v>
      </c>
      <c r="B1313" s="279">
        <v>45230.0</v>
      </c>
      <c r="C1313" s="195" t="str">
        <f t="shared" si="10"/>
        <v>102023</v>
      </c>
      <c r="D1313" s="280" t="s">
        <v>3672</v>
      </c>
      <c r="E1313" s="278" t="s">
        <v>1789</v>
      </c>
      <c r="F1313" s="280" t="s">
        <v>1423</v>
      </c>
      <c r="G1313" s="278" t="s">
        <v>64</v>
      </c>
      <c r="H1313" s="278" t="s">
        <v>547</v>
      </c>
      <c r="I1313" s="278" t="s">
        <v>643</v>
      </c>
      <c r="J1313" s="281">
        <v>1.0</v>
      </c>
      <c r="K1313" s="282"/>
      <c r="L1313" s="282"/>
      <c r="M1313" s="282"/>
      <c r="N1313" s="282"/>
      <c r="O1313" s="282"/>
      <c r="P1313" s="282"/>
      <c r="Q1313" s="283"/>
      <c r="R1313" s="283"/>
      <c r="S1313" s="278" t="s">
        <v>907</v>
      </c>
      <c r="T1313" s="351" t="s">
        <v>66</v>
      </c>
      <c r="U1313" s="351" t="s">
        <v>99</v>
      </c>
      <c r="V1313" s="351" t="s">
        <v>1984</v>
      </c>
      <c r="W1313" s="284"/>
      <c r="X1313" s="284"/>
      <c r="Y1313" s="284"/>
      <c r="Z1313" s="284"/>
      <c r="AA1313" s="285">
        <v>21420.0</v>
      </c>
      <c r="AB1313" s="285">
        <v>96390.0</v>
      </c>
      <c r="AC1313" s="24" t="s">
        <v>3673</v>
      </c>
      <c r="AD1313" s="195">
        <v>11938.0</v>
      </c>
      <c r="AE1313" s="38"/>
      <c r="AF1313" s="278" t="str">
        <f t="shared" si="1"/>
        <v>Buenos Aires, Argentina</v>
      </c>
      <c r="AG1313" s="278">
        <f t="shared" si="2"/>
        <v>1</v>
      </c>
      <c r="AH1313" s="286">
        <f t="shared" si="3"/>
        <v>0</v>
      </c>
      <c r="AI1313" s="286">
        <f t="shared" si="4"/>
        <v>0</v>
      </c>
      <c r="AJ1313" s="285">
        <f t="shared" si="5"/>
        <v>117810</v>
      </c>
      <c r="AK1313" s="285">
        <f t="shared" si="6"/>
        <v>117810</v>
      </c>
      <c r="AL1313" s="287"/>
      <c r="AM1313" s="287"/>
    </row>
    <row r="1314">
      <c r="A1314" s="278">
        <v>1313.0</v>
      </c>
      <c r="B1314" s="279">
        <v>45230.0</v>
      </c>
      <c r="C1314" s="195" t="str">
        <f t="shared" si="10"/>
        <v>102023</v>
      </c>
      <c r="D1314" s="280" t="s">
        <v>3458</v>
      </c>
      <c r="E1314" s="278" t="s">
        <v>3459</v>
      </c>
      <c r="F1314" s="280" t="s">
        <v>3674</v>
      </c>
      <c r="G1314" s="278" t="s">
        <v>64</v>
      </c>
      <c r="H1314" s="278" t="s">
        <v>41</v>
      </c>
      <c r="I1314" s="278" t="s">
        <v>42</v>
      </c>
      <c r="J1314" s="282"/>
      <c r="K1314" s="282"/>
      <c r="L1314" s="282"/>
      <c r="M1314" s="282"/>
      <c r="N1314" s="282"/>
      <c r="O1314" s="282"/>
      <c r="P1314" s="282"/>
      <c r="Q1314" s="283"/>
      <c r="R1314" s="283"/>
      <c r="S1314" s="278" t="s">
        <v>109</v>
      </c>
      <c r="T1314" s="278" t="s">
        <v>66</v>
      </c>
      <c r="U1314" s="278" t="s">
        <v>99</v>
      </c>
      <c r="V1314" s="278" t="s">
        <v>2922</v>
      </c>
      <c r="W1314" s="284"/>
      <c r="X1314" s="284"/>
      <c r="Y1314" s="284"/>
      <c r="Z1314" s="284"/>
      <c r="AA1314" s="285">
        <v>0.0</v>
      </c>
      <c r="AB1314" s="285">
        <v>514080.0</v>
      </c>
      <c r="AC1314" s="24" t="s">
        <v>3563</v>
      </c>
      <c r="AD1314" s="195">
        <v>11278.0</v>
      </c>
      <c r="AE1314" s="38"/>
      <c r="AF1314" s="278" t="str">
        <f t="shared" si="1"/>
        <v>Buenos Aires, Argentina</v>
      </c>
      <c r="AG1314" s="278">
        <f t="shared" si="2"/>
        <v>0</v>
      </c>
      <c r="AH1314" s="286">
        <f t="shared" si="3"/>
        <v>0</v>
      </c>
      <c r="AI1314" s="286">
        <f t="shared" si="4"/>
        <v>0</v>
      </c>
      <c r="AJ1314" s="285">
        <f t="shared" si="5"/>
        <v>514080</v>
      </c>
      <c r="AK1314" s="285">
        <f t="shared" si="6"/>
        <v>514080</v>
      </c>
      <c r="AL1314" s="287"/>
      <c r="AM1314" s="287"/>
    </row>
    <row r="1315">
      <c r="A1315" s="278">
        <v>1314.0</v>
      </c>
      <c r="B1315" s="279">
        <v>45230.0</v>
      </c>
      <c r="C1315" s="195" t="str">
        <f t="shared" si="10"/>
        <v>102023</v>
      </c>
      <c r="D1315" s="280" t="s">
        <v>1832</v>
      </c>
      <c r="E1315" s="278" t="s">
        <v>1833</v>
      </c>
      <c r="F1315" s="280" t="s">
        <v>3675</v>
      </c>
      <c r="G1315" s="278" t="s">
        <v>64</v>
      </c>
      <c r="H1315" s="278" t="s">
        <v>41</v>
      </c>
      <c r="I1315" s="278" t="s">
        <v>643</v>
      </c>
      <c r="J1315" s="282"/>
      <c r="K1315" s="281">
        <v>2.0</v>
      </c>
      <c r="L1315" s="282"/>
      <c r="M1315" s="282"/>
      <c r="N1315" s="282"/>
      <c r="O1315" s="282"/>
      <c r="P1315" s="282"/>
      <c r="Q1315" s="283"/>
      <c r="R1315" s="283"/>
      <c r="S1315" s="278" t="s">
        <v>189</v>
      </c>
      <c r="T1315" s="278" t="s">
        <v>44</v>
      </c>
      <c r="U1315" s="278" t="s">
        <v>99</v>
      </c>
      <c r="V1315" s="278" t="s">
        <v>1984</v>
      </c>
      <c r="W1315" s="284"/>
      <c r="X1315" s="284"/>
      <c r="Y1315" s="284"/>
      <c r="Z1315" s="284"/>
      <c r="AA1315" s="285">
        <v>53550.0</v>
      </c>
      <c r="AB1315" s="285">
        <v>214200.0</v>
      </c>
      <c r="AC1315" s="24" t="s">
        <v>3676</v>
      </c>
      <c r="AD1315" s="195">
        <v>11998.0</v>
      </c>
      <c r="AE1315" s="38"/>
      <c r="AF1315" s="278" t="str">
        <f t="shared" si="1"/>
        <v>Mendoza, Argentina</v>
      </c>
      <c r="AG1315" s="278">
        <f t="shared" si="2"/>
        <v>2</v>
      </c>
      <c r="AH1315" s="286">
        <f t="shared" si="3"/>
        <v>0</v>
      </c>
      <c r="AI1315" s="286">
        <f t="shared" si="4"/>
        <v>0</v>
      </c>
      <c r="AJ1315" s="285">
        <f t="shared" si="5"/>
        <v>267750</v>
      </c>
      <c r="AK1315" s="285">
        <f t="shared" si="6"/>
        <v>267750</v>
      </c>
      <c r="AL1315" s="287"/>
      <c r="AM1315" s="287"/>
    </row>
    <row r="1316">
      <c r="A1316" s="278">
        <v>1315.0</v>
      </c>
      <c r="B1316" s="279">
        <v>45230.0</v>
      </c>
      <c r="C1316" s="195" t="str">
        <f t="shared" si="10"/>
        <v>102023</v>
      </c>
      <c r="D1316" s="280" t="s">
        <v>3677</v>
      </c>
      <c r="E1316" s="278" t="s">
        <v>3678</v>
      </c>
      <c r="F1316" s="280" t="s">
        <v>1415</v>
      </c>
      <c r="G1316" s="278" t="s">
        <v>64</v>
      </c>
      <c r="H1316" s="278" t="s">
        <v>41</v>
      </c>
      <c r="I1316" s="278" t="s">
        <v>643</v>
      </c>
      <c r="J1316" s="282"/>
      <c r="K1316" s="281">
        <v>1.0</v>
      </c>
      <c r="L1316" s="282"/>
      <c r="M1316" s="282"/>
      <c r="N1316" s="282"/>
      <c r="O1316" s="282"/>
      <c r="P1316" s="282"/>
      <c r="Q1316" s="283"/>
      <c r="R1316" s="283"/>
      <c r="S1316" s="278" t="s">
        <v>114</v>
      </c>
      <c r="T1316" s="351" t="s">
        <v>83</v>
      </c>
      <c r="U1316" s="351" t="s">
        <v>99</v>
      </c>
      <c r="V1316" s="351" t="s">
        <v>1984</v>
      </c>
      <c r="W1316" s="284"/>
      <c r="X1316" s="284"/>
      <c r="Y1316" s="284"/>
      <c r="Z1316" s="284"/>
      <c r="AA1316" s="285">
        <v>26775.0</v>
      </c>
      <c r="AB1316" s="285">
        <v>107100.0</v>
      </c>
      <c r="AC1316" s="24" t="s">
        <v>3679</v>
      </c>
      <c r="AD1316" s="195">
        <v>11942.0</v>
      </c>
      <c r="AE1316" s="38"/>
      <c r="AF1316" s="278" t="str">
        <f t="shared" si="1"/>
        <v>Capital Federal, Argentina</v>
      </c>
      <c r="AG1316" s="278">
        <f t="shared" si="2"/>
        <v>1</v>
      </c>
      <c r="AH1316" s="286">
        <f t="shared" si="3"/>
        <v>0</v>
      </c>
      <c r="AI1316" s="286">
        <f t="shared" si="4"/>
        <v>0</v>
      </c>
      <c r="AJ1316" s="285">
        <f t="shared" si="5"/>
        <v>133875</v>
      </c>
      <c r="AK1316" s="285">
        <f t="shared" si="6"/>
        <v>133875</v>
      </c>
      <c r="AL1316" s="287"/>
      <c r="AM1316" s="287"/>
    </row>
    <row r="1317">
      <c r="A1317" s="278">
        <v>1316.0</v>
      </c>
      <c r="B1317" s="279">
        <v>45230.0</v>
      </c>
      <c r="C1317" s="195" t="str">
        <f t="shared" si="10"/>
        <v>102023</v>
      </c>
      <c r="D1317" s="280" t="s">
        <v>3624</v>
      </c>
      <c r="E1317" s="278" t="s">
        <v>3625</v>
      </c>
      <c r="F1317" s="280" t="s">
        <v>3680</v>
      </c>
      <c r="G1317" s="278" t="s">
        <v>64</v>
      </c>
      <c r="H1317" s="278" t="s">
        <v>41</v>
      </c>
      <c r="I1317" s="278" t="s">
        <v>643</v>
      </c>
      <c r="J1317" s="282"/>
      <c r="K1317" s="282"/>
      <c r="L1317" s="282"/>
      <c r="M1317" s="282"/>
      <c r="N1317" s="282"/>
      <c r="O1317" s="282"/>
      <c r="P1317" s="282"/>
      <c r="Q1317" s="283"/>
      <c r="R1317" s="283"/>
      <c r="S1317" s="278" t="s">
        <v>65</v>
      </c>
      <c r="T1317" s="351" t="s">
        <v>267</v>
      </c>
      <c r="U1317" s="351" t="s">
        <v>99</v>
      </c>
      <c r="V1317" s="351" t="s">
        <v>1984</v>
      </c>
      <c r="W1317" s="284"/>
      <c r="X1317" s="284"/>
      <c r="Y1317" s="284"/>
      <c r="Z1317" s="284"/>
      <c r="AA1317" s="285">
        <v>0.0</v>
      </c>
      <c r="AB1317" s="285">
        <v>456960.0</v>
      </c>
      <c r="AC1317" s="24" t="s">
        <v>3681</v>
      </c>
      <c r="AD1317" s="195">
        <v>11724.0</v>
      </c>
      <c r="AE1317" s="38"/>
      <c r="AF1317" s="278" t="str">
        <f t="shared" si="1"/>
        <v>Entre Ríos, Argentina</v>
      </c>
      <c r="AG1317" s="278">
        <f t="shared" si="2"/>
        <v>0</v>
      </c>
      <c r="AH1317" s="286">
        <f t="shared" si="3"/>
        <v>0</v>
      </c>
      <c r="AI1317" s="286">
        <f t="shared" si="4"/>
        <v>0</v>
      </c>
      <c r="AJ1317" s="285">
        <f t="shared" si="5"/>
        <v>456960</v>
      </c>
      <c r="AK1317" s="285">
        <f t="shared" si="6"/>
        <v>456960</v>
      </c>
      <c r="AL1317" s="287"/>
      <c r="AM1317" s="287"/>
    </row>
    <row r="1318">
      <c r="A1318" s="278">
        <v>1317.0</v>
      </c>
      <c r="B1318" s="279">
        <v>45230.0</v>
      </c>
      <c r="C1318" s="195" t="str">
        <f t="shared" si="10"/>
        <v>102023</v>
      </c>
      <c r="D1318" s="280" t="s">
        <v>3682</v>
      </c>
      <c r="E1318" s="278" t="s">
        <v>3683</v>
      </c>
      <c r="F1318" s="280" t="s">
        <v>1966</v>
      </c>
      <c r="G1318" s="278" t="s">
        <v>64</v>
      </c>
      <c r="H1318" s="278" t="s">
        <v>41</v>
      </c>
      <c r="I1318" s="278" t="s">
        <v>643</v>
      </c>
      <c r="J1318" s="282"/>
      <c r="K1318" s="281">
        <v>1.0</v>
      </c>
      <c r="L1318" s="282"/>
      <c r="M1318" s="282"/>
      <c r="N1318" s="282"/>
      <c r="O1318" s="282"/>
      <c r="P1318" s="282"/>
      <c r="Q1318" s="283"/>
      <c r="R1318" s="283"/>
      <c r="S1318" s="278" t="s">
        <v>89</v>
      </c>
      <c r="T1318" s="351" t="s">
        <v>83</v>
      </c>
      <c r="U1318" s="351" t="s">
        <v>99</v>
      </c>
      <c r="V1318" s="351" t="s">
        <v>1984</v>
      </c>
      <c r="W1318" s="284"/>
      <c r="X1318" s="284"/>
      <c r="Y1318" s="284"/>
      <c r="Z1318" s="284"/>
      <c r="AA1318" s="285">
        <v>26775.0</v>
      </c>
      <c r="AB1318" s="285">
        <v>107100.0</v>
      </c>
      <c r="AC1318" s="24" t="s">
        <v>3684</v>
      </c>
      <c r="AD1318" s="195">
        <v>11868.0</v>
      </c>
      <c r="AE1318" s="38"/>
      <c r="AF1318" s="278" t="str">
        <f t="shared" si="1"/>
        <v>Capital Federal, Argentina</v>
      </c>
      <c r="AG1318" s="278">
        <f t="shared" si="2"/>
        <v>1</v>
      </c>
      <c r="AH1318" s="286">
        <f t="shared" si="3"/>
        <v>0</v>
      </c>
      <c r="AI1318" s="286">
        <f t="shared" si="4"/>
        <v>0</v>
      </c>
      <c r="AJ1318" s="285">
        <f t="shared" si="5"/>
        <v>133875</v>
      </c>
      <c r="AK1318" s="285">
        <f t="shared" si="6"/>
        <v>133875</v>
      </c>
      <c r="AL1318" s="287"/>
      <c r="AM1318" s="287"/>
    </row>
    <row r="1319">
      <c r="A1319" s="278">
        <v>1318.0</v>
      </c>
      <c r="B1319" s="279">
        <v>45230.0</v>
      </c>
      <c r="C1319" s="195" t="str">
        <f t="shared" si="10"/>
        <v>102023</v>
      </c>
      <c r="D1319" s="280" t="s">
        <v>2092</v>
      </c>
      <c r="E1319" s="278" t="s">
        <v>2093</v>
      </c>
      <c r="F1319" s="280" t="s">
        <v>3685</v>
      </c>
      <c r="G1319" s="278" t="s">
        <v>64</v>
      </c>
      <c r="H1319" s="278" t="s">
        <v>41</v>
      </c>
      <c r="I1319" s="278" t="s">
        <v>643</v>
      </c>
      <c r="J1319" s="281">
        <v>1.0</v>
      </c>
      <c r="K1319" s="281">
        <v>1.0</v>
      </c>
      <c r="L1319" s="282"/>
      <c r="M1319" s="282"/>
      <c r="N1319" s="282"/>
      <c r="O1319" s="282"/>
      <c r="P1319" s="282"/>
      <c r="Q1319" s="283"/>
      <c r="R1319" s="283"/>
      <c r="S1319" s="278" t="s">
        <v>65</v>
      </c>
      <c r="T1319" s="351" t="s">
        <v>66</v>
      </c>
      <c r="U1319" s="351" t="s">
        <v>99</v>
      </c>
      <c r="V1319" s="351" t="s">
        <v>1984</v>
      </c>
      <c r="W1319" s="284"/>
      <c r="X1319" s="284"/>
      <c r="Y1319" s="284"/>
      <c r="Z1319" s="284"/>
      <c r="AA1319" s="285">
        <v>56228.0</v>
      </c>
      <c r="AB1319" s="285">
        <v>249900.0</v>
      </c>
      <c r="AC1319" s="24" t="s">
        <v>3686</v>
      </c>
      <c r="AD1319" s="195">
        <v>12020.0</v>
      </c>
      <c r="AE1319" s="38"/>
      <c r="AF1319" s="278" t="str">
        <f t="shared" si="1"/>
        <v>Buenos Aires, Argentina</v>
      </c>
      <c r="AG1319" s="278">
        <f t="shared" si="2"/>
        <v>2</v>
      </c>
      <c r="AH1319" s="286">
        <f t="shared" si="3"/>
        <v>0</v>
      </c>
      <c r="AI1319" s="286">
        <f t="shared" si="4"/>
        <v>0</v>
      </c>
      <c r="AJ1319" s="285">
        <f t="shared" si="5"/>
        <v>306128</v>
      </c>
      <c r="AK1319" s="285">
        <f t="shared" si="6"/>
        <v>306128</v>
      </c>
      <c r="AL1319" s="287"/>
      <c r="AM1319" s="287"/>
    </row>
    <row r="1320">
      <c r="A1320" s="322">
        <v>1319.0</v>
      </c>
      <c r="B1320" s="323">
        <v>45236.0</v>
      </c>
      <c r="C1320" s="195" t="str">
        <f t="shared" si="10"/>
        <v>112023</v>
      </c>
      <c r="D1320" s="324" t="s">
        <v>3687</v>
      </c>
      <c r="E1320" s="322" t="s">
        <v>3688</v>
      </c>
      <c r="F1320" s="324" t="s">
        <v>3689</v>
      </c>
      <c r="G1320" s="322" t="s">
        <v>40</v>
      </c>
      <c r="H1320" s="322" t="s">
        <v>547</v>
      </c>
      <c r="I1320" s="322" t="s">
        <v>42</v>
      </c>
      <c r="J1320" s="327">
        <v>1.0</v>
      </c>
      <c r="K1320" s="327">
        <v>1.0</v>
      </c>
      <c r="L1320" s="75"/>
      <c r="M1320" s="327">
        <v>1.0</v>
      </c>
      <c r="N1320" s="75"/>
      <c r="O1320" s="75"/>
      <c r="P1320" s="75"/>
      <c r="Q1320" s="76"/>
      <c r="R1320" s="76"/>
      <c r="S1320" s="322" t="s">
        <v>98</v>
      </c>
      <c r="T1320" s="352" t="s">
        <v>671</v>
      </c>
      <c r="U1320" s="352" t="s">
        <v>342</v>
      </c>
      <c r="V1320" s="352" t="s">
        <v>3594</v>
      </c>
      <c r="W1320" s="77"/>
      <c r="X1320" s="77"/>
      <c r="Y1320" s="77"/>
      <c r="Z1320" s="77"/>
      <c r="AA1320" s="325">
        <v>42263.0</v>
      </c>
      <c r="AB1320" s="325">
        <v>190184.0</v>
      </c>
      <c r="AC1320" s="24" t="s">
        <v>3690</v>
      </c>
      <c r="AD1320" s="195">
        <v>11916.0</v>
      </c>
      <c r="AE1320" s="38"/>
      <c r="AF1320" s="322" t="str">
        <f t="shared" si="1"/>
        <v>Chubut, Argentina</v>
      </c>
      <c r="AG1320" s="322">
        <f t="shared" si="2"/>
        <v>3</v>
      </c>
      <c r="AH1320" s="326">
        <f t="shared" si="3"/>
        <v>0</v>
      </c>
      <c r="AI1320" s="326">
        <f t="shared" si="4"/>
        <v>0</v>
      </c>
      <c r="AJ1320" s="325">
        <f t="shared" si="5"/>
        <v>232447</v>
      </c>
      <c r="AK1320" s="325">
        <f t="shared" si="6"/>
        <v>232447</v>
      </c>
      <c r="AL1320" s="80"/>
      <c r="AM1320" s="80"/>
    </row>
    <row r="1321">
      <c r="A1321" s="322">
        <v>1320.0</v>
      </c>
      <c r="B1321" s="323">
        <v>45236.0</v>
      </c>
      <c r="C1321" s="195" t="str">
        <f t="shared" si="10"/>
        <v>112023</v>
      </c>
      <c r="D1321" s="324" t="s">
        <v>3691</v>
      </c>
      <c r="E1321" s="322" t="s">
        <v>3424</v>
      </c>
      <c r="F1321" s="324" t="s">
        <v>1427</v>
      </c>
      <c r="G1321" s="322" t="s">
        <v>64</v>
      </c>
      <c r="H1321" s="322" t="s">
        <v>547</v>
      </c>
      <c r="I1321" s="322" t="s">
        <v>42</v>
      </c>
      <c r="J1321" s="75"/>
      <c r="K1321" s="327">
        <v>2.0</v>
      </c>
      <c r="L1321" s="75"/>
      <c r="M1321" s="75"/>
      <c r="N1321" s="75"/>
      <c r="O1321" s="75"/>
      <c r="P1321" s="75"/>
      <c r="Q1321" s="76"/>
      <c r="R1321" s="76"/>
      <c r="S1321" s="322" t="s">
        <v>963</v>
      </c>
      <c r="T1321" s="352" t="s">
        <v>66</v>
      </c>
      <c r="U1321" s="352" t="s">
        <v>99</v>
      </c>
      <c r="V1321" s="352" t="s">
        <v>2922</v>
      </c>
      <c r="W1321" s="77"/>
      <c r="X1321" s="77"/>
      <c r="Y1321" s="77"/>
      <c r="Z1321" s="77"/>
      <c r="AA1321" s="325">
        <v>36226.0</v>
      </c>
      <c r="AB1321" s="325">
        <v>217350.0</v>
      </c>
      <c r="AC1321" s="24" t="s">
        <v>3692</v>
      </c>
      <c r="AD1321" s="195">
        <v>12018.0</v>
      </c>
      <c r="AE1321" s="38"/>
      <c r="AF1321" s="322" t="str">
        <f t="shared" si="1"/>
        <v>Buenos Aires, Argentina</v>
      </c>
      <c r="AG1321" s="322">
        <f t="shared" si="2"/>
        <v>2</v>
      </c>
      <c r="AH1321" s="326">
        <f t="shared" si="3"/>
        <v>0</v>
      </c>
      <c r="AI1321" s="326">
        <f t="shared" si="4"/>
        <v>0</v>
      </c>
      <c r="AJ1321" s="325">
        <f t="shared" si="5"/>
        <v>253576</v>
      </c>
      <c r="AK1321" s="325">
        <f t="shared" si="6"/>
        <v>253576</v>
      </c>
      <c r="AL1321" s="80"/>
      <c r="AM1321" s="80"/>
    </row>
    <row r="1322">
      <c r="A1322" s="322">
        <v>1321.0</v>
      </c>
      <c r="B1322" s="323">
        <v>45243.0</v>
      </c>
      <c r="C1322" s="195" t="str">
        <f t="shared" si="10"/>
        <v>112023</v>
      </c>
      <c r="D1322" s="324" t="s">
        <v>795</v>
      </c>
      <c r="E1322" s="322" t="s">
        <v>796</v>
      </c>
      <c r="F1322" s="324" t="s">
        <v>1427</v>
      </c>
      <c r="G1322" s="322" t="s">
        <v>64</v>
      </c>
      <c r="H1322" s="322" t="s">
        <v>41</v>
      </c>
      <c r="I1322" s="322" t="s">
        <v>643</v>
      </c>
      <c r="J1322" s="75"/>
      <c r="K1322" s="327">
        <v>2.0</v>
      </c>
      <c r="L1322" s="75"/>
      <c r="M1322" s="75"/>
      <c r="N1322" s="75"/>
      <c r="O1322" s="75"/>
      <c r="P1322" s="75"/>
      <c r="Q1322" s="76"/>
      <c r="R1322" s="76"/>
      <c r="S1322" s="322" t="s">
        <v>98</v>
      </c>
      <c r="T1322" s="352" t="s">
        <v>66</v>
      </c>
      <c r="U1322" s="352" t="s">
        <v>99</v>
      </c>
      <c r="V1322" s="352" t="s">
        <v>1984</v>
      </c>
      <c r="W1322" s="77"/>
      <c r="X1322" s="77"/>
      <c r="Y1322" s="77"/>
      <c r="Z1322" s="77"/>
      <c r="AA1322" s="325">
        <v>60375.0</v>
      </c>
      <c r="AB1322" s="325">
        <v>241500.0</v>
      </c>
      <c r="AC1322" s="24" t="s">
        <v>3693</v>
      </c>
      <c r="AD1322" s="195">
        <v>12140.0</v>
      </c>
      <c r="AE1322" s="38"/>
      <c r="AF1322" s="322" t="str">
        <f t="shared" si="1"/>
        <v>Buenos Aires, Argentina</v>
      </c>
      <c r="AG1322" s="322">
        <f t="shared" si="2"/>
        <v>2</v>
      </c>
      <c r="AH1322" s="326">
        <f t="shared" si="3"/>
        <v>0</v>
      </c>
      <c r="AI1322" s="326">
        <f t="shared" si="4"/>
        <v>0</v>
      </c>
      <c r="AJ1322" s="325">
        <f t="shared" si="5"/>
        <v>301875</v>
      </c>
      <c r="AK1322" s="325">
        <f t="shared" si="6"/>
        <v>301875</v>
      </c>
      <c r="AL1322" s="80"/>
      <c r="AM1322" s="80"/>
    </row>
    <row r="1323">
      <c r="A1323" s="322">
        <v>1322.0</v>
      </c>
      <c r="B1323" s="323">
        <v>45244.0</v>
      </c>
      <c r="C1323" s="195" t="str">
        <f t="shared" si="10"/>
        <v>112023</v>
      </c>
      <c r="D1323" s="324" t="s">
        <v>3439</v>
      </c>
      <c r="E1323" s="322" t="s">
        <v>3440</v>
      </c>
      <c r="F1323" s="324" t="s">
        <v>1463</v>
      </c>
      <c r="G1323" s="322" t="s">
        <v>64</v>
      </c>
      <c r="H1323" s="322" t="s">
        <v>41</v>
      </c>
      <c r="I1323" s="322" t="s">
        <v>42</v>
      </c>
      <c r="J1323" s="327">
        <v>1.0</v>
      </c>
      <c r="K1323" s="327">
        <v>2.0</v>
      </c>
      <c r="L1323" s="75"/>
      <c r="M1323" s="75"/>
      <c r="N1323" s="75"/>
      <c r="O1323" s="75"/>
      <c r="P1323" s="75"/>
      <c r="Q1323" s="76"/>
      <c r="R1323" s="76"/>
      <c r="S1323" s="322" t="s">
        <v>105</v>
      </c>
      <c r="T1323" s="352" t="s">
        <v>655</v>
      </c>
      <c r="U1323" s="352" t="s">
        <v>99</v>
      </c>
      <c r="V1323" s="352" t="s">
        <v>2922</v>
      </c>
      <c r="W1323" s="77"/>
      <c r="X1323" s="77"/>
      <c r="Y1323" s="77"/>
      <c r="Z1323" s="77"/>
      <c r="AA1323" s="325">
        <v>100626.0</v>
      </c>
      <c r="AB1323" s="325">
        <v>452817.0</v>
      </c>
      <c r="AC1323" s="24" t="s">
        <v>3694</v>
      </c>
      <c r="AD1323" s="195">
        <v>12130.0</v>
      </c>
      <c r="AE1323" s="38"/>
      <c r="AF1323" s="322" t="str">
        <f t="shared" si="1"/>
        <v>La Pampa, Argentina</v>
      </c>
      <c r="AG1323" s="322">
        <f t="shared" si="2"/>
        <v>3</v>
      </c>
      <c r="AH1323" s="326">
        <f t="shared" si="3"/>
        <v>0</v>
      </c>
      <c r="AI1323" s="326">
        <f t="shared" si="4"/>
        <v>0</v>
      </c>
      <c r="AJ1323" s="325">
        <f t="shared" si="5"/>
        <v>553443</v>
      </c>
      <c r="AK1323" s="325">
        <f t="shared" si="6"/>
        <v>553443</v>
      </c>
      <c r="AL1323" s="80"/>
      <c r="AM1323" s="80"/>
    </row>
    <row r="1324">
      <c r="A1324" s="322">
        <v>1323.0</v>
      </c>
      <c r="B1324" s="323">
        <v>45244.0</v>
      </c>
      <c r="C1324" s="195" t="str">
        <f t="shared" si="10"/>
        <v>112023</v>
      </c>
      <c r="D1324" s="324" t="s">
        <v>3695</v>
      </c>
      <c r="E1324" s="322" t="s">
        <v>3696</v>
      </c>
      <c r="F1324" s="324" t="s">
        <v>3697</v>
      </c>
      <c r="G1324" s="322" t="s">
        <v>40</v>
      </c>
      <c r="H1324" s="322" t="s">
        <v>41</v>
      </c>
      <c r="I1324" s="322" t="s">
        <v>643</v>
      </c>
      <c r="J1324" s="327">
        <v>2.0</v>
      </c>
      <c r="K1324" s="327">
        <v>5.0</v>
      </c>
      <c r="L1324" s="75"/>
      <c r="M1324" s="75"/>
      <c r="N1324" s="75"/>
      <c r="O1324" s="327">
        <v>9.0</v>
      </c>
      <c r="P1324" s="75"/>
      <c r="Q1324" s="76"/>
      <c r="R1324" s="76"/>
      <c r="S1324" s="322" t="s">
        <v>105</v>
      </c>
      <c r="T1324" s="352" t="s">
        <v>44</v>
      </c>
      <c r="U1324" s="352" t="s">
        <v>342</v>
      </c>
      <c r="V1324" s="352" t="s">
        <v>2935</v>
      </c>
      <c r="W1324" s="77"/>
      <c r="X1324" s="77"/>
      <c r="Y1324" s="77"/>
      <c r="Z1324" s="77"/>
      <c r="AA1324" s="325">
        <v>430682.0</v>
      </c>
      <c r="AB1324" s="325">
        <v>1507387.0</v>
      </c>
      <c r="AC1324" s="24" t="s">
        <v>3698</v>
      </c>
      <c r="AD1324" s="195">
        <v>11944.0</v>
      </c>
      <c r="AE1324" s="38"/>
      <c r="AF1324" s="322" t="str">
        <f t="shared" si="1"/>
        <v>Mendoza, Argentina</v>
      </c>
      <c r="AG1324" s="322">
        <f t="shared" si="2"/>
        <v>16</v>
      </c>
      <c r="AH1324" s="326">
        <f t="shared" si="3"/>
        <v>0</v>
      </c>
      <c r="AI1324" s="326">
        <f t="shared" si="4"/>
        <v>0</v>
      </c>
      <c r="AJ1324" s="325">
        <f t="shared" si="5"/>
        <v>1938069</v>
      </c>
      <c r="AK1324" s="325">
        <f t="shared" si="6"/>
        <v>1938069</v>
      </c>
      <c r="AL1324" s="80"/>
      <c r="AM1324" s="80"/>
    </row>
    <row r="1325">
      <c r="A1325" s="322">
        <v>1324.0</v>
      </c>
      <c r="B1325" s="323">
        <v>45245.0</v>
      </c>
      <c r="C1325" s="195" t="str">
        <f t="shared" si="10"/>
        <v>112023</v>
      </c>
      <c r="D1325" s="324" t="s">
        <v>3699</v>
      </c>
      <c r="E1325" s="322" t="s">
        <v>2199</v>
      </c>
      <c r="F1325" s="324" t="s">
        <v>1415</v>
      </c>
      <c r="G1325" s="322" t="s">
        <v>64</v>
      </c>
      <c r="H1325" s="322" t="s">
        <v>41</v>
      </c>
      <c r="I1325" s="322" t="s">
        <v>643</v>
      </c>
      <c r="J1325" s="75"/>
      <c r="K1325" s="327">
        <v>1.0</v>
      </c>
      <c r="L1325" s="75"/>
      <c r="M1325" s="75"/>
      <c r="N1325" s="75"/>
      <c r="O1325" s="75"/>
      <c r="P1325" s="75"/>
      <c r="Q1325" s="76"/>
      <c r="R1325" s="76"/>
      <c r="S1325" s="322" t="s">
        <v>204</v>
      </c>
      <c r="T1325" s="352" t="s">
        <v>879</v>
      </c>
      <c r="U1325" s="352" t="s">
        <v>99</v>
      </c>
      <c r="V1325" s="352" t="s">
        <v>1984</v>
      </c>
      <c r="W1325" s="77"/>
      <c r="X1325" s="77"/>
      <c r="Y1325" s="77"/>
      <c r="Z1325" s="77"/>
      <c r="AA1325" s="325">
        <v>30188.0</v>
      </c>
      <c r="AB1325" s="325">
        <v>120752.0</v>
      </c>
      <c r="AC1325" s="24" t="s">
        <v>3700</v>
      </c>
      <c r="AD1325" s="195">
        <v>12162.0</v>
      </c>
      <c r="AE1325" s="38"/>
      <c r="AF1325" s="322" t="str">
        <f t="shared" si="1"/>
        <v>Salta, Argentina</v>
      </c>
      <c r="AG1325" s="322">
        <f t="shared" si="2"/>
        <v>1</v>
      </c>
      <c r="AH1325" s="326">
        <f t="shared" si="3"/>
        <v>0</v>
      </c>
      <c r="AI1325" s="326">
        <f t="shared" si="4"/>
        <v>0</v>
      </c>
      <c r="AJ1325" s="325">
        <f t="shared" si="5"/>
        <v>150940</v>
      </c>
      <c r="AK1325" s="325">
        <f t="shared" si="6"/>
        <v>150940</v>
      </c>
      <c r="AL1325" s="80"/>
      <c r="AM1325" s="80"/>
    </row>
    <row r="1326">
      <c r="A1326" s="322">
        <v>1325.0</v>
      </c>
      <c r="B1326" s="323">
        <v>45245.0</v>
      </c>
      <c r="C1326" s="195" t="str">
        <f t="shared" si="10"/>
        <v>112023</v>
      </c>
      <c r="D1326" s="324" t="s">
        <v>3701</v>
      </c>
      <c r="E1326" s="322" t="s">
        <v>1739</v>
      </c>
      <c r="F1326" s="324" t="s">
        <v>1878</v>
      </c>
      <c r="G1326" s="322" t="s">
        <v>64</v>
      </c>
      <c r="H1326" s="322" t="s">
        <v>41</v>
      </c>
      <c r="I1326" s="322" t="s">
        <v>643</v>
      </c>
      <c r="J1326" s="75"/>
      <c r="K1326" s="75"/>
      <c r="L1326" s="75"/>
      <c r="M1326" s="75"/>
      <c r="N1326" s="327">
        <v>1.0</v>
      </c>
      <c r="O1326" s="75"/>
      <c r="P1326" s="75"/>
      <c r="Q1326" s="76"/>
      <c r="R1326" s="76"/>
      <c r="S1326" s="322" t="s">
        <v>137</v>
      </c>
      <c r="T1326" s="352" t="s">
        <v>66</v>
      </c>
      <c r="U1326" s="352" t="s">
        <v>99</v>
      </c>
      <c r="V1326" s="352" t="s">
        <v>1984</v>
      </c>
      <c r="W1326" s="77"/>
      <c r="X1326" s="77"/>
      <c r="Y1326" s="77"/>
      <c r="Z1326" s="77"/>
      <c r="AA1326" s="325">
        <v>40250.0</v>
      </c>
      <c r="AB1326" s="325">
        <v>161000.0</v>
      </c>
      <c r="AC1326" s="24" t="s">
        <v>3702</v>
      </c>
      <c r="AD1326" s="195">
        <v>12088.0</v>
      </c>
      <c r="AE1326" s="38"/>
      <c r="AF1326" s="322" t="str">
        <f t="shared" si="1"/>
        <v>Buenos Aires, Argentina</v>
      </c>
      <c r="AG1326" s="322">
        <f t="shared" si="2"/>
        <v>1</v>
      </c>
      <c r="AH1326" s="326">
        <f t="shared" si="3"/>
        <v>0</v>
      </c>
      <c r="AI1326" s="326">
        <f t="shared" si="4"/>
        <v>0</v>
      </c>
      <c r="AJ1326" s="325">
        <f t="shared" si="5"/>
        <v>201250</v>
      </c>
      <c r="AK1326" s="325">
        <f t="shared" si="6"/>
        <v>201250</v>
      </c>
      <c r="AL1326" s="80"/>
      <c r="AM1326" s="80"/>
    </row>
    <row r="1327">
      <c r="A1327" s="322">
        <v>1326.0</v>
      </c>
      <c r="B1327" s="323">
        <v>45245.0</v>
      </c>
      <c r="C1327" s="195" t="str">
        <f t="shared" si="10"/>
        <v>112023</v>
      </c>
      <c r="D1327" s="324" t="s">
        <v>3701</v>
      </c>
      <c r="E1327" s="322" t="s">
        <v>1739</v>
      </c>
      <c r="F1327" s="324" t="s">
        <v>3596</v>
      </c>
      <c r="G1327" s="322" t="s">
        <v>64</v>
      </c>
      <c r="H1327" s="322" t="s">
        <v>41</v>
      </c>
      <c r="I1327" s="322" t="s">
        <v>643</v>
      </c>
      <c r="J1327" s="75"/>
      <c r="K1327" s="75"/>
      <c r="L1327" s="75"/>
      <c r="M1327" s="75"/>
      <c r="N1327" s="75"/>
      <c r="O1327" s="75"/>
      <c r="P1327" s="75"/>
      <c r="Q1327" s="76"/>
      <c r="R1327" s="76"/>
      <c r="S1327" s="322" t="s">
        <v>137</v>
      </c>
      <c r="T1327" s="352" t="s">
        <v>66</v>
      </c>
      <c r="U1327" s="352" t="s">
        <v>99</v>
      </c>
      <c r="V1327" s="352" t="s">
        <v>1984</v>
      </c>
      <c r="W1327" s="325">
        <v>90000.0</v>
      </c>
      <c r="X1327" s="325">
        <v>225000.0</v>
      </c>
      <c r="Y1327" s="77"/>
      <c r="Z1327" s="77"/>
      <c r="AA1327" s="325">
        <v>0.0</v>
      </c>
      <c r="AB1327" s="325">
        <v>0.0</v>
      </c>
      <c r="AC1327" s="24" t="s">
        <v>3703</v>
      </c>
      <c r="AD1327" s="195">
        <v>11642.0</v>
      </c>
      <c r="AE1327" s="38"/>
      <c r="AF1327" s="322" t="str">
        <f t="shared" si="1"/>
        <v>Buenos Aires, Argentina</v>
      </c>
      <c r="AG1327" s="322">
        <f t="shared" si="2"/>
        <v>0</v>
      </c>
      <c r="AH1327" s="326">
        <f t="shared" si="3"/>
        <v>315000</v>
      </c>
      <c r="AI1327" s="326">
        <f t="shared" si="4"/>
        <v>0</v>
      </c>
      <c r="AJ1327" s="325">
        <f t="shared" si="5"/>
        <v>0</v>
      </c>
      <c r="AK1327" s="325">
        <f t="shared" si="6"/>
        <v>315000</v>
      </c>
      <c r="AL1327" s="80"/>
      <c r="AM1327" s="80"/>
    </row>
    <row r="1328">
      <c r="A1328" s="322">
        <v>1327.0</v>
      </c>
      <c r="B1328" s="323">
        <v>45245.0</v>
      </c>
      <c r="C1328" s="195" t="str">
        <f t="shared" si="10"/>
        <v>112023</v>
      </c>
      <c r="D1328" s="324" t="s">
        <v>3704</v>
      </c>
      <c r="E1328" s="322" t="s">
        <v>3705</v>
      </c>
      <c r="F1328" s="324" t="s">
        <v>3706</v>
      </c>
      <c r="G1328" s="322" t="s">
        <v>40</v>
      </c>
      <c r="H1328" s="322" t="s">
        <v>41</v>
      </c>
      <c r="I1328" s="322" t="s">
        <v>643</v>
      </c>
      <c r="J1328" s="327">
        <v>9.0</v>
      </c>
      <c r="K1328" s="327">
        <v>8.0</v>
      </c>
      <c r="L1328" s="75"/>
      <c r="M1328" s="327">
        <v>1.0</v>
      </c>
      <c r="N1328" s="75"/>
      <c r="O1328" s="327">
        <v>3.0</v>
      </c>
      <c r="P1328" s="75"/>
      <c r="Q1328" s="76"/>
      <c r="R1328" s="76"/>
      <c r="S1328" s="322" t="s">
        <v>189</v>
      </c>
      <c r="T1328" s="352" t="s">
        <v>83</v>
      </c>
      <c r="U1328" s="352" t="s">
        <v>342</v>
      </c>
      <c r="V1328" s="352" t="s">
        <v>2935</v>
      </c>
      <c r="W1328" s="77"/>
      <c r="X1328" s="77"/>
      <c r="Y1328" s="77"/>
      <c r="Z1328" s="77"/>
      <c r="AA1328" s="325">
        <v>670168.0</v>
      </c>
      <c r="AB1328" s="325">
        <v>2680672.0</v>
      </c>
      <c r="AC1328" s="24" t="s">
        <v>3707</v>
      </c>
      <c r="AD1328" s="195">
        <v>12078.0</v>
      </c>
      <c r="AE1328" s="38"/>
      <c r="AF1328" s="322" t="str">
        <f t="shared" si="1"/>
        <v>Capital Federal, Argentina</v>
      </c>
      <c r="AG1328" s="322">
        <f t="shared" si="2"/>
        <v>21</v>
      </c>
      <c r="AH1328" s="326">
        <f t="shared" si="3"/>
        <v>0</v>
      </c>
      <c r="AI1328" s="326">
        <f t="shared" si="4"/>
        <v>0</v>
      </c>
      <c r="AJ1328" s="325">
        <f t="shared" si="5"/>
        <v>3350840</v>
      </c>
      <c r="AK1328" s="325">
        <f t="shared" si="6"/>
        <v>3350840</v>
      </c>
      <c r="AL1328" s="80"/>
      <c r="AM1328" s="80"/>
    </row>
    <row r="1329">
      <c r="A1329" s="322">
        <v>1328.0</v>
      </c>
      <c r="B1329" s="323">
        <v>45246.0</v>
      </c>
      <c r="C1329" s="195" t="str">
        <f t="shared" si="10"/>
        <v>112023</v>
      </c>
      <c r="D1329" s="324" t="s">
        <v>3708</v>
      </c>
      <c r="E1329" s="322" t="s">
        <v>3709</v>
      </c>
      <c r="F1329" s="324" t="s">
        <v>3710</v>
      </c>
      <c r="G1329" s="322" t="s">
        <v>40</v>
      </c>
      <c r="H1329" s="322" t="s">
        <v>547</v>
      </c>
      <c r="I1329" s="322" t="s">
        <v>42</v>
      </c>
      <c r="J1329" s="327">
        <v>1.0</v>
      </c>
      <c r="K1329" s="327">
        <v>1.0</v>
      </c>
      <c r="L1329" s="75"/>
      <c r="M1329" s="327">
        <v>1.0</v>
      </c>
      <c r="N1329" s="75"/>
      <c r="O1329" s="75"/>
      <c r="P1329" s="75"/>
      <c r="Q1329" s="76"/>
      <c r="R1329" s="76"/>
      <c r="S1329" s="322" t="s">
        <v>137</v>
      </c>
      <c r="T1329" s="352" t="s">
        <v>66</v>
      </c>
      <c r="U1329" s="352" t="s">
        <v>45</v>
      </c>
      <c r="V1329" s="352" t="s">
        <v>3594</v>
      </c>
      <c r="W1329" s="77"/>
      <c r="X1329" s="77"/>
      <c r="Y1329" s="77"/>
      <c r="Z1329" s="77"/>
      <c r="AA1329" s="325">
        <v>42263.0</v>
      </c>
      <c r="AB1329" s="325">
        <v>169052.0</v>
      </c>
      <c r="AC1329" s="24" t="s">
        <v>3711</v>
      </c>
      <c r="AD1329" s="195">
        <v>12144.0</v>
      </c>
      <c r="AE1329" s="38"/>
      <c r="AF1329" s="322" t="str">
        <f t="shared" si="1"/>
        <v>Buenos Aires, Argentina</v>
      </c>
      <c r="AG1329" s="322">
        <f t="shared" si="2"/>
        <v>3</v>
      </c>
      <c r="AH1329" s="326">
        <f t="shared" si="3"/>
        <v>0</v>
      </c>
      <c r="AI1329" s="326">
        <f t="shared" si="4"/>
        <v>0</v>
      </c>
      <c r="AJ1329" s="325">
        <f t="shared" si="5"/>
        <v>211315</v>
      </c>
      <c r="AK1329" s="325">
        <f t="shared" si="6"/>
        <v>211315</v>
      </c>
      <c r="AL1329" s="80"/>
      <c r="AM1329" s="80"/>
    </row>
    <row r="1330">
      <c r="A1330" s="322">
        <v>1329.0</v>
      </c>
      <c r="B1330" s="323">
        <v>45247.0</v>
      </c>
      <c r="C1330" s="195" t="str">
        <f t="shared" si="10"/>
        <v>112023</v>
      </c>
      <c r="D1330" s="324" t="s">
        <v>3712</v>
      </c>
      <c r="E1330" s="322" t="s">
        <v>3713</v>
      </c>
      <c r="F1330" s="324" t="s">
        <v>3714</v>
      </c>
      <c r="G1330" s="322" t="s">
        <v>40</v>
      </c>
      <c r="H1330" s="322" t="s">
        <v>547</v>
      </c>
      <c r="I1330" s="322" t="s">
        <v>42</v>
      </c>
      <c r="J1330" s="327">
        <v>1.0</v>
      </c>
      <c r="K1330" s="327">
        <v>1.0</v>
      </c>
      <c r="L1330" s="75"/>
      <c r="M1330" s="327">
        <v>1.0</v>
      </c>
      <c r="N1330" s="75"/>
      <c r="O1330" s="327">
        <v>1.0</v>
      </c>
      <c r="P1330" s="75"/>
      <c r="Q1330" s="76"/>
      <c r="R1330" s="76"/>
      <c r="S1330" s="322" t="s">
        <v>137</v>
      </c>
      <c r="T1330" s="352" t="s">
        <v>263</v>
      </c>
      <c r="U1330" s="352" t="s">
        <v>342</v>
      </c>
      <c r="V1330" s="352" t="s">
        <v>3594</v>
      </c>
      <c r="W1330" s="77"/>
      <c r="X1330" s="77"/>
      <c r="Y1330" s="77"/>
      <c r="Z1330" s="77"/>
      <c r="AA1330" s="325">
        <v>55546.0</v>
      </c>
      <c r="AB1330" s="325">
        <v>222184.0</v>
      </c>
      <c r="AC1330" s="24" t="s">
        <v>3715</v>
      </c>
      <c r="AD1330" s="195">
        <v>12138.0</v>
      </c>
      <c r="AE1330" s="38"/>
      <c r="AF1330" s="322" t="str">
        <f t="shared" si="1"/>
        <v>Santa Fé, Argentina</v>
      </c>
      <c r="AG1330" s="322">
        <f t="shared" si="2"/>
        <v>4</v>
      </c>
      <c r="AH1330" s="326">
        <f t="shared" si="3"/>
        <v>0</v>
      </c>
      <c r="AI1330" s="326">
        <f t="shared" si="4"/>
        <v>0</v>
      </c>
      <c r="AJ1330" s="325">
        <f t="shared" si="5"/>
        <v>277730</v>
      </c>
      <c r="AK1330" s="325">
        <f t="shared" si="6"/>
        <v>277730</v>
      </c>
      <c r="AL1330" s="80"/>
      <c r="AM1330" s="80"/>
    </row>
    <row r="1331">
      <c r="A1331" s="322">
        <v>1330.0</v>
      </c>
      <c r="B1331" s="323">
        <v>45247.0</v>
      </c>
      <c r="C1331" s="195" t="str">
        <f t="shared" si="10"/>
        <v>112023</v>
      </c>
      <c r="D1331" s="324" t="s">
        <v>3716</v>
      </c>
      <c r="E1331" s="322" t="s">
        <v>3717</v>
      </c>
      <c r="F1331" s="324" t="s">
        <v>3718</v>
      </c>
      <c r="G1331" s="322" t="s">
        <v>40</v>
      </c>
      <c r="H1331" s="322" t="s">
        <v>547</v>
      </c>
      <c r="I1331" s="322" t="s">
        <v>42</v>
      </c>
      <c r="J1331" s="327">
        <v>1.0</v>
      </c>
      <c r="K1331" s="75"/>
      <c r="L1331" s="75"/>
      <c r="M1331" s="327">
        <v>1.0</v>
      </c>
      <c r="N1331" s="75"/>
      <c r="O1331" s="327">
        <v>2.0</v>
      </c>
      <c r="P1331" s="75"/>
      <c r="Q1331" s="76"/>
      <c r="R1331" s="76"/>
      <c r="S1331" s="322" t="s">
        <v>105</v>
      </c>
      <c r="T1331" s="352" t="s">
        <v>66</v>
      </c>
      <c r="U1331" s="352" t="s">
        <v>342</v>
      </c>
      <c r="V1331" s="352" t="s">
        <v>2922</v>
      </c>
      <c r="W1331" s="77"/>
      <c r="X1331" s="77"/>
      <c r="Y1331" s="77"/>
      <c r="Z1331" s="77"/>
      <c r="AA1331" s="325">
        <v>50716.0</v>
      </c>
      <c r="AB1331" s="325">
        <v>228222.0</v>
      </c>
      <c r="AC1331" s="24" t="s">
        <v>3719</v>
      </c>
      <c r="AD1331" s="195">
        <v>11170.0</v>
      </c>
      <c r="AE1331" s="38"/>
      <c r="AF1331" s="322" t="str">
        <f t="shared" si="1"/>
        <v>Buenos Aires, Argentina</v>
      </c>
      <c r="AG1331" s="322">
        <f t="shared" si="2"/>
        <v>4</v>
      </c>
      <c r="AH1331" s="326">
        <f t="shared" si="3"/>
        <v>0</v>
      </c>
      <c r="AI1331" s="326">
        <f t="shared" si="4"/>
        <v>0</v>
      </c>
      <c r="AJ1331" s="325">
        <f t="shared" si="5"/>
        <v>278938</v>
      </c>
      <c r="AK1331" s="325">
        <f t="shared" si="6"/>
        <v>278938</v>
      </c>
      <c r="AL1331" s="80"/>
      <c r="AM1331" s="80"/>
    </row>
    <row r="1332">
      <c r="A1332" s="322">
        <v>1331.0</v>
      </c>
      <c r="B1332" s="323">
        <v>45247.0</v>
      </c>
      <c r="C1332" s="195" t="str">
        <f t="shared" si="10"/>
        <v>112023</v>
      </c>
      <c r="D1332" s="324" t="s">
        <v>3720</v>
      </c>
      <c r="E1332" s="322" t="s">
        <v>3721</v>
      </c>
      <c r="F1332" s="324" t="s">
        <v>3722</v>
      </c>
      <c r="G1332" s="322" t="s">
        <v>40</v>
      </c>
      <c r="H1332" s="322" t="s">
        <v>547</v>
      </c>
      <c r="I1332" s="322" t="s">
        <v>42</v>
      </c>
      <c r="J1332" s="327">
        <v>2.0</v>
      </c>
      <c r="K1332" s="75"/>
      <c r="L1332" s="75"/>
      <c r="M1332" s="327">
        <v>1.0</v>
      </c>
      <c r="N1332" s="75"/>
      <c r="O1332" s="75"/>
      <c r="P1332" s="75"/>
      <c r="Q1332" s="76"/>
      <c r="R1332" s="76"/>
      <c r="S1332" s="322" t="s">
        <v>51</v>
      </c>
      <c r="T1332" s="352" t="s">
        <v>839</v>
      </c>
      <c r="U1332" s="352" t="s">
        <v>45</v>
      </c>
      <c r="V1332" s="352" t="s">
        <v>3594</v>
      </c>
      <c r="W1332" s="77"/>
      <c r="X1332" s="77"/>
      <c r="Y1332" s="77"/>
      <c r="Z1332" s="77"/>
      <c r="AA1332" s="325">
        <v>48300.0</v>
      </c>
      <c r="AB1332" s="325">
        <v>193200.0</v>
      </c>
      <c r="AC1332" s="24" t="s">
        <v>3723</v>
      </c>
      <c r="AD1332" s="195">
        <v>12152.0</v>
      </c>
      <c r="AE1332" s="38"/>
      <c r="AF1332" s="322" t="str">
        <f t="shared" si="1"/>
        <v>Neuquén, Argentina</v>
      </c>
      <c r="AG1332" s="322">
        <f t="shared" si="2"/>
        <v>3</v>
      </c>
      <c r="AH1332" s="326">
        <f t="shared" si="3"/>
        <v>0</v>
      </c>
      <c r="AI1332" s="326">
        <f t="shared" si="4"/>
        <v>0</v>
      </c>
      <c r="AJ1332" s="325">
        <f t="shared" si="5"/>
        <v>241500</v>
      </c>
      <c r="AK1332" s="325">
        <f t="shared" si="6"/>
        <v>241500</v>
      </c>
      <c r="AL1332" s="80"/>
      <c r="AM1332" s="80"/>
    </row>
    <row r="1333">
      <c r="A1333" s="322">
        <v>1332.0</v>
      </c>
      <c r="B1333" s="323">
        <v>45247.0</v>
      </c>
      <c r="C1333" s="195" t="str">
        <f t="shared" si="10"/>
        <v>112023</v>
      </c>
      <c r="D1333" s="324" t="s">
        <v>2048</v>
      </c>
      <c r="E1333" s="322" t="s">
        <v>2049</v>
      </c>
      <c r="F1333" s="324" t="s">
        <v>1415</v>
      </c>
      <c r="G1333" s="322" t="s">
        <v>64</v>
      </c>
      <c r="H1333" s="322" t="s">
        <v>41</v>
      </c>
      <c r="I1333" s="322" t="s">
        <v>643</v>
      </c>
      <c r="J1333" s="75"/>
      <c r="K1333" s="327">
        <v>1.0</v>
      </c>
      <c r="L1333" s="75"/>
      <c r="M1333" s="75"/>
      <c r="N1333" s="75"/>
      <c r="O1333" s="75"/>
      <c r="P1333" s="75"/>
      <c r="Q1333" s="76"/>
      <c r="R1333" s="76"/>
      <c r="S1333" s="322" t="s">
        <v>98</v>
      </c>
      <c r="T1333" s="352" t="s">
        <v>58</v>
      </c>
      <c r="U1333" s="352" t="s">
        <v>99</v>
      </c>
      <c r="V1333" s="352" t="s">
        <v>1984</v>
      </c>
      <c r="W1333" s="77"/>
      <c r="X1333" s="77"/>
      <c r="Y1333" s="77"/>
      <c r="Z1333" s="77"/>
      <c r="AA1333" s="325">
        <v>30188.0</v>
      </c>
      <c r="AB1333" s="325">
        <v>135846.0</v>
      </c>
      <c r="AC1333" s="24" t="s">
        <v>3724</v>
      </c>
      <c r="AD1333" s="195">
        <v>12118.0</v>
      </c>
      <c r="AE1333" s="38"/>
      <c r="AF1333" s="322" t="str">
        <f t="shared" si="1"/>
        <v>Córdoba, Argentina</v>
      </c>
      <c r="AG1333" s="322">
        <f t="shared" si="2"/>
        <v>1</v>
      </c>
      <c r="AH1333" s="326">
        <f t="shared" si="3"/>
        <v>0</v>
      </c>
      <c r="AI1333" s="326">
        <f t="shared" si="4"/>
        <v>0</v>
      </c>
      <c r="AJ1333" s="325">
        <f t="shared" si="5"/>
        <v>166034</v>
      </c>
      <c r="AK1333" s="325">
        <f t="shared" si="6"/>
        <v>166034</v>
      </c>
      <c r="AL1333" s="80"/>
      <c r="AM1333" s="80"/>
    </row>
    <row r="1334">
      <c r="A1334" s="322">
        <v>1333.0</v>
      </c>
      <c r="B1334" s="323">
        <v>45247.0</v>
      </c>
      <c r="C1334" s="195" t="str">
        <f t="shared" si="10"/>
        <v>112023</v>
      </c>
      <c r="D1334" s="324" t="s">
        <v>3725</v>
      </c>
      <c r="E1334" s="322" t="s">
        <v>3522</v>
      </c>
      <c r="F1334" s="324" t="s">
        <v>3333</v>
      </c>
      <c r="G1334" s="322" t="s">
        <v>64</v>
      </c>
      <c r="H1334" s="322" t="s">
        <v>41</v>
      </c>
      <c r="I1334" s="322" t="s">
        <v>643</v>
      </c>
      <c r="J1334" s="75"/>
      <c r="K1334" s="75"/>
      <c r="L1334" s="75"/>
      <c r="M1334" s="75"/>
      <c r="N1334" s="75"/>
      <c r="O1334" s="75"/>
      <c r="P1334" s="75"/>
      <c r="Q1334" s="76"/>
      <c r="R1334" s="76"/>
      <c r="S1334" s="322" t="s">
        <v>105</v>
      </c>
      <c r="T1334" s="352" t="s">
        <v>73</v>
      </c>
      <c r="U1334" s="352" t="s">
        <v>99</v>
      </c>
      <c r="V1334" s="352" t="s">
        <v>1984</v>
      </c>
      <c r="W1334" s="77"/>
      <c r="X1334" s="77"/>
      <c r="Y1334" s="77"/>
      <c r="Z1334" s="77"/>
      <c r="AA1334" s="325">
        <v>0.0</v>
      </c>
      <c r="AB1334" s="325">
        <v>72450.0</v>
      </c>
      <c r="AC1334" s="24" t="s">
        <v>3726</v>
      </c>
      <c r="AD1334" s="195">
        <v>11372.0</v>
      </c>
      <c r="AE1334" s="38"/>
      <c r="AF1334" s="322" t="str">
        <f t="shared" si="1"/>
        <v>Tierra de Fuego, Argentina</v>
      </c>
      <c r="AG1334" s="322">
        <f t="shared" si="2"/>
        <v>0</v>
      </c>
      <c r="AH1334" s="326">
        <f t="shared" si="3"/>
        <v>0</v>
      </c>
      <c r="AI1334" s="326">
        <f t="shared" si="4"/>
        <v>0</v>
      </c>
      <c r="AJ1334" s="325">
        <f t="shared" si="5"/>
        <v>72450</v>
      </c>
      <c r="AK1334" s="325">
        <f t="shared" si="6"/>
        <v>72450</v>
      </c>
      <c r="AL1334" s="80"/>
      <c r="AM1334" s="80"/>
    </row>
    <row r="1335">
      <c r="A1335" s="322">
        <v>1334.0</v>
      </c>
      <c r="B1335" s="323">
        <v>45247.0</v>
      </c>
      <c r="C1335" s="195" t="str">
        <f t="shared" si="10"/>
        <v>112023</v>
      </c>
      <c r="D1335" s="324" t="s">
        <v>3442</v>
      </c>
      <c r="E1335" s="322" t="s">
        <v>3443</v>
      </c>
      <c r="F1335" s="324" t="s">
        <v>3727</v>
      </c>
      <c r="G1335" s="322" t="s">
        <v>64</v>
      </c>
      <c r="H1335" s="322" t="s">
        <v>41</v>
      </c>
      <c r="I1335" s="322" t="s">
        <v>643</v>
      </c>
      <c r="J1335" s="75"/>
      <c r="K1335" s="75"/>
      <c r="L1335" s="75"/>
      <c r="M1335" s="75"/>
      <c r="N1335" s="75"/>
      <c r="O1335" s="75"/>
      <c r="P1335" s="75"/>
      <c r="Q1335" s="76"/>
      <c r="R1335" s="76"/>
      <c r="S1335" s="322" t="s">
        <v>109</v>
      </c>
      <c r="T1335" s="352" t="s">
        <v>66</v>
      </c>
      <c r="U1335" s="352" t="s">
        <v>99</v>
      </c>
      <c r="V1335" s="352" t="s">
        <v>1984</v>
      </c>
      <c r="W1335" s="77"/>
      <c r="X1335" s="77"/>
      <c r="Y1335" s="77"/>
      <c r="Z1335" s="77"/>
      <c r="AA1335" s="325">
        <v>0.0</v>
      </c>
      <c r="AB1335" s="325">
        <v>521640.0</v>
      </c>
      <c r="AC1335" s="24" t="s">
        <v>3728</v>
      </c>
      <c r="AD1335" s="195">
        <v>12328.0</v>
      </c>
      <c r="AE1335" s="38"/>
      <c r="AF1335" s="322" t="str">
        <f t="shared" si="1"/>
        <v>Buenos Aires, Argentina</v>
      </c>
      <c r="AG1335" s="322">
        <f t="shared" si="2"/>
        <v>0</v>
      </c>
      <c r="AH1335" s="326">
        <f t="shared" si="3"/>
        <v>0</v>
      </c>
      <c r="AI1335" s="326">
        <f t="shared" si="4"/>
        <v>0</v>
      </c>
      <c r="AJ1335" s="325">
        <f t="shared" si="5"/>
        <v>521640</v>
      </c>
      <c r="AK1335" s="325">
        <f t="shared" si="6"/>
        <v>521640</v>
      </c>
      <c r="AL1335" s="80"/>
      <c r="AM1335" s="80"/>
    </row>
    <row r="1336">
      <c r="A1336" s="322">
        <v>1335.0</v>
      </c>
      <c r="B1336" s="323">
        <v>45251.0</v>
      </c>
      <c r="C1336" s="195" t="str">
        <f t="shared" si="10"/>
        <v>112023</v>
      </c>
      <c r="D1336" s="324" t="s">
        <v>2487</v>
      </c>
      <c r="E1336" s="322" t="s">
        <v>2488</v>
      </c>
      <c r="F1336" s="324" t="s">
        <v>3333</v>
      </c>
      <c r="G1336" s="322" t="s">
        <v>64</v>
      </c>
      <c r="H1336" s="322" t="s">
        <v>41</v>
      </c>
      <c r="I1336" s="322" t="s">
        <v>643</v>
      </c>
      <c r="J1336" s="75"/>
      <c r="K1336" s="75"/>
      <c r="L1336" s="75"/>
      <c r="M1336" s="75"/>
      <c r="N1336" s="75"/>
      <c r="O1336" s="75"/>
      <c r="P1336" s="75"/>
      <c r="Q1336" s="76"/>
      <c r="R1336" s="76"/>
      <c r="S1336" s="322" t="s">
        <v>109</v>
      </c>
      <c r="T1336" s="352" t="s">
        <v>66</v>
      </c>
      <c r="U1336" s="352" t="s">
        <v>99</v>
      </c>
      <c r="V1336" s="352" t="s">
        <v>1984</v>
      </c>
      <c r="W1336" s="77"/>
      <c r="X1336" s="77"/>
      <c r="Y1336" s="77"/>
      <c r="Z1336" s="77"/>
      <c r="AA1336" s="325">
        <v>0.0</v>
      </c>
      <c r="AB1336" s="325">
        <v>64400.0</v>
      </c>
      <c r="AC1336" s="24" t="s">
        <v>3729</v>
      </c>
      <c r="AD1336" s="195">
        <v>12136.0</v>
      </c>
      <c r="AE1336" s="38"/>
      <c r="AF1336" s="322" t="str">
        <f t="shared" si="1"/>
        <v>Buenos Aires, Argentina</v>
      </c>
      <c r="AG1336" s="322">
        <f t="shared" si="2"/>
        <v>0</v>
      </c>
      <c r="AH1336" s="326">
        <f t="shared" si="3"/>
        <v>0</v>
      </c>
      <c r="AI1336" s="326">
        <f t="shared" si="4"/>
        <v>0</v>
      </c>
      <c r="AJ1336" s="325">
        <f t="shared" si="5"/>
        <v>64400</v>
      </c>
      <c r="AK1336" s="325">
        <f t="shared" si="6"/>
        <v>64400</v>
      </c>
      <c r="AL1336" s="80"/>
      <c r="AM1336" s="80"/>
    </row>
    <row r="1337">
      <c r="A1337" s="322">
        <v>1336.0</v>
      </c>
      <c r="B1337" s="323">
        <v>45253.0</v>
      </c>
      <c r="C1337" s="195" t="str">
        <f t="shared" si="10"/>
        <v>112023</v>
      </c>
      <c r="D1337" s="324" t="s">
        <v>3730</v>
      </c>
      <c r="E1337" s="322" t="s">
        <v>3731</v>
      </c>
      <c r="F1337" s="324" t="s">
        <v>3732</v>
      </c>
      <c r="G1337" s="322" t="s">
        <v>40</v>
      </c>
      <c r="H1337" s="322" t="s">
        <v>41</v>
      </c>
      <c r="I1337" s="322" t="s">
        <v>42</v>
      </c>
      <c r="J1337" s="327">
        <v>1.0</v>
      </c>
      <c r="K1337" s="327">
        <v>2.0</v>
      </c>
      <c r="L1337" s="75"/>
      <c r="M1337" s="327">
        <v>1.0</v>
      </c>
      <c r="N1337" s="75"/>
      <c r="O1337" s="327">
        <v>8.0</v>
      </c>
      <c r="P1337" s="75"/>
      <c r="Q1337" s="76"/>
      <c r="R1337" s="76"/>
      <c r="S1337" s="322" t="s">
        <v>105</v>
      </c>
      <c r="T1337" s="352" t="s">
        <v>539</v>
      </c>
      <c r="U1337" s="352" t="s">
        <v>3630</v>
      </c>
      <c r="V1337" s="352" t="s">
        <v>2922</v>
      </c>
      <c r="W1337" s="77"/>
      <c r="X1337" s="77"/>
      <c r="Y1337" s="77"/>
      <c r="Z1337" s="77"/>
      <c r="AA1337" s="325">
        <v>277730.0</v>
      </c>
      <c r="AB1337" s="325">
        <v>1110920.0</v>
      </c>
      <c r="AC1337" s="24" t="s">
        <v>3733</v>
      </c>
      <c r="AD1337" s="195">
        <v>11816.0</v>
      </c>
      <c r="AE1337" s="38"/>
      <c r="AF1337" s="322" t="str">
        <f t="shared" si="1"/>
        <v>Misiones, Argentina</v>
      </c>
      <c r="AG1337" s="322">
        <f t="shared" si="2"/>
        <v>12</v>
      </c>
      <c r="AH1337" s="326">
        <f t="shared" si="3"/>
        <v>0</v>
      </c>
      <c r="AI1337" s="326">
        <f t="shared" si="4"/>
        <v>0</v>
      </c>
      <c r="AJ1337" s="325">
        <f t="shared" si="5"/>
        <v>1388650</v>
      </c>
      <c r="AK1337" s="325">
        <f t="shared" si="6"/>
        <v>1388650</v>
      </c>
      <c r="AL1337" s="80"/>
      <c r="AM1337" s="80"/>
    </row>
    <row r="1338">
      <c r="A1338" s="322">
        <v>1337.0</v>
      </c>
      <c r="B1338" s="323">
        <v>45253.0</v>
      </c>
      <c r="C1338" s="195" t="str">
        <f t="shared" si="10"/>
        <v>112023</v>
      </c>
      <c r="D1338" s="324" t="s">
        <v>3734</v>
      </c>
      <c r="E1338" s="322" t="s">
        <v>3735</v>
      </c>
      <c r="F1338" s="324" t="s">
        <v>3736</v>
      </c>
      <c r="G1338" s="322" t="s">
        <v>40</v>
      </c>
      <c r="H1338" s="322" t="s">
        <v>41</v>
      </c>
      <c r="I1338" s="322" t="s">
        <v>42</v>
      </c>
      <c r="J1338" s="327">
        <v>3.0</v>
      </c>
      <c r="K1338" s="327">
        <v>3.0</v>
      </c>
      <c r="L1338" s="75"/>
      <c r="M1338" s="327">
        <v>1.0</v>
      </c>
      <c r="N1338" s="75"/>
      <c r="O1338" s="327">
        <v>3.0</v>
      </c>
      <c r="P1338" s="75"/>
      <c r="Q1338" s="76"/>
      <c r="R1338" s="76"/>
      <c r="S1338" s="322" t="s">
        <v>137</v>
      </c>
      <c r="T1338" s="352" t="s">
        <v>66</v>
      </c>
      <c r="U1338" s="352" t="s">
        <v>45</v>
      </c>
      <c r="V1338" s="352" t="s">
        <v>3594</v>
      </c>
      <c r="W1338" s="77"/>
      <c r="X1338" s="77"/>
      <c r="Y1338" s="77"/>
      <c r="Z1338" s="77"/>
      <c r="AA1338" s="325">
        <v>277728.0</v>
      </c>
      <c r="AB1338" s="325">
        <v>1110912.0</v>
      </c>
      <c r="AC1338" s="24" t="s">
        <v>3737</v>
      </c>
      <c r="AD1338" s="195">
        <v>12040.0</v>
      </c>
      <c r="AE1338" s="38"/>
      <c r="AF1338" s="322" t="str">
        <f t="shared" si="1"/>
        <v>Buenos Aires, Argentina</v>
      </c>
      <c r="AG1338" s="322">
        <f t="shared" si="2"/>
        <v>10</v>
      </c>
      <c r="AH1338" s="326">
        <f t="shared" si="3"/>
        <v>0</v>
      </c>
      <c r="AI1338" s="326">
        <f t="shared" si="4"/>
        <v>0</v>
      </c>
      <c r="AJ1338" s="325">
        <f t="shared" si="5"/>
        <v>1388640</v>
      </c>
      <c r="AK1338" s="325">
        <f t="shared" si="6"/>
        <v>1388640</v>
      </c>
      <c r="AL1338" s="80"/>
      <c r="AM1338" s="80"/>
    </row>
    <row r="1339">
      <c r="A1339" s="322">
        <v>1338.0</v>
      </c>
      <c r="B1339" s="323">
        <v>45254.0</v>
      </c>
      <c r="C1339" s="195" t="str">
        <f t="shared" si="10"/>
        <v>112023</v>
      </c>
      <c r="D1339" s="324" t="s">
        <v>2048</v>
      </c>
      <c r="E1339" s="322" t="s">
        <v>2049</v>
      </c>
      <c r="F1339" s="324" t="s">
        <v>2008</v>
      </c>
      <c r="G1339" s="322" t="s">
        <v>64</v>
      </c>
      <c r="H1339" s="322" t="s">
        <v>41</v>
      </c>
      <c r="I1339" s="322" t="s">
        <v>643</v>
      </c>
      <c r="J1339" s="75"/>
      <c r="K1339" s="75"/>
      <c r="L1339" s="75"/>
      <c r="M1339" s="75"/>
      <c r="N1339" s="327">
        <v>1.0</v>
      </c>
      <c r="O1339" s="75"/>
      <c r="P1339" s="75"/>
      <c r="Q1339" s="76"/>
      <c r="R1339" s="76"/>
      <c r="S1339" s="322" t="s">
        <v>98</v>
      </c>
      <c r="T1339" s="352" t="s">
        <v>58</v>
      </c>
      <c r="U1339" s="352" t="s">
        <v>99</v>
      </c>
      <c r="V1339" s="352" t="s">
        <v>1984</v>
      </c>
      <c r="W1339" s="77"/>
      <c r="X1339" s="77"/>
      <c r="Y1339" s="77"/>
      <c r="Z1339" s="77"/>
      <c r="AA1339" s="325">
        <v>40250.0</v>
      </c>
      <c r="AB1339" s="325">
        <v>161000.0</v>
      </c>
      <c r="AC1339" s="24" t="s">
        <v>3738</v>
      </c>
      <c r="AD1339" s="195">
        <v>11704.0</v>
      </c>
      <c r="AE1339" s="38"/>
      <c r="AF1339" s="322" t="str">
        <f t="shared" si="1"/>
        <v>Córdoba, Argentina</v>
      </c>
      <c r="AG1339" s="322">
        <f t="shared" si="2"/>
        <v>1</v>
      </c>
      <c r="AH1339" s="326">
        <f t="shared" si="3"/>
        <v>0</v>
      </c>
      <c r="AI1339" s="326">
        <f t="shared" si="4"/>
        <v>0</v>
      </c>
      <c r="AJ1339" s="325">
        <f t="shared" si="5"/>
        <v>201250</v>
      </c>
      <c r="AK1339" s="325">
        <f t="shared" si="6"/>
        <v>201250</v>
      </c>
      <c r="AL1339" s="80"/>
      <c r="AM1339" s="80"/>
    </row>
    <row r="1340">
      <c r="A1340" s="322">
        <v>1339.0</v>
      </c>
      <c r="B1340" s="323">
        <v>45254.0</v>
      </c>
      <c r="C1340" s="195" t="str">
        <f t="shared" si="10"/>
        <v>112023</v>
      </c>
      <c r="D1340" s="324" t="s">
        <v>3739</v>
      </c>
      <c r="E1340" s="322" t="s">
        <v>3740</v>
      </c>
      <c r="F1340" s="324" t="s">
        <v>3741</v>
      </c>
      <c r="G1340" s="322" t="s">
        <v>40</v>
      </c>
      <c r="H1340" s="322" t="s">
        <v>41</v>
      </c>
      <c r="I1340" s="322" t="s">
        <v>42</v>
      </c>
      <c r="J1340" s="327">
        <v>1.0</v>
      </c>
      <c r="K1340" s="75"/>
      <c r="L1340" s="75"/>
      <c r="M1340" s="327">
        <v>1.0</v>
      </c>
      <c r="N1340" s="75"/>
      <c r="O1340" s="75"/>
      <c r="P1340" s="75"/>
      <c r="Q1340" s="76"/>
      <c r="R1340" s="76"/>
      <c r="S1340" s="322" t="s">
        <v>137</v>
      </c>
      <c r="T1340" s="352" t="s">
        <v>66</v>
      </c>
      <c r="U1340" s="352" t="s">
        <v>45</v>
      </c>
      <c r="V1340" s="352" t="s">
        <v>3594</v>
      </c>
      <c r="W1340" s="77"/>
      <c r="X1340" s="77"/>
      <c r="Y1340" s="77"/>
      <c r="Z1340" s="77"/>
      <c r="AA1340" s="325">
        <v>40250.0</v>
      </c>
      <c r="AB1340" s="325">
        <v>181125.0</v>
      </c>
      <c r="AC1340" s="24" t="s">
        <v>3742</v>
      </c>
      <c r="AD1340" s="195">
        <v>12396.0</v>
      </c>
      <c r="AE1340" s="38"/>
      <c r="AF1340" s="322" t="str">
        <f t="shared" si="1"/>
        <v>Buenos Aires, Argentina</v>
      </c>
      <c r="AG1340" s="322">
        <f t="shared" si="2"/>
        <v>2</v>
      </c>
      <c r="AH1340" s="326">
        <f t="shared" si="3"/>
        <v>0</v>
      </c>
      <c r="AI1340" s="326">
        <f t="shared" si="4"/>
        <v>0</v>
      </c>
      <c r="AJ1340" s="325">
        <f t="shared" si="5"/>
        <v>221375</v>
      </c>
      <c r="AK1340" s="325">
        <f t="shared" si="6"/>
        <v>221375</v>
      </c>
      <c r="AL1340" s="80"/>
      <c r="AM1340" s="80"/>
    </row>
    <row r="1341">
      <c r="A1341" s="322">
        <v>1340.0</v>
      </c>
      <c r="B1341" s="323">
        <v>45254.0</v>
      </c>
      <c r="C1341" s="195" t="str">
        <f t="shared" si="10"/>
        <v>112023</v>
      </c>
      <c r="D1341" s="324" t="s">
        <v>3743</v>
      </c>
      <c r="E1341" s="322" t="s">
        <v>3744</v>
      </c>
      <c r="F1341" s="324" t="s">
        <v>3722</v>
      </c>
      <c r="G1341" s="322" t="s">
        <v>40</v>
      </c>
      <c r="H1341" s="322" t="s">
        <v>41</v>
      </c>
      <c r="I1341" s="322" t="s">
        <v>42</v>
      </c>
      <c r="J1341" s="327">
        <v>2.0</v>
      </c>
      <c r="K1341" s="75"/>
      <c r="L1341" s="75"/>
      <c r="M1341" s="327">
        <v>1.0</v>
      </c>
      <c r="N1341" s="75"/>
      <c r="O1341" s="75"/>
      <c r="P1341" s="75"/>
      <c r="Q1341" s="76"/>
      <c r="R1341" s="76"/>
      <c r="S1341" s="322" t="s">
        <v>114</v>
      </c>
      <c r="T1341" s="352" t="s">
        <v>263</v>
      </c>
      <c r="U1341" s="352" t="s">
        <v>45</v>
      </c>
      <c r="V1341" s="352" t="s">
        <v>3545</v>
      </c>
      <c r="W1341" s="77"/>
      <c r="X1341" s="77"/>
      <c r="Y1341" s="77"/>
      <c r="Z1341" s="77"/>
      <c r="AA1341" s="325">
        <v>80500.0</v>
      </c>
      <c r="AB1341" s="325">
        <v>322000.0</v>
      </c>
      <c r="AC1341" s="24" t="s">
        <v>3745</v>
      </c>
      <c r="AD1341" s="195">
        <v>11280.0</v>
      </c>
      <c r="AE1341" s="38"/>
      <c r="AF1341" s="322" t="str">
        <f t="shared" si="1"/>
        <v>Santa Fé, Argentina</v>
      </c>
      <c r="AG1341" s="322">
        <f t="shared" si="2"/>
        <v>3</v>
      </c>
      <c r="AH1341" s="326">
        <f t="shared" si="3"/>
        <v>0</v>
      </c>
      <c r="AI1341" s="326">
        <f t="shared" si="4"/>
        <v>0</v>
      </c>
      <c r="AJ1341" s="325">
        <f t="shared" si="5"/>
        <v>402500</v>
      </c>
      <c r="AK1341" s="325">
        <f t="shared" si="6"/>
        <v>402500</v>
      </c>
      <c r="AL1341" s="80"/>
      <c r="AM1341" s="80"/>
    </row>
    <row r="1342">
      <c r="A1342" s="322">
        <v>1341.0</v>
      </c>
      <c r="B1342" s="323">
        <v>45257.0</v>
      </c>
      <c r="C1342" s="195" t="str">
        <f t="shared" si="10"/>
        <v>112023</v>
      </c>
      <c r="D1342" s="324" t="s">
        <v>3261</v>
      </c>
      <c r="E1342" s="322" t="s">
        <v>3262</v>
      </c>
      <c r="F1342" s="324" t="s">
        <v>3746</v>
      </c>
      <c r="G1342" s="322" t="s">
        <v>64</v>
      </c>
      <c r="H1342" s="322" t="s">
        <v>41</v>
      </c>
      <c r="I1342" s="322" t="s">
        <v>643</v>
      </c>
      <c r="J1342" s="75"/>
      <c r="K1342" s="75"/>
      <c r="L1342" s="75"/>
      <c r="M1342" s="75"/>
      <c r="N1342" s="75"/>
      <c r="O1342" s="75"/>
      <c r="P1342" s="75"/>
      <c r="Q1342" s="76"/>
      <c r="R1342" s="76"/>
      <c r="S1342" s="322" t="s">
        <v>89</v>
      </c>
      <c r="T1342" s="352" t="s">
        <v>83</v>
      </c>
      <c r="U1342" s="352" t="s">
        <v>99</v>
      </c>
      <c r="V1342" s="352" t="s">
        <v>1984</v>
      </c>
      <c r="W1342" s="77"/>
      <c r="X1342" s="77"/>
      <c r="Y1342" s="77"/>
      <c r="Z1342" s="77"/>
      <c r="AA1342" s="325">
        <v>0.0</v>
      </c>
      <c r="AB1342" s="325">
        <v>0.0</v>
      </c>
      <c r="AC1342" s="24" t="s">
        <v>3747</v>
      </c>
      <c r="AD1342" s="195">
        <v>12500.0</v>
      </c>
      <c r="AE1342" s="38"/>
      <c r="AF1342" s="322" t="str">
        <f t="shared" si="1"/>
        <v>Capital Federal, Argentina</v>
      </c>
      <c r="AG1342" s="322">
        <f t="shared" si="2"/>
        <v>0</v>
      </c>
      <c r="AH1342" s="326">
        <f t="shared" si="3"/>
        <v>0</v>
      </c>
      <c r="AI1342" s="326">
        <f t="shared" si="4"/>
        <v>0</v>
      </c>
      <c r="AJ1342" s="325">
        <f t="shared" si="5"/>
        <v>0</v>
      </c>
      <c r="AK1342" s="325">
        <f t="shared" si="6"/>
        <v>0</v>
      </c>
      <c r="AL1342" s="80"/>
      <c r="AM1342" s="80"/>
    </row>
    <row r="1343">
      <c r="A1343" s="322">
        <v>1342.0</v>
      </c>
      <c r="B1343" s="323">
        <v>45259.0</v>
      </c>
      <c r="C1343" s="195" t="str">
        <f t="shared" si="10"/>
        <v>112023</v>
      </c>
      <c r="D1343" s="324" t="s">
        <v>2084</v>
      </c>
      <c r="E1343" s="322" t="s">
        <v>2085</v>
      </c>
      <c r="F1343" s="324" t="s">
        <v>1878</v>
      </c>
      <c r="G1343" s="322" t="s">
        <v>64</v>
      </c>
      <c r="H1343" s="322" t="s">
        <v>41</v>
      </c>
      <c r="I1343" s="322" t="s">
        <v>643</v>
      </c>
      <c r="J1343" s="75"/>
      <c r="K1343" s="75"/>
      <c r="L1343" s="75"/>
      <c r="M1343" s="75"/>
      <c r="N1343" s="327">
        <v>1.0</v>
      </c>
      <c r="O1343" s="75"/>
      <c r="P1343" s="75"/>
      <c r="Q1343" s="76"/>
      <c r="R1343" s="76"/>
      <c r="S1343" s="322" t="s">
        <v>167</v>
      </c>
      <c r="T1343" s="352" t="s">
        <v>83</v>
      </c>
      <c r="U1343" s="352" t="s">
        <v>99</v>
      </c>
      <c r="V1343" s="352" t="s">
        <v>1984</v>
      </c>
      <c r="W1343" s="77"/>
      <c r="X1343" s="77"/>
      <c r="Y1343" s="77"/>
      <c r="Z1343" s="77"/>
      <c r="AA1343" s="325">
        <v>40250.0</v>
      </c>
      <c r="AB1343" s="325">
        <v>0.0</v>
      </c>
      <c r="AC1343" s="24" t="s">
        <v>3748</v>
      </c>
      <c r="AD1343" s="195">
        <v>1248.0</v>
      </c>
      <c r="AE1343" s="38"/>
      <c r="AF1343" s="322" t="str">
        <f t="shared" si="1"/>
        <v>Capital Federal, Argentina</v>
      </c>
      <c r="AG1343" s="322">
        <f t="shared" si="2"/>
        <v>1</v>
      </c>
      <c r="AH1343" s="326">
        <f t="shared" si="3"/>
        <v>0</v>
      </c>
      <c r="AI1343" s="326">
        <f t="shared" si="4"/>
        <v>0</v>
      </c>
      <c r="AJ1343" s="325">
        <f t="shared" si="5"/>
        <v>40250</v>
      </c>
      <c r="AK1343" s="325">
        <f t="shared" si="6"/>
        <v>40250</v>
      </c>
      <c r="AL1343" s="80"/>
      <c r="AM1343" s="80"/>
    </row>
    <row r="1344">
      <c r="A1344" s="322">
        <v>1343.0</v>
      </c>
      <c r="B1344" s="323">
        <v>45259.0</v>
      </c>
      <c r="C1344" s="195" t="str">
        <f t="shared" si="10"/>
        <v>112023</v>
      </c>
      <c r="D1344" s="324" t="s">
        <v>3749</v>
      </c>
      <c r="E1344" s="322" t="s">
        <v>3242</v>
      </c>
      <c r="F1344" s="324" t="s">
        <v>3750</v>
      </c>
      <c r="G1344" s="322" t="s">
        <v>64</v>
      </c>
      <c r="H1344" s="322" t="s">
        <v>41</v>
      </c>
      <c r="I1344" s="322" t="s">
        <v>643</v>
      </c>
      <c r="J1344" s="75"/>
      <c r="K1344" s="75"/>
      <c r="L1344" s="75"/>
      <c r="M1344" s="75"/>
      <c r="N1344" s="75"/>
      <c r="O1344" s="75"/>
      <c r="P1344" s="75"/>
      <c r="Q1344" s="76"/>
      <c r="R1344" s="76"/>
      <c r="S1344" s="322" t="s">
        <v>65</v>
      </c>
      <c r="T1344" s="352" t="s">
        <v>839</v>
      </c>
      <c r="U1344" s="352" t="s">
        <v>99</v>
      </c>
      <c r="V1344" s="352" t="s">
        <v>1984</v>
      </c>
      <c r="W1344" s="77"/>
      <c r="X1344" s="77"/>
      <c r="Y1344" s="77"/>
      <c r="Z1344" s="77"/>
      <c r="AA1344" s="325">
        <v>0.0</v>
      </c>
      <c r="AB1344" s="325">
        <v>0.0</v>
      </c>
      <c r="AC1344" s="24" t="s">
        <v>3751</v>
      </c>
      <c r="AD1344" s="195">
        <v>12394.0</v>
      </c>
      <c r="AE1344" s="38"/>
      <c r="AF1344" s="322" t="str">
        <f t="shared" si="1"/>
        <v>Neuquén, Argentina</v>
      </c>
      <c r="AG1344" s="322">
        <f t="shared" si="2"/>
        <v>0</v>
      </c>
      <c r="AH1344" s="326">
        <f t="shared" si="3"/>
        <v>0</v>
      </c>
      <c r="AI1344" s="326">
        <f t="shared" si="4"/>
        <v>0</v>
      </c>
      <c r="AJ1344" s="325">
        <f t="shared" si="5"/>
        <v>0</v>
      </c>
      <c r="AK1344" s="325">
        <f t="shared" si="6"/>
        <v>0</v>
      </c>
      <c r="AL1344" s="80"/>
      <c r="AM1344" s="80"/>
    </row>
    <row r="1345">
      <c r="A1345" s="322">
        <v>1344.0</v>
      </c>
      <c r="B1345" s="323">
        <v>45259.0</v>
      </c>
      <c r="C1345" s="195" t="str">
        <f t="shared" si="10"/>
        <v>112023</v>
      </c>
      <c r="D1345" s="324" t="s">
        <v>3752</v>
      </c>
      <c r="E1345" s="322" t="s">
        <v>3144</v>
      </c>
      <c r="F1345" s="324" t="s">
        <v>1415</v>
      </c>
      <c r="G1345" s="322" t="s">
        <v>64</v>
      </c>
      <c r="H1345" s="322" t="s">
        <v>41</v>
      </c>
      <c r="I1345" s="322" t="s">
        <v>643</v>
      </c>
      <c r="J1345" s="75"/>
      <c r="K1345" s="327">
        <v>1.0</v>
      </c>
      <c r="L1345" s="75"/>
      <c r="M1345" s="75"/>
      <c r="N1345" s="75"/>
      <c r="O1345" s="75"/>
      <c r="P1345" s="75"/>
      <c r="Q1345" s="76"/>
      <c r="R1345" s="76"/>
      <c r="S1345" s="322" t="s">
        <v>65</v>
      </c>
      <c r="T1345" s="352" t="s">
        <v>839</v>
      </c>
      <c r="U1345" s="352" t="s">
        <v>99</v>
      </c>
      <c r="V1345" s="352" t="s">
        <v>1984</v>
      </c>
      <c r="W1345" s="77"/>
      <c r="X1345" s="77"/>
      <c r="Y1345" s="77"/>
      <c r="Z1345" s="77"/>
      <c r="AA1345" s="325">
        <v>30188.0</v>
      </c>
      <c r="AB1345" s="325">
        <v>120752.0</v>
      </c>
      <c r="AC1345" s="24" t="s">
        <v>3753</v>
      </c>
      <c r="AD1345" s="195">
        <v>12558.0</v>
      </c>
      <c r="AE1345" s="38"/>
      <c r="AF1345" s="322" t="str">
        <f t="shared" si="1"/>
        <v>Neuquén, Argentina</v>
      </c>
      <c r="AG1345" s="322">
        <f t="shared" si="2"/>
        <v>1</v>
      </c>
      <c r="AH1345" s="326">
        <f t="shared" si="3"/>
        <v>0</v>
      </c>
      <c r="AI1345" s="326">
        <f t="shared" si="4"/>
        <v>0</v>
      </c>
      <c r="AJ1345" s="325">
        <f t="shared" si="5"/>
        <v>150940</v>
      </c>
      <c r="AK1345" s="325">
        <f t="shared" si="6"/>
        <v>150940</v>
      </c>
      <c r="AL1345" s="80"/>
      <c r="AM1345" s="80"/>
    </row>
    <row r="1346">
      <c r="A1346" s="322">
        <v>1345.0</v>
      </c>
      <c r="B1346" s="323">
        <v>45260.0</v>
      </c>
      <c r="C1346" s="195" t="str">
        <f t="shared" si="10"/>
        <v>112023</v>
      </c>
      <c r="D1346" s="324" t="s">
        <v>2174</v>
      </c>
      <c r="E1346" s="322" t="s">
        <v>2175</v>
      </c>
      <c r="F1346" s="324" t="s">
        <v>3754</v>
      </c>
      <c r="G1346" s="322" t="s">
        <v>64</v>
      </c>
      <c r="H1346" s="322" t="s">
        <v>41</v>
      </c>
      <c r="I1346" s="322" t="s">
        <v>643</v>
      </c>
      <c r="J1346" s="75"/>
      <c r="K1346" s="75"/>
      <c r="L1346" s="75"/>
      <c r="M1346" s="75"/>
      <c r="N1346" s="75"/>
      <c r="O1346" s="75"/>
      <c r="P1346" s="75"/>
      <c r="Q1346" s="76"/>
      <c r="R1346" s="76"/>
      <c r="S1346" s="322" t="s">
        <v>65</v>
      </c>
      <c r="T1346" s="352" t="s">
        <v>66</v>
      </c>
      <c r="U1346" s="352" t="s">
        <v>99</v>
      </c>
      <c r="V1346" s="352" t="s">
        <v>1984</v>
      </c>
      <c r="W1346" s="77"/>
      <c r="X1346" s="77"/>
      <c r="Y1346" s="77"/>
      <c r="Z1346" s="77"/>
      <c r="AA1346" s="325">
        <v>0.0</v>
      </c>
      <c r="AB1346" s="325">
        <v>171800.0</v>
      </c>
      <c r="AC1346" s="24" t="s">
        <v>3755</v>
      </c>
      <c r="AD1346" s="195">
        <v>12662.0</v>
      </c>
      <c r="AE1346" s="38"/>
      <c r="AF1346" s="322" t="str">
        <f t="shared" si="1"/>
        <v>Buenos Aires, Argentina</v>
      </c>
      <c r="AG1346" s="322">
        <f t="shared" si="2"/>
        <v>0</v>
      </c>
      <c r="AH1346" s="326">
        <f t="shared" si="3"/>
        <v>0</v>
      </c>
      <c r="AI1346" s="326">
        <f t="shared" si="4"/>
        <v>0</v>
      </c>
      <c r="AJ1346" s="325">
        <f t="shared" si="5"/>
        <v>171800</v>
      </c>
      <c r="AK1346" s="325">
        <f t="shared" si="6"/>
        <v>171800</v>
      </c>
      <c r="AL1346" s="80"/>
      <c r="AM1346" s="80"/>
    </row>
    <row r="1347">
      <c r="A1347" s="322">
        <v>1346.0</v>
      </c>
      <c r="B1347" s="323">
        <v>45260.0</v>
      </c>
      <c r="C1347" s="195" t="str">
        <f t="shared" si="10"/>
        <v>112023</v>
      </c>
      <c r="D1347" s="324" t="s">
        <v>3756</v>
      </c>
      <c r="E1347" s="322" t="s">
        <v>2105</v>
      </c>
      <c r="F1347" s="324" t="s">
        <v>3746</v>
      </c>
      <c r="G1347" s="322" t="s">
        <v>64</v>
      </c>
      <c r="H1347" s="322" t="s">
        <v>41</v>
      </c>
      <c r="I1347" s="322" t="s">
        <v>643</v>
      </c>
      <c r="J1347" s="75"/>
      <c r="K1347" s="75"/>
      <c r="L1347" s="75"/>
      <c r="M1347" s="75"/>
      <c r="N1347" s="75"/>
      <c r="O1347" s="75"/>
      <c r="P1347" s="75"/>
      <c r="Q1347" s="76"/>
      <c r="R1347" s="76"/>
      <c r="S1347" s="322" t="s">
        <v>189</v>
      </c>
      <c r="T1347" s="352" t="s">
        <v>66</v>
      </c>
      <c r="U1347" s="352" t="s">
        <v>99</v>
      </c>
      <c r="V1347" s="352" t="s">
        <v>1984</v>
      </c>
      <c r="W1347" s="77"/>
      <c r="X1347" s="77"/>
      <c r="Y1347" s="77"/>
      <c r="Z1347" s="77"/>
      <c r="AA1347" s="325">
        <v>0.0</v>
      </c>
      <c r="AB1347" s="325">
        <v>0.0</v>
      </c>
      <c r="AC1347" s="24" t="s">
        <v>3757</v>
      </c>
      <c r="AD1347" s="195">
        <v>11914.0</v>
      </c>
      <c r="AE1347" s="38"/>
      <c r="AF1347" s="322" t="str">
        <f t="shared" si="1"/>
        <v>Buenos Aires, Argentina</v>
      </c>
      <c r="AG1347" s="322">
        <f t="shared" si="2"/>
        <v>0</v>
      </c>
      <c r="AH1347" s="326">
        <f t="shared" si="3"/>
        <v>0</v>
      </c>
      <c r="AI1347" s="326">
        <f t="shared" si="4"/>
        <v>0</v>
      </c>
      <c r="AJ1347" s="325">
        <f t="shared" si="5"/>
        <v>0</v>
      </c>
      <c r="AK1347" s="325">
        <f t="shared" si="6"/>
        <v>0</v>
      </c>
      <c r="AL1347" s="80"/>
      <c r="AM1347" s="80"/>
    </row>
    <row r="1348">
      <c r="A1348" s="322">
        <v>1347.0</v>
      </c>
      <c r="B1348" s="323">
        <v>45260.0</v>
      </c>
      <c r="C1348" s="195" t="str">
        <f t="shared" si="10"/>
        <v>112023</v>
      </c>
      <c r="D1348" s="324" t="s">
        <v>3669</v>
      </c>
      <c r="E1348" s="322" t="s">
        <v>3670</v>
      </c>
      <c r="F1348" s="324" t="s">
        <v>1415</v>
      </c>
      <c r="G1348" s="322" t="s">
        <v>64</v>
      </c>
      <c r="H1348" s="322" t="s">
        <v>547</v>
      </c>
      <c r="I1348" s="322" t="s">
        <v>643</v>
      </c>
      <c r="J1348" s="75"/>
      <c r="K1348" s="327">
        <v>1.0</v>
      </c>
      <c r="L1348" s="75"/>
      <c r="M1348" s="75"/>
      <c r="N1348" s="75"/>
      <c r="O1348" s="75"/>
      <c r="P1348" s="75"/>
      <c r="Q1348" s="76"/>
      <c r="R1348" s="76"/>
      <c r="S1348" s="322" t="s">
        <v>89</v>
      </c>
      <c r="T1348" s="352" t="s">
        <v>83</v>
      </c>
      <c r="U1348" s="352" t="s">
        <v>99</v>
      </c>
      <c r="V1348" s="352" t="s">
        <v>1984</v>
      </c>
      <c r="W1348" s="77"/>
      <c r="X1348" s="77"/>
      <c r="Y1348" s="77"/>
      <c r="Z1348" s="77"/>
      <c r="AA1348" s="325">
        <v>16065.0</v>
      </c>
      <c r="AB1348" s="325">
        <v>81508.0</v>
      </c>
      <c r="AC1348" s="24" t="s">
        <v>3758</v>
      </c>
      <c r="AD1348" s="195">
        <v>12524.0</v>
      </c>
      <c r="AE1348" s="38"/>
      <c r="AF1348" s="322" t="str">
        <f t="shared" si="1"/>
        <v>Capital Federal, Argentina</v>
      </c>
      <c r="AG1348" s="322">
        <f t="shared" si="2"/>
        <v>1</v>
      </c>
      <c r="AH1348" s="326">
        <f t="shared" si="3"/>
        <v>0</v>
      </c>
      <c r="AI1348" s="326">
        <f t="shared" si="4"/>
        <v>0</v>
      </c>
      <c r="AJ1348" s="325">
        <f t="shared" si="5"/>
        <v>97573</v>
      </c>
      <c r="AK1348" s="325">
        <f t="shared" si="6"/>
        <v>97573</v>
      </c>
      <c r="AL1348" s="80"/>
      <c r="AM1348" s="80"/>
    </row>
    <row r="1349">
      <c r="A1349" s="322">
        <v>1348.0</v>
      </c>
      <c r="B1349" s="323">
        <v>45260.0</v>
      </c>
      <c r="C1349" s="195" t="str">
        <f t="shared" si="10"/>
        <v>112023</v>
      </c>
      <c r="D1349" s="324" t="s">
        <v>3759</v>
      </c>
      <c r="E1349" s="322" t="s">
        <v>3760</v>
      </c>
      <c r="F1349" s="324" t="s">
        <v>3761</v>
      </c>
      <c r="G1349" s="322" t="s">
        <v>64</v>
      </c>
      <c r="H1349" s="322" t="s">
        <v>41</v>
      </c>
      <c r="I1349" s="322" t="s">
        <v>643</v>
      </c>
      <c r="J1349" s="75"/>
      <c r="K1349" s="75"/>
      <c r="L1349" s="75"/>
      <c r="M1349" s="75"/>
      <c r="N1349" s="75"/>
      <c r="O1349" s="75"/>
      <c r="P1349" s="75"/>
      <c r="Q1349" s="76"/>
      <c r="R1349" s="76"/>
      <c r="S1349" s="322" t="s">
        <v>65</v>
      </c>
      <c r="T1349" s="352" t="s">
        <v>83</v>
      </c>
      <c r="U1349" s="352" t="s">
        <v>99</v>
      </c>
      <c r="V1349" s="352" t="s">
        <v>1984</v>
      </c>
      <c r="W1349" s="77"/>
      <c r="X1349" s="77"/>
      <c r="Y1349" s="77"/>
      <c r="Z1349" s="77"/>
      <c r="AA1349" s="325">
        <v>0.0</v>
      </c>
      <c r="AB1349" s="325">
        <v>128800.0</v>
      </c>
      <c r="AC1349" s="24" t="s">
        <v>3762</v>
      </c>
      <c r="AD1349" s="195">
        <v>12504.0</v>
      </c>
      <c r="AE1349" s="38"/>
      <c r="AF1349" s="322" t="str">
        <f t="shared" si="1"/>
        <v>Capital Federal, Argentina</v>
      </c>
      <c r="AG1349" s="322">
        <f t="shared" si="2"/>
        <v>0</v>
      </c>
      <c r="AH1349" s="326">
        <f t="shared" si="3"/>
        <v>0</v>
      </c>
      <c r="AI1349" s="326">
        <f t="shared" si="4"/>
        <v>0</v>
      </c>
      <c r="AJ1349" s="325">
        <f t="shared" si="5"/>
        <v>128800</v>
      </c>
      <c r="AK1349" s="325">
        <f t="shared" si="6"/>
        <v>128800</v>
      </c>
      <c r="AL1349" s="80"/>
      <c r="AM1349" s="80"/>
    </row>
    <row r="1350">
      <c r="A1350" s="322">
        <v>1349.0</v>
      </c>
      <c r="B1350" s="323">
        <v>45260.0</v>
      </c>
      <c r="C1350" s="195" t="str">
        <f t="shared" si="10"/>
        <v>112023</v>
      </c>
      <c r="D1350" s="324" t="s">
        <v>3763</v>
      </c>
      <c r="E1350" s="322" t="s">
        <v>1843</v>
      </c>
      <c r="F1350" s="324" t="s">
        <v>3467</v>
      </c>
      <c r="G1350" s="322" t="s">
        <v>64</v>
      </c>
      <c r="H1350" s="322" t="s">
        <v>41</v>
      </c>
      <c r="I1350" s="322" t="s">
        <v>643</v>
      </c>
      <c r="J1350" s="327">
        <v>1.0</v>
      </c>
      <c r="K1350" s="327">
        <v>1.0</v>
      </c>
      <c r="L1350" s="75"/>
      <c r="M1350" s="75"/>
      <c r="N1350" s="75"/>
      <c r="O1350" s="75"/>
      <c r="P1350" s="75"/>
      <c r="Q1350" s="76"/>
      <c r="R1350" s="76"/>
      <c r="S1350" s="322" t="s">
        <v>98</v>
      </c>
      <c r="T1350" s="352" t="s">
        <v>879</v>
      </c>
      <c r="U1350" s="352" t="s">
        <v>99</v>
      </c>
      <c r="V1350" s="352" t="s">
        <v>1984</v>
      </c>
      <c r="W1350" s="77"/>
      <c r="X1350" s="77"/>
      <c r="Y1350" s="77"/>
      <c r="Z1350" s="77"/>
      <c r="AA1350" s="325">
        <v>70438.0</v>
      </c>
      <c r="AB1350" s="325">
        <v>281752.0</v>
      </c>
      <c r="AC1350" s="24" t="s">
        <v>3764</v>
      </c>
      <c r="AD1350" s="195">
        <v>12508.0</v>
      </c>
      <c r="AE1350" s="38"/>
      <c r="AF1350" s="322" t="str">
        <f t="shared" si="1"/>
        <v>Salta, Argentina</v>
      </c>
      <c r="AG1350" s="322">
        <f t="shared" si="2"/>
        <v>2</v>
      </c>
      <c r="AH1350" s="326">
        <f t="shared" si="3"/>
        <v>0</v>
      </c>
      <c r="AI1350" s="326">
        <f t="shared" si="4"/>
        <v>0</v>
      </c>
      <c r="AJ1350" s="325">
        <f t="shared" si="5"/>
        <v>352190</v>
      </c>
      <c r="AK1350" s="325">
        <f t="shared" si="6"/>
        <v>352190</v>
      </c>
      <c r="AL1350" s="80"/>
      <c r="AM1350" s="80"/>
    </row>
    <row r="1351">
      <c r="A1351" s="290">
        <v>1350.0</v>
      </c>
      <c r="B1351" s="291">
        <v>45264.0</v>
      </c>
      <c r="C1351" s="195" t="str">
        <f t="shared" si="10"/>
        <v>122023</v>
      </c>
      <c r="D1351" s="292" t="s">
        <v>3765</v>
      </c>
      <c r="E1351" s="290" t="s">
        <v>3766</v>
      </c>
      <c r="F1351" s="292" t="s">
        <v>3767</v>
      </c>
      <c r="G1351" s="290" t="s">
        <v>40</v>
      </c>
      <c r="H1351" s="290" t="s">
        <v>547</v>
      </c>
      <c r="I1351" s="290" t="s">
        <v>42</v>
      </c>
      <c r="J1351" s="293">
        <v>1.0</v>
      </c>
      <c r="K1351" s="293">
        <v>1.0</v>
      </c>
      <c r="L1351" s="98"/>
      <c r="M1351" s="293">
        <v>1.0</v>
      </c>
      <c r="N1351" s="98"/>
      <c r="O1351" s="98"/>
      <c r="P1351" s="98"/>
      <c r="Q1351" s="99"/>
      <c r="R1351" s="99"/>
      <c r="S1351" s="290" t="s">
        <v>189</v>
      </c>
      <c r="T1351" s="353" t="s">
        <v>66</v>
      </c>
      <c r="U1351" s="353" t="s">
        <v>45</v>
      </c>
      <c r="V1351" s="353" t="s">
        <v>2922</v>
      </c>
      <c r="W1351" s="100"/>
      <c r="X1351" s="100"/>
      <c r="Y1351" s="100"/>
      <c r="Z1351" s="100"/>
      <c r="AA1351" s="294">
        <v>47250.0</v>
      </c>
      <c r="AB1351" s="294">
        <v>189000.0</v>
      </c>
      <c r="AC1351" s="24" t="s">
        <v>3768</v>
      </c>
      <c r="AD1351" s="195">
        <v>12638.0</v>
      </c>
      <c r="AE1351" s="38"/>
      <c r="AF1351" s="290" t="str">
        <f t="shared" si="1"/>
        <v>Buenos Aires, Argentina</v>
      </c>
      <c r="AG1351" s="290">
        <f t="shared" si="2"/>
        <v>3</v>
      </c>
      <c r="AH1351" s="295">
        <f t="shared" si="3"/>
        <v>0</v>
      </c>
      <c r="AI1351" s="295">
        <f t="shared" si="4"/>
        <v>0</v>
      </c>
      <c r="AJ1351" s="294">
        <f t="shared" si="5"/>
        <v>236250</v>
      </c>
      <c r="AK1351" s="294">
        <f t="shared" si="6"/>
        <v>236250</v>
      </c>
      <c r="AL1351" s="103"/>
      <c r="AM1351" s="103"/>
    </row>
    <row r="1352">
      <c r="A1352" s="290">
        <v>1351.0</v>
      </c>
      <c r="B1352" s="291">
        <v>45267.0</v>
      </c>
      <c r="C1352" s="195" t="str">
        <f t="shared" si="10"/>
        <v>122023</v>
      </c>
      <c r="D1352" s="292" t="s">
        <v>795</v>
      </c>
      <c r="E1352" s="290" t="s">
        <v>796</v>
      </c>
      <c r="F1352" s="292" t="s">
        <v>1427</v>
      </c>
      <c r="G1352" s="290" t="s">
        <v>64</v>
      </c>
      <c r="H1352" s="290" t="s">
        <v>41</v>
      </c>
      <c r="I1352" s="290" t="s">
        <v>643</v>
      </c>
      <c r="J1352" s="98"/>
      <c r="K1352" s="293">
        <v>2.0</v>
      </c>
      <c r="L1352" s="98"/>
      <c r="M1352" s="98"/>
      <c r="N1352" s="98"/>
      <c r="O1352" s="98"/>
      <c r="P1352" s="98"/>
      <c r="Q1352" s="99"/>
      <c r="R1352" s="99"/>
      <c r="S1352" s="290" t="s">
        <v>98</v>
      </c>
      <c r="T1352" s="353" t="s">
        <v>66</v>
      </c>
      <c r="U1352" s="353" t="s">
        <v>99</v>
      </c>
      <c r="V1352" s="353" t="s">
        <v>1984</v>
      </c>
      <c r="W1352" s="100"/>
      <c r="X1352" s="100"/>
      <c r="Y1352" s="100"/>
      <c r="Z1352" s="100"/>
      <c r="AA1352" s="294">
        <v>67500.0</v>
      </c>
      <c r="AB1352" s="294">
        <v>270000.0</v>
      </c>
      <c r="AC1352" s="24" t="s">
        <v>3769</v>
      </c>
      <c r="AD1352" s="195">
        <v>12778.0</v>
      </c>
      <c r="AE1352" s="38"/>
      <c r="AF1352" s="290" t="str">
        <f t="shared" si="1"/>
        <v>Buenos Aires, Argentina</v>
      </c>
      <c r="AG1352" s="290">
        <f t="shared" si="2"/>
        <v>2</v>
      </c>
      <c r="AH1352" s="295">
        <f t="shared" si="3"/>
        <v>0</v>
      </c>
      <c r="AI1352" s="295">
        <f t="shared" si="4"/>
        <v>0</v>
      </c>
      <c r="AJ1352" s="294">
        <f t="shared" si="5"/>
        <v>337500</v>
      </c>
      <c r="AK1352" s="294">
        <f t="shared" si="6"/>
        <v>337500</v>
      </c>
      <c r="AL1352" s="103"/>
      <c r="AM1352" s="103"/>
    </row>
    <row r="1353">
      <c r="A1353" s="290">
        <v>1352.0</v>
      </c>
      <c r="B1353" s="291">
        <v>45267.0</v>
      </c>
      <c r="C1353" s="195" t="str">
        <f t="shared" si="10"/>
        <v>122023</v>
      </c>
      <c r="D1353" s="292" t="s">
        <v>1791</v>
      </c>
      <c r="E1353" s="290" t="s">
        <v>1792</v>
      </c>
      <c r="F1353" s="292" t="s">
        <v>3746</v>
      </c>
      <c r="G1353" s="290" t="s">
        <v>64</v>
      </c>
      <c r="H1353" s="290" t="s">
        <v>41</v>
      </c>
      <c r="I1353" s="290" t="s">
        <v>643</v>
      </c>
      <c r="J1353" s="98"/>
      <c r="K1353" s="98"/>
      <c r="L1353" s="98"/>
      <c r="M1353" s="98"/>
      <c r="N1353" s="98"/>
      <c r="O1353" s="98"/>
      <c r="P1353" s="98"/>
      <c r="Q1353" s="99"/>
      <c r="R1353" s="99"/>
      <c r="S1353" s="290" t="s">
        <v>72</v>
      </c>
      <c r="T1353" s="353" t="s">
        <v>66</v>
      </c>
      <c r="U1353" s="353" t="s">
        <v>99</v>
      </c>
      <c r="V1353" s="353" t="s">
        <v>1984</v>
      </c>
      <c r="W1353" s="100"/>
      <c r="X1353" s="100"/>
      <c r="Y1353" s="100"/>
      <c r="Z1353" s="100"/>
      <c r="AA1353" s="294">
        <v>0.0</v>
      </c>
      <c r="AB1353" s="294">
        <v>0.0</v>
      </c>
      <c r="AC1353" s="24" t="s">
        <v>3770</v>
      </c>
      <c r="AD1353" s="195">
        <v>12712.0</v>
      </c>
      <c r="AE1353" s="38"/>
      <c r="AF1353" s="290" t="str">
        <f t="shared" si="1"/>
        <v>Buenos Aires, Argentina</v>
      </c>
      <c r="AG1353" s="290">
        <f t="shared" si="2"/>
        <v>0</v>
      </c>
      <c r="AH1353" s="295">
        <f t="shared" si="3"/>
        <v>0</v>
      </c>
      <c r="AI1353" s="295">
        <f t="shared" si="4"/>
        <v>0</v>
      </c>
      <c r="AJ1353" s="294">
        <f t="shared" si="5"/>
        <v>0</v>
      </c>
      <c r="AK1353" s="294">
        <f t="shared" si="6"/>
        <v>0</v>
      </c>
      <c r="AL1353" s="103"/>
      <c r="AM1353" s="103"/>
    </row>
    <row r="1354">
      <c r="A1354" s="290">
        <v>1353.0</v>
      </c>
      <c r="B1354" s="291">
        <v>45271.0</v>
      </c>
      <c r="C1354" s="195" t="str">
        <f t="shared" si="10"/>
        <v>122023</v>
      </c>
      <c r="D1354" s="292" t="s">
        <v>3771</v>
      </c>
      <c r="E1354" s="290" t="s">
        <v>2255</v>
      </c>
      <c r="F1354" s="292" t="s">
        <v>3772</v>
      </c>
      <c r="G1354" s="290" t="s">
        <v>64</v>
      </c>
      <c r="H1354" s="290" t="s">
        <v>41</v>
      </c>
      <c r="I1354" s="290" t="s">
        <v>643</v>
      </c>
      <c r="J1354" s="98"/>
      <c r="K1354" s="98"/>
      <c r="L1354" s="98"/>
      <c r="M1354" s="98"/>
      <c r="N1354" s="98"/>
      <c r="O1354" s="98"/>
      <c r="P1354" s="98"/>
      <c r="Q1354" s="99"/>
      <c r="R1354" s="99"/>
      <c r="S1354" s="290" t="s">
        <v>65</v>
      </c>
      <c r="T1354" s="353" t="s">
        <v>66</v>
      </c>
      <c r="U1354" s="353" t="s">
        <v>99</v>
      </c>
      <c r="V1354" s="353" t="s">
        <v>1984</v>
      </c>
      <c r="W1354" s="294">
        <v>74248.0</v>
      </c>
      <c r="X1354" s="294">
        <v>334136.0</v>
      </c>
      <c r="Y1354" s="100"/>
      <c r="Z1354" s="100"/>
      <c r="AA1354" s="294">
        <v>0.0</v>
      </c>
      <c r="AB1354" s="294">
        <v>0.0</v>
      </c>
      <c r="AC1354" s="24" t="s">
        <v>3773</v>
      </c>
      <c r="AD1354" s="195">
        <v>12800.0</v>
      </c>
      <c r="AE1354" s="38"/>
      <c r="AF1354" s="290" t="str">
        <f t="shared" si="1"/>
        <v>Buenos Aires, Argentina</v>
      </c>
      <c r="AG1354" s="290">
        <f t="shared" si="2"/>
        <v>0</v>
      </c>
      <c r="AH1354" s="295">
        <f t="shared" si="3"/>
        <v>408384</v>
      </c>
      <c r="AI1354" s="295">
        <f t="shared" si="4"/>
        <v>0</v>
      </c>
      <c r="AJ1354" s="294">
        <f t="shared" si="5"/>
        <v>0</v>
      </c>
      <c r="AK1354" s="294">
        <f t="shared" si="6"/>
        <v>408384</v>
      </c>
      <c r="AL1354" s="103"/>
      <c r="AM1354" s="103"/>
    </row>
    <row r="1355">
      <c r="A1355" s="290">
        <v>1354.0</v>
      </c>
      <c r="B1355" s="291">
        <v>45272.0</v>
      </c>
      <c r="C1355" s="195" t="str">
        <f t="shared" si="10"/>
        <v>122023</v>
      </c>
      <c r="D1355" s="292" t="s">
        <v>3774</v>
      </c>
      <c r="E1355" s="290" t="s">
        <v>2360</v>
      </c>
      <c r="F1355" s="292" t="s">
        <v>3761</v>
      </c>
      <c r="G1355" s="290" t="s">
        <v>64</v>
      </c>
      <c r="H1355" s="290" t="s">
        <v>41</v>
      </c>
      <c r="I1355" s="290" t="s">
        <v>643</v>
      </c>
      <c r="J1355" s="98"/>
      <c r="K1355" s="98"/>
      <c r="L1355" s="98"/>
      <c r="M1355" s="98"/>
      <c r="N1355" s="98"/>
      <c r="O1355" s="98"/>
      <c r="P1355" s="98"/>
      <c r="Q1355" s="99"/>
      <c r="R1355" s="99"/>
      <c r="S1355" s="290" t="s">
        <v>65</v>
      </c>
      <c r="T1355" s="353" t="s">
        <v>66</v>
      </c>
      <c r="U1355" s="353" t="s">
        <v>99</v>
      </c>
      <c r="V1355" s="353" t="s">
        <v>1984</v>
      </c>
      <c r="W1355" s="100"/>
      <c r="X1355" s="100"/>
      <c r="Y1355" s="100"/>
      <c r="Z1355" s="100"/>
      <c r="AA1355" s="294">
        <v>0.0</v>
      </c>
      <c r="AB1355" s="294">
        <v>162000.0</v>
      </c>
      <c r="AC1355" s="24" t="s">
        <v>3775</v>
      </c>
      <c r="AD1355" s="195">
        <v>12842.0</v>
      </c>
      <c r="AE1355" s="38"/>
      <c r="AF1355" s="290" t="str">
        <f t="shared" si="1"/>
        <v>Buenos Aires, Argentina</v>
      </c>
      <c r="AG1355" s="290">
        <f t="shared" si="2"/>
        <v>0</v>
      </c>
      <c r="AH1355" s="295">
        <f t="shared" si="3"/>
        <v>0</v>
      </c>
      <c r="AI1355" s="295">
        <f t="shared" si="4"/>
        <v>0</v>
      </c>
      <c r="AJ1355" s="294">
        <f t="shared" si="5"/>
        <v>162000</v>
      </c>
      <c r="AK1355" s="294">
        <f t="shared" si="6"/>
        <v>162000</v>
      </c>
      <c r="AL1355" s="103"/>
      <c r="AM1355" s="103"/>
    </row>
    <row r="1356">
      <c r="A1356" s="290">
        <v>1355.0</v>
      </c>
      <c r="B1356" s="291">
        <v>45272.0</v>
      </c>
      <c r="C1356" s="195" t="str">
        <f t="shared" si="10"/>
        <v>122023</v>
      </c>
      <c r="D1356" s="292" t="s">
        <v>3776</v>
      </c>
      <c r="E1356" s="290" t="s">
        <v>3777</v>
      </c>
      <c r="F1356" s="292" t="s">
        <v>3778</v>
      </c>
      <c r="G1356" s="290" t="s">
        <v>40</v>
      </c>
      <c r="H1356" s="290" t="s">
        <v>547</v>
      </c>
      <c r="I1356" s="290" t="s">
        <v>42</v>
      </c>
      <c r="J1356" s="293">
        <v>1.0</v>
      </c>
      <c r="K1356" s="293">
        <v>1.0</v>
      </c>
      <c r="L1356" s="98"/>
      <c r="M1356" s="293">
        <v>1.0</v>
      </c>
      <c r="N1356" s="98"/>
      <c r="O1356" s="293">
        <v>2.0</v>
      </c>
      <c r="P1356" s="98"/>
      <c r="Q1356" s="99"/>
      <c r="R1356" s="99"/>
      <c r="S1356" s="290" t="s">
        <v>907</v>
      </c>
      <c r="T1356" s="353" t="s">
        <v>66</v>
      </c>
      <c r="U1356" s="353" t="s">
        <v>163</v>
      </c>
      <c r="V1356" s="353" t="s">
        <v>3545</v>
      </c>
      <c r="W1356" s="100"/>
      <c r="X1356" s="100"/>
      <c r="Y1356" s="100"/>
      <c r="Z1356" s="100"/>
      <c r="AA1356" s="294">
        <v>76950.0</v>
      </c>
      <c r="AB1356" s="294">
        <v>307800.0</v>
      </c>
      <c r="AC1356" s="24" t="s">
        <v>3779</v>
      </c>
      <c r="AD1356" s="195">
        <v>12710.0</v>
      </c>
      <c r="AE1356" s="38"/>
      <c r="AF1356" s="290" t="str">
        <f t="shared" si="1"/>
        <v>Buenos Aires, Argentina</v>
      </c>
      <c r="AG1356" s="290">
        <f t="shared" si="2"/>
        <v>5</v>
      </c>
      <c r="AH1356" s="295">
        <f t="shared" si="3"/>
        <v>0</v>
      </c>
      <c r="AI1356" s="295">
        <f t="shared" si="4"/>
        <v>0</v>
      </c>
      <c r="AJ1356" s="294">
        <f t="shared" si="5"/>
        <v>384750</v>
      </c>
      <c r="AK1356" s="294">
        <f t="shared" si="6"/>
        <v>384750</v>
      </c>
      <c r="AL1356" s="103"/>
      <c r="AM1356" s="103"/>
    </row>
    <row r="1357">
      <c r="A1357" s="290">
        <v>1356.0</v>
      </c>
      <c r="B1357" s="291">
        <v>45274.0</v>
      </c>
      <c r="C1357" s="195" t="str">
        <f t="shared" si="10"/>
        <v>122023</v>
      </c>
      <c r="D1357" s="292" t="s">
        <v>3780</v>
      </c>
      <c r="E1357" s="290" t="s">
        <v>3781</v>
      </c>
      <c r="F1357" s="292" t="s">
        <v>3782</v>
      </c>
      <c r="G1357" s="290" t="s">
        <v>40</v>
      </c>
      <c r="H1357" s="290" t="s">
        <v>41</v>
      </c>
      <c r="I1357" s="290" t="s">
        <v>42</v>
      </c>
      <c r="J1357" s="293">
        <v>1.0</v>
      </c>
      <c r="K1357" s="293">
        <v>2.0</v>
      </c>
      <c r="L1357" s="98"/>
      <c r="M1357" s="293">
        <v>1.0</v>
      </c>
      <c r="N1357" s="98"/>
      <c r="O1357" s="98"/>
      <c r="P1357" s="98"/>
      <c r="Q1357" s="99"/>
      <c r="R1357" s="99"/>
      <c r="S1357" s="290" t="s">
        <v>65</v>
      </c>
      <c r="T1357" s="353" t="s">
        <v>66</v>
      </c>
      <c r="U1357" s="353" t="s">
        <v>342</v>
      </c>
      <c r="V1357" s="353" t="s">
        <v>2922</v>
      </c>
      <c r="W1357" s="100"/>
      <c r="X1357" s="100"/>
      <c r="Y1357" s="100"/>
      <c r="Z1357" s="100"/>
      <c r="AA1357" s="294">
        <v>112500.0</v>
      </c>
      <c r="AB1357" s="294">
        <v>1154250.0</v>
      </c>
      <c r="AC1357" s="24" t="s">
        <v>3783</v>
      </c>
      <c r="AD1357" s="195">
        <v>12912.0</v>
      </c>
      <c r="AE1357" s="38"/>
      <c r="AF1357" s="290" t="str">
        <f t="shared" si="1"/>
        <v>Buenos Aires, Argentina</v>
      </c>
      <c r="AG1357" s="290">
        <f t="shared" si="2"/>
        <v>4</v>
      </c>
      <c r="AH1357" s="295">
        <f t="shared" si="3"/>
        <v>0</v>
      </c>
      <c r="AI1357" s="295">
        <f t="shared" si="4"/>
        <v>0</v>
      </c>
      <c r="AJ1357" s="294">
        <f t="shared" si="5"/>
        <v>1266750</v>
      </c>
      <c r="AK1357" s="294">
        <f t="shared" si="6"/>
        <v>1266750</v>
      </c>
      <c r="AL1357" s="103"/>
      <c r="AM1357" s="103"/>
    </row>
    <row r="1358">
      <c r="A1358" s="290">
        <v>1357.0</v>
      </c>
      <c r="B1358" s="291">
        <v>45275.0</v>
      </c>
      <c r="C1358" s="195" t="str">
        <f t="shared" si="10"/>
        <v>122023</v>
      </c>
      <c r="D1358" s="292" t="s">
        <v>3784</v>
      </c>
      <c r="E1358" s="290" t="s">
        <v>3785</v>
      </c>
      <c r="F1358" s="292" t="s">
        <v>3786</v>
      </c>
      <c r="G1358" s="290" t="s">
        <v>40</v>
      </c>
      <c r="H1358" s="290" t="s">
        <v>41</v>
      </c>
      <c r="I1358" s="290" t="s">
        <v>643</v>
      </c>
      <c r="J1358" s="293">
        <v>2.0</v>
      </c>
      <c r="K1358" s="293">
        <v>1.0</v>
      </c>
      <c r="L1358" s="98"/>
      <c r="M1358" s="293">
        <v>1.0</v>
      </c>
      <c r="N1358" s="98"/>
      <c r="O1358" s="293">
        <v>1.0</v>
      </c>
      <c r="P1358" s="98"/>
      <c r="Q1358" s="99"/>
      <c r="R1358" s="99"/>
      <c r="S1358" s="290" t="s">
        <v>137</v>
      </c>
      <c r="T1358" s="353" t="s">
        <v>83</v>
      </c>
      <c r="U1358" s="353" t="s">
        <v>342</v>
      </c>
      <c r="V1358" s="353" t="s">
        <v>2935</v>
      </c>
      <c r="W1358" s="100"/>
      <c r="X1358" s="100"/>
      <c r="Y1358" s="100"/>
      <c r="Z1358" s="100"/>
      <c r="AA1358" s="294">
        <v>148500.0</v>
      </c>
      <c r="AB1358" s="294">
        <v>668250.0</v>
      </c>
      <c r="AC1358" s="24" t="s">
        <v>3787</v>
      </c>
      <c r="AD1358" s="195">
        <v>12678.0</v>
      </c>
      <c r="AE1358" s="38"/>
      <c r="AF1358" s="290" t="str">
        <f t="shared" si="1"/>
        <v>Capital Federal, Argentina</v>
      </c>
      <c r="AG1358" s="290">
        <f t="shared" si="2"/>
        <v>5</v>
      </c>
      <c r="AH1358" s="295">
        <f t="shared" si="3"/>
        <v>0</v>
      </c>
      <c r="AI1358" s="295">
        <f t="shared" si="4"/>
        <v>0</v>
      </c>
      <c r="AJ1358" s="294">
        <f t="shared" si="5"/>
        <v>816750</v>
      </c>
      <c r="AK1358" s="294">
        <f t="shared" si="6"/>
        <v>816750</v>
      </c>
      <c r="AL1358" s="103"/>
      <c r="AM1358" s="103"/>
    </row>
    <row r="1359">
      <c r="A1359" s="290">
        <v>1358.0</v>
      </c>
      <c r="B1359" s="291">
        <v>45275.0</v>
      </c>
      <c r="C1359" s="195" t="str">
        <f t="shared" si="10"/>
        <v>122023</v>
      </c>
      <c r="D1359" s="292" t="s">
        <v>2706</v>
      </c>
      <c r="E1359" s="290" t="s">
        <v>2707</v>
      </c>
      <c r="F1359" s="292" t="s">
        <v>3569</v>
      </c>
      <c r="G1359" s="290" t="s">
        <v>64</v>
      </c>
      <c r="H1359" s="290" t="s">
        <v>41</v>
      </c>
      <c r="I1359" s="290" t="s">
        <v>643</v>
      </c>
      <c r="J1359" s="98"/>
      <c r="K1359" s="98"/>
      <c r="L1359" s="98"/>
      <c r="M1359" s="98"/>
      <c r="N1359" s="98"/>
      <c r="O1359" s="293">
        <v>1.0</v>
      </c>
      <c r="P1359" s="98"/>
      <c r="Q1359" s="99"/>
      <c r="R1359" s="99"/>
      <c r="S1359" s="290" t="s">
        <v>189</v>
      </c>
      <c r="T1359" s="353" t="s">
        <v>73</v>
      </c>
      <c r="U1359" s="353" t="s">
        <v>99</v>
      </c>
      <c r="V1359" s="353" t="s">
        <v>1984</v>
      </c>
      <c r="W1359" s="100"/>
      <c r="X1359" s="100"/>
      <c r="Y1359" s="100"/>
      <c r="Z1359" s="100"/>
      <c r="AA1359" s="294">
        <v>24750.0</v>
      </c>
      <c r="AB1359" s="294">
        <v>111375.0</v>
      </c>
      <c r="AC1359" s="24" t="s">
        <v>3788</v>
      </c>
      <c r="AD1359" s="195">
        <v>12930.0</v>
      </c>
      <c r="AE1359" s="38"/>
      <c r="AF1359" s="290" t="str">
        <f t="shared" si="1"/>
        <v>Tierra de Fuego, Argentina</v>
      </c>
      <c r="AG1359" s="290">
        <f t="shared" si="2"/>
        <v>1</v>
      </c>
      <c r="AH1359" s="295">
        <f t="shared" si="3"/>
        <v>0</v>
      </c>
      <c r="AI1359" s="295">
        <f t="shared" si="4"/>
        <v>0</v>
      </c>
      <c r="AJ1359" s="294">
        <f t="shared" si="5"/>
        <v>136125</v>
      </c>
      <c r="AK1359" s="294">
        <f t="shared" si="6"/>
        <v>136125</v>
      </c>
      <c r="AL1359" s="103"/>
      <c r="AM1359" s="103"/>
    </row>
    <row r="1360">
      <c r="A1360" s="290">
        <v>1359.0</v>
      </c>
      <c r="B1360" s="291">
        <v>45279.0</v>
      </c>
      <c r="C1360" s="195" t="str">
        <f t="shared" si="10"/>
        <v>122023</v>
      </c>
      <c r="D1360" s="292" t="s">
        <v>2677</v>
      </c>
      <c r="E1360" s="290" t="s">
        <v>2678</v>
      </c>
      <c r="F1360" s="292" t="s">
        <v>3490</v>
      </c>
      <c r="G1360" s="290" t="s">
        <v>64</v>
      </c>
      <c r="H1360" s="290" t="s">
        <v>41</v>
      </c>
      <c r="I1360" s="290" t="s">
        <v>643</v>
      </c>
      <c r="J1360" s="98"/>
      <c r="K1360" s="98"/>
      <c r="L1360" s="98"/>
      <c r="M1360" s="98"/>
      <c r="N1360" s="98"/>
      <c r="O1360" s="98"/>
      <c r="P1360" s="293">
        <v>1.0</v>
      </c>
      <c r="Q1360" s="99"/>
      <c r="R1360" s="99"/>
      <c r="S1360" s="290" t="s">
        <v>89</v>
      </c>
      <c r="T1360" s="353" t="s">
        <v>83</v>
      </c>
      <c r="U1360" s="353" t="s">
        <v>99</v>
      </c>
      <c r="V1360" s="353" t="s">
        <v>1984</v>
      </c>
      <c r="W1360" s="100"/>
      <c r="X1360" s="100"/>
      <c r="Y1360" s="100"/>
      <c r="Z1360" s="100"/>
      <c r="AA1360" s="294">
        <v>33750.0</v>
      </c>
      <c r="AB1360" s="294">
        <v>151875.0</v>
      </c>
      <c r="AC1360" s="24" t="s">
        <v>3789</v>
      </c>
      <c r="AD1360" s="195">
        <v>12010.0</v>
      </c>
      <c r="AE1360" s="38"/>
      <c r="AF1360" s="290" t="str">
        <f t="shared" si="1"/>
        <v>Capital Federal, Argentina</v>
      </c>
      <c r="AG1360" s="290">
        <f t="shared" si="2"/>
        <v>1</v>
      </c>
      <c r="AH1360" s="295">
        <f t="shared" si="3"/>
        <v>0</v>
      </c>
      <c r="AI1360" s="295">
        <f t="shared" si="4"/>
        <v>0</v>
      </c>
      <c r="AJ1360" s="294">
        <f t="shared" si="5"/>
        <v>185625</v>
      </c>
      <c r="AK1360" s="294">
        <f t="shared" si="6"/>
        <v>185625</v>
      </c>
      <c r="AL1360" s="103"/>
      <c r="AM1360" s="103"/>
    </row>
    <row r="1361">
      <c r="A1361" s="290">
        <v>1360.0</v>
      </c>
      <c r="B1361" s="291">
        <v>45281.0</v>
      </c>
      <c r="C1361" s="195" t="str">
        <f t="shared" si="10"/>
        <v>122023</v>
      </c>
      <c r="D1361" s="292" t="s">
        <v>3790</v>
      </c>
      <c r="E1361" s="290" t="s">
        <v>3791</v>
      </c>
      <c r="F1361" s="292" t="s">
        <v>3792</v>
      </c>
      <c r="G1361" s="290" t="s">
        <v>40</v>
      </c>
      <c r="H1361" s="290" t="s">
        <v>547</v>
      </c>
      <c r="I1361" s="290" t="s">
        <v>42</v>
      </c>
      <c r="J1361" s="293">
        <v>1.0</v>
      </c>
      <c r="K1361" s="293">
        <v>2.0</v>
      </c>
      <c r="L1361" s="98"/>
      <c r="M1361" s="293">
        <v>1.0</v>
      </c>
      <c r="N1361" s="98"/>
      <c r="O1361" s="98"/>
      <c r="P1361" s="98"/>
      <c r="Q1361" s="99"/>
      <c r="R1361" s="99"/>
      <c r="S1361" s="290" t="s">
        <v>43</v>
      </c>
      <c r="T1361" s="353" t="s">
        <v>879</v>
      </c>
      <c r="U1361" s="353" t="s">
        <v>45</v>
      </c>
      <c r="V1361" s="353" t="s">
        <v>2922</v>
      </c>
      <c r="W1361" s="100"/>
      <c r="X1361" s="100"/>
      <c r="Y1361" s="100"/>
      <c r="Z1361" s="100"/>
      <c r="AA1361" s="294">
        <v>67500.0</v>
      </c>
      <c r="AB1361" s="294">
        <v>303750.0</v>
      </c>
      <c r="AC1361" s="24" t="s">
        <v>3793</v>
      </c>
      <c r="AD1361" s="195">
        <v>12848.0</v>
      </c>
      <c r="AE1361" s="38"/>
      <c r="AF1361" s="290" t="str">
        <f t="shared" si="1"/>
        <v>Salta, Argentina</v>
      </c>
      <c r="AG1361" s="290">
        <f t="shared" si="2"/>
        <v>4</v>
      </c>
      <c r="AH1361" s="295">
        <f t="shared" si="3"/>
        <v>0</v>
      </c>
      <c r="AI1361" s="295">
        <f t="shared" si="4"/>
        <v>0</v>
      </c>
      <c r="AJ1361" s="294">
        <f t="shared" si="5"/>
        <v>371250</v>
      </c>
      <c r="AK1361" s="294">
        <f t="shared" si="6"/>
        <v>371250</v>
      </c>
      <c r="AL1361" s="103"/>
      <c r="AM1361" s="103"/>
    </row>
    <row r="1362">
      <c r="A1362" s="290">
        <v>1361.0</v>
      </c>
      <c r="B1362" s="291">
        <v>45281.0</v>
      </c>
      <c r="C1362" s="195" t="str">
        <f t="shared" si="10"/>
        <v>122023</v>
      </c>
      <c r="D1362" s="292" t="s">
        <v>3794</v>
      </c>
      <c r="E1362" s="290" t="s">
        <v>3043</v>
      </c>
      <c r="F1362" s="292" t="s">
        <v>1423</v>
      </c>
      <c r="G1362" s="290" t="s">
        <v>64</v>
      </c>
      <c r="H1362" s="290" t="s">
        <v>41</v>
      </c>
      <c r="I1362" s="290" t="s">
        <v>643</v>
      </c>
      <c r="J1362" s="293">
        <v>1.0</v>
      </c>
      <c r="K1362" s="98"/>
      <c r="L1362" s="98"/>
      <c r="M1362" s="98"/>
      <c r="N1362" s="98"/>
      <c r="O1362" s="98"/>
      <c r="P1362" s="98"/>
      <c r="Q1362" s="99"/>
      <c r="R1362" s="99"/>
      <c r="S1362" s="290" t="s">
        <v>105</v>
      </c>
      <c r="T1362" s="353" t="s">
        <v>66</v>
      </c>
      <c r="U1362" s="353" t="s">
        <v>99</v>
      </c>
      <c r="V1362" s="353" t="s">
        <v>1984</v>
      </c>
      <c r="W1362" s="100"/>
      <c r="X1362" s="100"/>
      <c r="Y1362" s="100"/>
      <c r="Z1362" s="100"/>
      <c r="AA1362" s="294">
        <v>45000.0</v>
      </c>
      <c r="AB1362" s="294">
        <v>202500.0</v>
      </c>
      <c r="AC1362" s="24" t="s">
        <v>3795</v>
      </c>
      <c r="AD1362" s="195">
        <v>12932.0</v>
      </c>
      <c r="AE1362" s="38"/>
      <c r="AF1362" s="290" t="str">
        <f t="shared" si="1"/>
        <v>Buenos Aires, Argentina</v>
      </c>
      <c r="AG1362" s="290">
        <f t="shared" si="2"/>
        <v>1</v>
      </c>
      <c r="AH1362" s="295">
        <f t="shared" si="3"/>
        <v>0</v>
      </c>
      <c r="AI1362" s="295">
        <f t="shared" si="4"/>
        <v>0</v>
      </c>
      <c r="AJ1362" s="294">
        <f t="shared" si="5"/>
        <v>247500</v>
      </c>
      <c r="AK1362" s="294">
        <f t="shared" si="6"/>
        <v>247500</v>
      </c>
      <c r="AL1362" s="103"/>
      <c r="AM1362" s="103"/>
    </row>
    <row r="1363">
      <c r="A1363" s="290">
        <v>1362.0</v>
      </c>
      <c r="B1363" s="291">
        <v>45282.0</v>
      </c>
      <c r="C1363" s="195" t="str">
        <f t="shared" si="10"/>
        <v>122023</v>
      </c>
      <c r="D1363" s="292" t="s">
        <v>3796</v>
      </c>
      <c r="E1363" s="290" t="s">
        <v>3797</v>
      </c>
      <c r="F1363" s="292" t="s">
        <v>3798</v>
      </c>
      <c r="G1363" s="290" t="s">
        <v>40</v>
      </c>
      <c r="H1363" s="290" t="s">
        <v>547</v>
      </c>
      <c r="I1363" s="290" t="s">
        <v>42</v>
      </c>
      <c r="J1363" s="293">
        <v>2.0</v>
      </c>
      <c r="K1363" s="293">
        <v>5.0</v>
      </c>
      <c r="L1363" s="98"/>
      <c r="M1363" s="293">
        <v>1.0</v>
      </c>
      <c r="N1363" s="98"/>
      <c r="O1363" s="98"/>
      <c r="P1363" s="98"/>
      <c r="Q1363" s="99"/>
      <c r="R1363" s="99"/>
      <c r="S1363" s="290" t="s">
        <v>72</v>
      </c>
      <c r="T1363" s="353" t="s">
        <v>83</v>
      </c>
      <c r="U1363" s="353" t="s">
        <v>163</v>
      </c>
      <c r="V1363" s="353" t="s">
        <v>3545</v>
      </c>
      <c r="W1363" s="100"/>
      <c r="X1363" s="100"/>
      <c r="Y1363" s="100"/>
      <c r="Z1363" s="100"/>
      <c r="AA1363" s="294">
        <v>155250.0</v>
      </c>
      <c r="AB1363" s="294">
        <v>698625.0</v>
      </c>
      <c r="AC1363" s="24" t="s">
        <v>3799</v>
      </c>
      <c r="AD1363" s="195">
        <v>12954.0</v>
      </c>
      <c r="AE1363" s="38"/>
      <c r="AF1363" s="290" t="str">
        <f t="shared" si="1"/>
        <v>Capital Federal, Argentina</v>
      </c>
      <c r="AG1363" s="290">
        <f t="shared" si="2"/>
        <v>8</v>
      </c>
      <c r="AH1363" s="295">
        <f t="shared" si="3"/>
        <v>0</v>
      </c>
      <c r="AI1363" s="295">
        <f t="shared" si="4"/>
        <v>0</v>
      </c>
      <c r="AJ1363" s="294">
        <f t="shared" si="5"/>
        <v>853875</v>
      </c>
      <c r="AK1363" s="294">
        <f t="shared" si="6"/>
        <v>853875</v>
      </c>
      <c r="AL1363" s="103"/>
      <c r="AM1363" s="103"/>
    </row>
    <row r="1364">
      <c r="A1364" s="290">
        <v>1363.0</v>
      </c>
      <c r="B1364" s="291">
        <v>45282.0</v>
      </c>
      <c r="C1364" s="195" t="str">
        <f t="shared" si="10"/>
        <v>122023</v>
      </c>
      <c r="D1364" s="292" t="s">
        <v>3800</v>
      </c>
      <c r="E1364" s="290" t="s">
        <v>3801</v>
      </c>
      <c r="F1364" s="292" t="s">
        <v>3802</v>
      </c>
      <c r="G1364" s="290" t="s">
        <v>40</v>
      </c>
      <c r="H1364" s="290" t="s">
        <v>547</v>
      </c>
      <c r="I1364" s="290" t="s">
        <v>42</v>
      </c>
      <c r="J1364" s="293">
        <v>2.0</v>
      </c>
      <c r="K1364" s="293">
        <v>1.0</v>
      </c>
      <c r="L1364" s="98"/>
      <c r="M1364" s="293">
        <v>1.0</v>
      </c>
      <c r="N1364" s="98"/>
      <c r="O1364" s="98"/>
      <c r="P1364" s="98"/>
      <c r="Q1364" s="99"/>
      <c r="R1364" s="99"/>
      <c r="S1364" s="290" t="s">
        <v>105</v>
      </c>
      <c r="T1364" s="353" t="s">
        <v>66</v>
      </c>
      <c r="U1364" s="353" t="s">
        <v>163</v>
      </c>
      <c r="V1364" s="353" t="s">
        <v>3545</v>
      </c>
      <c r="W1364" s="100"/>
      <c r="X1364" s="100"/>
      <c r="Y1364" s="100"/>
      <c r="Z1364" s="100"/>
      <c r="AA1364" s="294">
        <v>74250.0</v>
      </c>
      <c r="AB1364" s="294">
        <v>334125.0</v>
      </c>
      <c r="AC1364" s="24" t="s">
        <v>3803</v>
      </c>
      <c r="AD1364" s="195">
        <v>12914.0</v>
      </c>
      <c r="AE1364" s="38"/>
      <c r="AF1364" s="290" t="str">
        <f t="shared" si="1"/>
        <v>Buenos Aires, Argentina</v>
      </c>
      <c r="AG1364" s="290">
        <f t="shared" si="2"/>
        <v>4</v>
      </c>
      <c r="AH1364" s="295">
        <f t="shared" si="3"/>
        <v>0</v>
      </c>
      <c r="AI1364" s="295">
        <f t="shared" si="4"/>
        <v>0</v>
      </c>
      <c r="AJ1364" s="294">
        <f t="shared" si="5"/>
        <v>408375</v>
      </c>
      <c r="AK1364" s="294">
        <f t="shared" si="6"/>
        <v>408375</v>
      </c>
      <c r="AL1364" s="103"/>
      <c r="AM1364" s="103"/>
    </row>
    <row r="1365">
      <c r="A1365" s="290">
        <v>1364.0</v>
      </c>
      <c r="B1365" s="291">
        <v>45287.0</v>
      </c>
      <c r="C1365" s="195" t="str">
        <f t="shared" si="10"/>
        <v>122023</v>
      </c>
      <c r="D1365" s="292" t="s">
        <v>3635</v>
      </c>
      <c r="E1365" s="290" t="s">
        <v>3636</v>
      </c>
      <c r="F1365" s="292" t="s">
        <v>1423</v>
      </c>
      <c r="G1365" s="290" t="s">
        <v>64</v>
      </c>
      <c r="H1365" s="290" t="s">
        <v>41</v>
      </c>
      <c r="I1365" s="290" t="s">
        <v>643</v>
      </c>
      <c r="J1365" s="293">
        <v>1.0</v>
      </c>
      <c r="K1365" s="98"/>
      <c r="L1365" s="98"/>
      <c r="M1365" s="98"/>
      <c r="N1365" s="98"/>
      <c r="O1365" s="98"/>
      <c r="P1365" s="98"/>
      <c r="Q1365" s="99"/>
      <c r="R1365" s="99"/>
      <c r="S1365" s="290" t="s">
        <v>189</v>
      </c>
      <c r="T1365" s="353" t="s">
        <v>73</v>
      </c>
      <c r="U1365" s="353" t="s">
        <v>99</v>
      </c>
      <c r="V1365" s="353" t="s">
        <v>1984</v>
      </c>
      <c r="W1365" s="100"/>
      <c r="X1365" s="100"/>
      <c r="Y1365" s="100"/>
      <c r="Z1365" s="100"/>
      <c r="AA1365" s="294">
        <v>45000.0</v>
      </c>
      <c r="AB1365" s="294">
        <v>202500.0</v>
      </c>
      <c r="AC1365" s="24" t="s">
        <v>3804</v>
      </c>
      <c r="AD1365" s="195">
        <v>13046.0</v>
      </c>
      <c r="AE1365" s="38"/>
      <c r="AF1365" s="290" t="str">
        <f t="shared" si="1"/>
        <v>Tierra de Fuego, Argentina</v>
      </c>
      <c r="AG1365" s="290">
        <f t="shared" si="2"/>
        <v>1</v>
      </c>
      <c r="AH1365" s="295">
        <f t="shared" si="3"/>
        <v>0</v>
      </c>
      <c r="AI1365" s="295">
        <f t="shared" si="4"/>
        <v>0</v>
      </c>
      <c r="AJ1365" s="294">
        <f t="shared" si="5"/>
        <v>247500</v>
      </c>
      <c r="AK1365" s="294">
        <f t="shared" si="6"/>
        <v>247500</v>
      </c>
      <c r="AL1365" s="103"/>
      <c r="AM1365" s="103"/>
    </row>
    <row r="1366">
      <c r="A1366" s="290">
        <v>1365.0</v>
      </c>
      <c r="B1366" s="291">
        <v>45288.0</v>
      </c>
      <c r="C1366" s="195" t="str">
        <f t="shared" si="10"/>
        <v>122023</v>
      </c>
      <c r="D1366" s="292" t="s">
        <v>3442</v>
      </c>
      <c r="E1366" s="290" t="s">
        <v>3443</v>
      </c>
      <c r="F1366" s="292" t="s">
        <v>3727</v>
      </c>
      <c r="G1366" s="290" t="s">
        <v>64</v>
      </c>
      <c r="H1366" s="290" t="s">
        <v>41</v>
      </c>
      <c r="I1366" s="290" t="s">
        <v>643</v>
      </c>
      <c r="J1366" s="98"/>
      <c r="K1366" s="98"/>
      <c r="L1366" s="98"/>
      <c r="M1366" s="98"/>
      <c r="N1366" s="98"/>
      <c r="O1366" s="98"/>
      <c r="P1366" s="98"/>
      <c r="Q1366" s="99"/>
      <c r="R1366" s="99"/>
      <c r="S1366" s="290" t="s">
        <v>109</v>
      </c>
      <c r="T1366" s="353" t="s">
        <v>66</v>
      </c>
      <c r="U1366" s="353" t="s">
        <v>99</v>
      </c>
      <c r="V1366" s="353" t="s">
        <v>1984</v>
      </c>
      <c r="W1366" s="100"/>
      <c r="X1366" s="100"/>
      <c r="Y1366" s="100"/>
      <c r="Z1366" s="100"/>
      <c r="AA1366" s="294">
        <v>0.0</v>
      </c>
      <c r="AB1366" s="294">
        <v>324000.0</v>
      </c>
      <c r="AC1366" s="24" t="s">
        <v>3805</v>
      </c>
      <c r="AD1366" s="195">
        <v>12962.0</v>
      </c>
      <c r="AE1366" s="38"/>
      <c r="AF1366" s="290" t="str">
        <f t="shared" si="1"/>
        <v>Buenos Aires, Argentina</v>
      </c>
      <c r="AG1366" s="290">
        <f t="shared" si="2"/>
        <v>0</v>
      </c>
      <c r="AH1366" s="295">
        <f t="shared" si="3"/>
        <v>0</v>
      </c>
      <c r="AI1366" s="295">
        <f t="shared" si="4"/>
        <v>0</v>
      </c>
      <c r="AJ1366" s="294">
        <f t="shared" si="5"/>
        <v>324000</v>
      </c>
      <c r="AK1366" s="294">
        <f t="shared" si="6"/>
        <v>324000</v>
      </c>
      <c r="AL1366" s="103"/>
      <c r="AM1366" s="103"/>
    </row>
    <row r="1367">
      <c r="A1367" s="290">
        <v>1366.0</v>
      </c>
      <c r="B1367" s="291">
        <v>45289.0</v>
      </c>
      <c r="C1367" s="195" t="str">
        <f t="shared" si="10"/>
        <v>122023</v>
      </c>
      <c r="D1367" s="292" t="s">
        <v>3806</v>
      </c>
      <c r="E1367" s="290" t="s">
        <v>3807</v>
      </c>
      <c r="F1367" s="292" t="s">
        <v>3808</v>
      </c>
      <c r="G1367" s="290" t="s">
        <v>40</v>
      </c>
      <c r="H1367" s="290" t="s">
        <v>547</v>
      </c>
      <c r="I1367" s="290" t="s">
        <v>42</v>
      </c>
      <c r="J1367" s="293">
        <v>1.0</v>
      </c>
      <c r="K1367" s="98"/>
      <c r="L1367" s="98"/>
      <c r="M1367" s="293">
        <v>1.0</v>
      </c>
      <c r="N1367" s="98"/>
      <c r="O1367" s="98"/>
      <c r="P1367" s="293">
        <v>1.0</v>
      </c>
      <c r="Q1367" s="99"/>
      <c r="R1367" s="99"/>
      <c r="S1367" s="290" t="s">
        <v>109</v>
      </c>
      <c r="T1367" s="353" t="s">
        <v>66</v>
      </c>
      <c r="U1367" s="353" t="s">
        <v>342</v>
      </c>
      <c r="V1367" s="353" t="s">
        <v>3594</v>
      </c>
      <c r="W1367" s="100"/>
      <c r="X1367" s="100"/>
      <c r="Y1367" s="100"/>
      <c r="Z1367" s="100"/>
      <c r="AA1367" s="294">
        <v>47250.0</v>
      </c>
      <c r="AB1367" s="294">
        <v>212625.0</v>
      </c>
      <c r="AC1367" s="24" t="s">
        <v>3809</v>
      </c>
      <c r="AD1367" s="195">
        <v>12918.0</v>
      </c>
      <c r="AE1367" s="38"/>
      <c r="AF1367" s="290" t="str">
        <f t="shared" si="1"/>
        <v>Buenos Aires, Argentina</v>
      </c>
      <c r="AG1367" s="290">
        <f t="shared" si="2"/>
        <v>3</v>
      </c>
      <c r="AH1367" s="295">
        <f t="shared" si="3"/>
        <v>0</v>
      </c>
      <c r="AI1367" s="295">
        <f t="shared" si="4"/>
        <v>0</v>
      </c>
      <c r="AJ1367" s="294">
        <f t="shared" si="5"/>
        <v>259875</v>
      </c>
      <c r="AK1367" s="294">
        <f t="shared" si="6"/>
        <v>259875</v>
      </c>
      <c r="AL1367" s="103"/>
      <c r="AM1367" s="103"/>
    </row>
    <row r="1368">
      <c r="A1368" s="290">
        <v>1367.0</v>
      </c>
      <c r="B1368" s="291">
        <v>45289.0</v>
      </c>
      <c r="C1368" s="195" t="str">
        <f t="shared" si="10"/>
        <v>122023</v>
      </c>
      <c r="D1368" s="292" t="s">
        <v>3810</v>
      </c>
      <c r="E1368" s="290" t="s">
        <v>3811</v>
      </c>
      <c r="F1368" s="292" t="s">
        <v>3812</v>
      </c>
      <c r="G1368" s="290" t="s">
        <v>64</v>
      </c>
      <c r="H1368" s="290" t="s">
        <v>41</v>
      </c>
      <c r="I1368" s="290" t="s">
        <v>643</v>
      </c>
      <c r="J1368" s="98"/>
      <c r="K1368" s="98"/>
      <c r="L1368" s="98"/>
      <c r="M1368" s="98"/>
      <c r="N1368" s="98"/>
      <c r="O1368" s="98"/>
      <c r="P1368" s="98"/>
      <c r="Q1368" s="99"/>
      <c r="R1368" s="99"/>
      <c r="S1368" s="290" t="s">
        <v>137</v>
      </c>
      <c r="T1368" s="353" t="s">
        <v>58</v>
      </c>
      <c r="U1368" s="353" t="s">
        <v>99</v>
      </c>
      <c r="V1368" s="353" t="s">
        <v>1984</v>
      </c>
      <c r="W1368" s="100"/>
      <c r="X1368" s="100"/>
      <c r="Y1368" s="100"/>
      <c r="Z1368" s="100"/>
      <c r="AA1368" s="294">
        <v>0.0</v>
      </c>
      <c r="AB1368" s="294">
        <v>40500.0</v>
      </c>
      <c r="AC1368" s="24" t="s">
        <v>3813</v>
      </c>
      <c r="AD1368" s="195">
        <v>12990.0</v>
      </c>
      <c r="AE1368" s="38"/>
      <c r="AF1368" s="290" t="str">
        <f t="shared" si="1"/>
        <v>Córdoba, Argentina</v>
      </c>
      <c r="AG1368" s="290">
        <f t="shared" si="2"/>
        <v>0</v>
      </c>
      <c r="AH1368" s="295">
        <f t="shared" si="3"/>
        <v>0</v>
      </c>
      <c r="AI1368" s="295">
        <f t="shared" si="4"/>
        <v>0</v>
      </c>
      <c r="AJ1368" s="294">
        <f t="shared" si="5"/>
        <v>40500</v>
      </c>
      <c r="AK1368" s="294">
        <f t="shared" si="6"/>
        <v>40500</v>
      </c>
      <c r="AL1368" s="103"/>
      <c r="AM1368" s="103"/>
    </row>
    <row r="1369">
      <c r="A1369" s="354">
        <v>1368.0</v>
      </c>
      <c r="B1369" s="355">
        <v>45299.0</v>
      </c>
      <c r="C1369" s="195" t="str">
        <f t="shared" si="10"/>
        <v>12024</v>
      </c>
      <c r="D1369" s="356" t="s">
        <v>3814</v>
      </c>
      <c r="E1369" s="354" t="s">
        <v>1877</v>
      </c>
      <c r="F1369" s="357" t="s">
        <v>1415</v>
      </c>
      <c r="G1369" s="354" t="s">
        <v>64</v>
      </c>
      <c r="H1369" s="354" t="s">
        <v>41</v>
      </c>
      <c r="I1369" s="354" t="s">
        <v>643</v>
      </c>
      <c r="J1369" s="358"/>
      <c r="K1369" s="359">
        <v>1.0</v>
      </c>
      <c r="L1369" s="358"/>
      <c r="M1369" s="358"/>
      <c r="N1369" s="358"/>
      <c r="O1369" s="358"/>
      <c r="P1369" s="358"/>
      <c r="Q1369" s="360"/>
      <c r="R1369" s="360"/>
      <c r="S1369" s="354" t="s">
        <v>189</v>
      </c>
      <c r="T1369" s="361" t="s">
        <v>66</v>
      </c>
      <c r="U1369" s="361" t="s">
        <v>99</v>
      </c>
      <c r="V1369" s="361" t="s">
        <v>1984</v>
      </c>
      <c r="W1369" s="362"/>
      <c r="X1369" s="362"/>
      <c r="Y1369" s="362"/>
      <c r="Z1369" s="362"/>
      <c r="AA1369" s="363">
        <v>40125.0</v>
      </c>
      <c r="AB1369" s="363">
        <v>160499.0</v>
      </c>
      <c r="AC1369" s="364" t="s">
        <v>3815</v>
      </c>
      <c r="AD1369" s="201">
        <v>13096.0</v>
      </c>
      <c r="AE1369" s="134"/>
      <c r="AF1369" s="354" t="str">
        <f t="shared" si="1"/>
        <v>Buenos Aires, Argentina</v>
      </c>
      <c r="AG1369" s="354">
        <f t="shared" si="2"/>
        <v>1</v>
      </c>
      <c r="AH1369" s="365">
        <f t="shared" si="3"/>
        <v>0</v>
      </c>
      <c r="AI1369" s="365">
        <f t="shared" si="4"/>
        <v>0</v>
      </c>
      <c r="AJ1369" s="363">
        <f t="shared" si="5"/>
        <v>200624</v>
      </c>
      <c r="AK1369" s="363">
        <f t="shared" si="6"/>
        <v>200624</v>
      </c>
      <c r="AL1369" s="366"/>
      <c r="AM1369" s="366"/>
    </row>
    <row r="1370">
      <c r="A1370" s="354">
        <v>1369.0</v>
      </c>
      <c r="B1370" s="355">
        <v>45299.0</v>
      </c>
      <c r="C1370" s="195" t="str">
        <f t="shared" si="10"/>
        <v>12024</v>
      </c>
      <c r="D1370" s="367" t="s">
        <v>3816</v>
      </c>
      <c r="E1370" s="354" t="s">
        <v>3817</v>
      </c>
      <c r="F1370" s="357" t="s">
        <v>2327</v>
      </c>
      <c r="G1370" s="354" t="s">
        <v>40</v>
      </c>
      <c r="H1370" s="354" t="s">
        <v>547</v>
      </c>
      <c r="I1370" s="354" t="s">
        <v>643</v>
      </c>
      <c r="J1370" s="359">
        <v>1.0</v>
      </c>
      <c r="K1370" s="358"/>
      <c r="L1370" s="358"/>
      <c r="M1370" s="359">
        <v>1.0</v>
      </c>
      <c r="N1370" s="358"/>
      <c r="O1370" s="358"/>
      <c r="P1370" s="358"/>
      <c r="Q1370" s="360"/>
      <c r="R1370" s="360"/>
      <c r="S1370" s="354" t="s">
        <v>89</v>
      </c>
      <c r="T1370" s="361" t="s">
        <v>66</v>
      </c>
      <c r="U1370" s="361" t="s">
        <v>342</v>
      </c>
      <c r="V1370" s="361" t="s">
        <v>2935</v>
      </c>
      <c r="W1370" s="362"/>
      <c r="X1370" s="362"/>
      <c r="Y1370" s="362"/>
      <c r="Z1370" s="362"/>
      <c r="AA1370" s="363">
        <v>32100.0</v>
      </c>
      <c r="AB1370" s="363">
        <v>265360.0</v>
      </c>
      <c r="AC1370" s="364" t="s">
        <v>3818</v>
      </c>
      <c r="AD1370" s="201">
        <v>13168.0</v>
      </c>
      <c r="AE1370" s="134"/>
      <c r="AF1370" s="354" t="str">
        <f t="shared" si="1"/>
        <v>Buenos Aires, Argentina</v>
      </c>
      <c r="AG1370" s="354">
        <f t="shared" si="2"/>
        <v>2</v>
      </c>
      <c r="AH1370" s="365">
        <f t="shared" si="3"/>
        <v>0</v>
      </c>
      <c r="AI1370" s="365">
        <f t="shared" si="4"/>
        <v>0</v>
      </c>
      <c r="AJ1370" s="363">
        <f t="shared" si="5"/>
        <v>297460</v>
      </c>
      <c r="AK1370" s="363">
        <f t="shared" si="6"/>
        <v>297460</v>
      </c>
      <c r="AL1370" s="366"/>
      <c r="AM1370" s="366"/>
    </row>
    <row r="1371">
      <c r="A1371" s="354">
        <v>1370.0</v>
      </c>
      <c r="B1371" s="355">
        <v>45301.0</v>
      </c>
      <c r="C1371" s="195" t="str">
        <f t="shared" si="10"/>
        <v>12024</v>
      </c>
      <c r="D1371" s="367" t="s">
        <v>3819</v>
      </c>
      <c r="E1371" s="354" t="s">
        <v>3820</v>
      </c>
      <c r="F1371" s="357" t="s">
        <v>1423</v>
      </c>
      <c r="G1371" s="354" t="s">
        <v>64</v>
      </c>
      <c r="H1371" s="354" t="s">
        <v>41</v>
      </c>
      <c r="I1371" s="354" t="s">
        <v>643</v>
      </c>
      <c r="J1371" s="359">
        <v>1.0</v>
      </c>
      <c r="K1371" s="358"/>
      <c r="L1371" s="358"/>
      <c r="M1371" s="358"/>
      <c r="N1371" s="358"/>
      <c r="O1371" s="358"/>
      <c r="P1371" s="358"/>
      <c r="Q1371" s="360"/>
      <c r="R1371" s="360"/>
      <c r="S1371" s="354" t="s">
        <v>137</v>
      </c>
      <c r="T1371" s="361" t="s">
        <v>66</v>
      </c>
      <c r="U1371" s="361" t="s">
        <v>99</v>
      </c>
      <c r="V1371" s="361" t="s">
        <v>1984</v>
      </c>
      <c r="W1371" s="362"/>
      <c r="X1371" s="362"/>
      <c r="Y1371" s="362"/>
      <c r="Z1371" s="362"/>
      <c r="AA1371" s="363">
        <v>53500.0</v>
      </c>
      <c r="AB1371" s="363">
        <v>240750.0</v>
      </c>
      <c r="AC1371" s="364" t="s">
        <v>3821</v>
      </c>
      <c r="AD1371" s="201">
        <v>12926.0</v>
      </c>
      <c r="AE1371" s="134"/>
      <c r="AF1371" s="354" t="str">
        <f t="shared" si="1"/>
        <v>Buenos Aires, Argentina</v>
      </c>
      <c r="AG1371" s="354">
        <f t="shared" si="2"/>
        <v>1</v>
      </c>
      <c r="AH1371" s="365">
        <f t="shared" si="3"/>
        <v>0</v>
      </c>
      <c r="AI1371" s="365">
        <f t="shared" si="4"/>
        <v>0</v>
      </c>
      <c r="AJ1371" s="363">
        <f t="shared" si="5"/>
        <v>294250</v>
      </c>
      <c r="AK1371" s="363">
        <f t="shared" si="6"/>
        <v>294250</v>
      </c>
      <c r="AL1371" s="366"/>
      <c r="AM1371" s="366"/>
    </row>
    <row r="1372">
      <c r="A1372" s="354">
        <v>1371.0</v>
      </c>
      <c r="B1372" s="355">
        <v>45301.0</v>
      </c>
      <c r="C1372" s="195" t="str">
        <f t="shared" si="10"/>
        <v>12024</v>
      </c>
      <c r="D1372" s="367" t="s">
        <v>3730</v>
      </c>
      <c r="E1372" s="354" t="s">
        <v>3822</v>
      </c>
      <c r="F1372" s="357" t="s">
        <v>1412</v>
      </c>
      <c r="G1372" s="354" t="s">
        <v>64</v>
      </c>
      <c r="H1372" s="354" t="s">
        <v>41</v>
      </c>
      <c r="I1372" s="354" t="s">
        <v>42</v>
      </c>
      <c r="J1372" s="359">
        <v>2.0</v>
      </c>
      <c r="K1372" s="358"/>
      <c r="L1372" s="358"/>
      <c r="M1372" s="358"/>
      <c r="N1372" s="358"/>
      <c r="O1372" s="358"/>
      <c r="P1372" s="358"/>
      <c r="Q1372" s="360"/>
      <c r="R1372" s="360"/>
      <c r="S1372" s="354" t="s">
        <v>105</v>
      </c>
      <c r="T1372" s="361" t="s">
        <v>539</v>
      </c>
      <c r="U1372" s="361" t="s">
        <v>99</v>
      </c>
      <c r="V1372" s="361" t="s">
        <v>2922</v>
      </c>
      <c r="W1372" s="362"/>
      <c r="X1372" s="362"/>
      <c r="Y1372" s="362"/>
      <c r="Z1372" s="362"/>
      <c r="AA1372" s="363">
        <v>107000.0</v>
      </c>
      <c r="AB1372" s="363">
        <v>481500.0</v>
      </c>
      <c r="AC1372" s="364" t="s">
        <v>3823</v>
      </c>
      <c r="AD1372" s="201">
        <v>13178.0</v>
      </c>
      <c r="AE1372" s="134"/>
      <c r="AF1372" s="354" t="str">
        <f t="shared" si="1"/>
        <v>Misiones, Argentina</v>
      </c>
      <c r="AG1372" s="354">
        <f t="shared" si="2"/>
        <v>2</v>
      </c>
      <c r="AH1372" s="365">
        <f t="shared" si="3"/>
        <v>0</v>
      </c>
      <c r="AI1372" s="365">
        <f t="shared" si="4"/>
        <v>0</v>
      </c>
      <c r="AJ1372" s="363">
        <f t="shared" si="5"/>
        <v>588500</v>
      </c>
      <c r="AK1372" s="363">
        <f t="shared" si="6"/>
        <v>588500</v>
      </c>
      <c r="AL1372" s="366"/>
      <c r="AM1372" s="366"/>
    </row>
    <row r="1373">
      <c r="A1373" s="354">
        <v>1372.0</v>
      </c>
      <c r="B1373" s="355">
        <v>45302.0</v>
      </c>
      <c r="C1373" s="195" t="str">
        <f t="shared" si="10"/>
        <v>12024</v>
      </c>
      <c r="D1373" s="367" t="s">
        <v>3521</v>
      </c>
      <c r="E1373" s="354" t="s">
        <v>3522</v>
      </c>
      <c r="F1373" s="357" t="s">
        <v>3333</v>
      </c>
      <c r="G1373" s="354" t="s">
        <v>64</v>
      </c>
      <c r="H1373" s="354" t="s">
        <v>41</v>
      </c>
      <c r="I1373" s="354" t="s">
        <v>643</v>
      </c>
      <c r="J1373" s="358"/>
      <c r="K1373" s="358"/>
      <c r="L1373" s="358"/>
      <c r="M1373" s="358"/>
      <c r="N1373" s="358"/>
      <c r="O1373" s="358"/>
      <c r="P1373" s="358"/>
      <c r="Q1373" s="360"/>
      <c r="R1373" s="360"/>
      <c r="S1373" s="354" t="s">
        <v>105</v>
      </c>
      <c r="T1373" s="361" t="s">
        <v>73</v>
      </c>
      <c r="U1373" s="361" t="s">
        <v>99</v>
      </c>
      <c r="V1373" s="361" t="s">
        <v>1984</v>
      </c>
      <c r="W1373" s="362"/>
      <c r="X1373" s="362"/>
      <c r="Y1373" s="362"/>
      <c r="Z1373" s="362"/>
      <c r="AA1373" s="363">
        <v>0.0</v>
      </c>
      <c r="AB1373" s="363">
        <v>96300.0</v>
      </c>
      <c r="AC1373" s="364" t="s">
        <v>3824</v>
      </c>
      <c r="AD1373" s="201">
        <v>13124.0</v>
      </c>
      <c r="AE1373" s="134"/>
      <c r="AF1373" s="354" t="str">
        <f t="shared" si="1"/>
        <v>Tierra de Fuego, Argentina</v>
      </c>
      <c r="AG1373" s="354">
        <f t="shared" si="2"/>
        <v>0</v>
      </c>
      <c r="AH1373" s="365">
        <f t="shared" si="3"/>
        <v>0</v>
      </c>
      <c r="AI1373" s="365">
        <f t="shared" si="4"/>
        <v>0</v>
      </c>
      <c r="AJ1373" s="363">
        <f t="shared" si="5"/>
        <v>96300</v>
      </c>
      <c r="AK1373" s="363">
        <f t="shared" si="6"/>
        <v>96300</v>
      </c>
      <c r="AL1373" s="366"/>
      <c r="AM1373" s="366"/>
    </row>
    <row r="1374">
      <c r="A1374" s="354">
        <v>1373.0</v>
      </c>
      <c r="B1374" s="355">
        <v>45303.0</v>
      </c>
      <c r="C1374" s="195" t="str">
        <f t="shared" si="10"/>
        <v>12024</v>
      </c>
      <c r="D1374" s="367" t="s">
        <v>3825</v>
      </c>
      <c r="E1374" s="354" t="s">
        <v>3826</v>
      </c>
      <c r="F1374" s="357" t="s">
        <v>3416</v>
      </c>
      <c r="G1374" s="354" t="s">
        <v>40</v>
      </c>
      <c r="H1374" s="354" t="s">
        <v>547</v>
      </c>
      <c r="I1374" s="354" t="s">
        <v>42</v>
      </c>
      <c r="J1374" s="359">
        <v>1.0</v>
      </c>
      <c r="K1374" s="359">
        <v>1.0</v>
      </c>
      <c r="L1374" s="358"/>
      <c r="M1374" s="359">
        <v>1.0</v>
      </c>
      <c r="N1374" s="358"/>
      <c r="O1374" s="358"/>
      <c r="P1374" s="358"/>
      <c r="Q1374" s="360"/>
      <c r="R1374" s="360"/>
      <c r="S1374" s="354" t="s">
        <v>105</v>
      </c>
      <c r="T1374" s="361" t="s">
        <v>734</v>
      </c>
      <c r="U1374" s="361" t="s">
        <v>45</v>
      </c>
      <c r="V1374" s="361" t="s">
        <v>3594</v>
      </c>
      <c r="W1374" s="362"/>
      <c r="X1374" s="362"/>
      <c r="Y1374" s="362"/>
      <c r="Z1374" s="362"/>
      <c r="AA1374" s="363">
        <v>56175.0</v>
      </c>
      <c r="AB1374" s="363">
        <v>252788.0</v>
      </c>
      <c r="AC1374" s="364" t="s">
        <v>3827</v>
      </c>
      <c r="AD1374" s="201">
        <v>13152.0</v>
      </c>
      <c r="AE1374" s="134"/>
      <c r="AF1374" s="354" t="str">
        <f t="shared" si="1"/>
        <v>Corrientes, Argentina</v>
      </c>
      <c r="AG1374" s="354">
        <f t="shared" si="2"/>
        <v>3</v>
      </c>
      <c r="AH1374" s="365">
        <f t="shared" si="3"/>
        <v>0</v>
      </c>
      <c r="AI1374" s="365">
        <f t="shared" si="4"/>
        <v>0</v>
      </c>
      <c r="AJ1374" s="363">
        <f t="shared" si="5"/>
        <v>308963</v>
      </c>
      <c r="AK1374" s="363">
        <f t="shared" si="6"/>
        <v>308963</v>
      </c>
      <c r="AL1374" s="366"/>
      <c r="AM1374" s="366"/>
    </row>
    <row r="1375">
      <c r="A1375" s="354">
        <v>1374.0</v>
      </c>
      <c r="B1375" s="355">
        <v>45306.0</v>
      </c>
      <c r="C1375" s="195" t="str">
        <f t="shared" si="10"/>
        <v>12024</v>
      </c>
      <c r="D1375" s="367" t="s">
        <v>2242</v>
      </c>
      <c r="E1375" s="354" t="s">
        <v>2243</v>
      </c>
      <c r="F1375" s="357" t="s">
        <v>3828</v>
      </c>
      <c r="G1375" s="354" t="s">
        <v>64</v>
      </c>
      <c r="H1375" s="354" t="s">
        <v>41</v>
      </c>
      <c r="I1375" s="354" t="s">
        <v>643</v>
      </c>
      <c r="J1375" s="359">
        <v>1.0</v>
      </c>
      <c r="K1375" s="358"/>
      <c r="L1375" s="358"/>
      <c r="M1375" s="358"/>
      <c r="N1375" s="358"/>
      <c r="O1375" s="358"/>
      <c r="P1375" s="358"/>
      <c r="Q1375" s="360"/>
      <c r="R1375" s="360"/>
      <c r="S1375" s="354" t="s">
        <v>65</v>
      </c>
      <c r="T1375" s="361" t="s">
        <v>66</v>
      </c>
      <c r="U1375" s="361" t="s">
        <v>99</v>
      </c>
      <c r="V1375" s="361" t="s">
        <v>1984</v>
      </c>
      <c r="W1375" s="362"/>
      <c r="X1375" s="362"/>
      <c r="Y1375" s="362"/>
      <c r="Z1375" s="362"/>
      <c r="AA1375" s="363">
        <v>53500.0</v>
      </c>
      <c r="AB1375" s="363">
        <v>385200.0</v>
      </c>
      <c r="AC1375" s="364" t="s">
        <v>3829</v>
      </c>
      <c r="AD1375" s="201">
        <v>13084.0</v>
      </c>
      <c r="AE1375" s="134"/>
      <c r="AF1375" s="354" t="str">
        <f t="shared" si="1"/>
        <v>Buenos Aires, Argentina</v>
      </c>
      <c r="AG1375" s="354">
        <f t="shared" si="2"/>
        <v>1</v>
      </c>
      <c r="AH1375" s="365">
        <f t="shared" si="3"/>
        <v>0</v>
      </c>
      <c r="AI1375" s="365">
        <f t="shared" si="4"/>
        <v>0</v>
      </c>
      <c r="AJ1375" s="363">
        <f t="shared" si="5"/>
        <v>438700</v>
      </c>
      <c r="AK1375" s="363">
        <f t="shared" si="6"/>
        <v>438700</v>
      </c>
      <c r="AL1375" s="366"/>
      <c r="AM1375" s="366"/>
    </row>
    <row r="1376">
      <c r="A1376" s="354">
        <v>1375.0</v>
      </c>
      <c r="B1376" s="355">
        <v>45306.0</v>
      </c>
      <c r="C1376" s="195" t="str">
        <f t="shared" si="10"/>
        <v>12024</v>
      </c>
      <c r="D1376" s="367" t="s">
        <v>3830</v>
      </c>
      <c r="E1376" s="354" t="s">
        <v>3831</v>
      </c>
      <c r="F1376" s="357" t="s">
        <v>2327</v>
      </c>
      <c r="G1376" s="354" t="s">
        <v>40</v>
      </c>
      <c r="H1376" s="354" t="s">
        <v>547</v>
      </c>
      <c r="I1376" s="354" t="s">
        <v>42</v>
      </c>
      <c r="J1376" s="359">
        <v>1.0</v>
      </c>
      <c r="K1376" s="358"/>
      <c r="L1376" s="358"/>
      <c r="M1376" s="359">
        <v>1.0</v>
      </c>
      <c r="N1376" s="358"/>
      <c r="O1376" s="358"/>
      <c r="P1376" s="358"/>
      <c r="Q1376" s="360"/>
      <c r="R1376" s="360"/>
      <c r="S1376" s="354" t="s">
        <v>105</v>
      </c>
      <c r="T1376" s="361" t="s">
        <v>972</v>
      </c>
      <c r="U1376" s="361" t="s">
        <v>163</v>
      </c>
      <c r="V1376" s="361" t="s">
        <v>3545</v>
      </c>
      <c r="W1376" s="362"/>
      <c r="X1376" s="362"/>
      <c r="Y1376" s="362"/>
      <c r="Z1376" s="362"/>
      <c r="AA1376" s="363">
        <v>32100.0</v>
      </c>
      <c r="AB1376" s="363">
        <v>144450.0</v>
      </c>
      <c r="AC1376" s="364" t="s">
        <v>3832</v>
      </c>
      <c r="AD1376" s="201">
        <v>13234.0</v>
      </c>
      <c r="AE1376" s="134"/>
      <c r="AF1376" s="354" t="str">
        <f t="shared" si="1"/>
        <v>Río Negro, Argentina</v>
      </c>
      <c r="AG1376" s="354">
        <f t="shared" si="2"/>
        <v>2</v>
      </c>
      <c r="AH1376" s="365">
        <f t="shared" si="3"/>
        <v>0</v>
      </c>
      <c r="AI1376" s="365">
        <f t="shared" si="4"/>
        <v>0</v>
      </c>
      <c r="AJ1376" s="363">
        <f t="shared" si="5"/>
        <v>176550</v>
      </c>
      <c r="AK1376" s="363">
        <f t="shared" si="6"/>
        <v>176550</v>
      </c>
      <c r="AL1376" s="366"/>
      <c r="AM1376" s="366"/>
    </row>
    <row r="1377">
      <c r="A1377" s="354">
        <v>1376.0</v>
      </c>
      <c r="B1377" s="355">
        <v>45307.0</v>
      </c>
      <c r="C1377" s="195" t="str">
        <f t="shared" si="10"/>
        <v>12024</v>
      </c>
      <c r="D1377" s="367" t="s">
        <v>2170</v>
      </c>
      <c r="E1377" s="354" t="s">
        <v>2171</v>
      </c>
      <c r="F1377" s="357" t="s">
        <v>3333</v>
      </c>
      <c r="G1377" s="354" t="s">
        <v>64</v>
      </c>
      <c r="H1377" s="354" t="s">
        <v>41</v>
      </c>
      <c r="I1377" s="354" t="s">
        <v>643</v>
      </c>
      <c r="J1377" s="358"/>
      <c r="K1377" s="358"/>
      <c r="L1377" s="358"/>
      <c r="M1377" s="358"/>
      <c r="N1377" s="358"/>
      <c r="O1377" s="358"/>
      <c r="P1377" s="358"/>
      <c r="Q1377" s="360"/>
      <c r="R1377" s="360"/>
      <c r="S1377" s="354" t="s">
        <v>82</v>
      </c>
      <c r="T1377" s="361" t="s">
        <v>671</v>
      </c>
      <c r="U1377" s="361" t="s">
        <v>99</v>
      </c>
      <c r="V1377" s="361" t="s">
        <v>1984</v>
      </c>
      <c r="W1377" s="362"/>
      <c r="X1377" s="362"/>
      <c r="Y1377" s="362"/>
      <c r="Z1377" s="362"/>
      <c r="AA1377" s="363">
        <v>0.0</v>
      </c>
      <c r="AB1377" s="363">
        <v>96300.0</v>
      </c>
      <c r="AC1377" s="364" t="s">
        <v>3833</v>
      </c>
      <c r="AD1377" s="201">
        <v>13174.0</v>
      </c>
      <c r="AE1377" s="134"/>
      <c r="AF1377" s="354" t="str">
        <f t="shared" si="1"/>
        <v>Chubut, Argentina</v>
      </c>
      <c r="AG1377" s="354">
        <f t="shared" si="2"/>
        <v>0</v>
      </c>
      <c r="AH1377" s="365">
        <f t="shared" si="3"/>
        <v>0</v>
      </c>
      <c r="AI1377" s="365">
        <f t="shared" si="4"/>
        <v>0</v>
      </c>
      <c r="AJ1377" s="363">
        <f t="shared" si="5"/>
        <v>96300</v>
      </c>
      <c r="AK1377" s="363">
        <f t="shared" si="6"/>
        <v>96300</v>
      </c>
      <c r="AL1377" s="366"/>
      <c r="AM1377" s="366"/>
    </row>
    <row r="1378">
      <c r="A1378" s="354">
        <v>1377.0</v>
      </c>
      <c r="B1378" s="355">
        <v>45308.0</v>
      </c>
      <c r="C1378" s="195" t="str">
        <f t="shared" si="10"/>
        <v>12024</v>
      </c>
      <c r="D1378" s="367" t="s">
        <v>3834</v>
      </c>
      <c r="E1378" s="354" t="s">
        <v>3579</v>
      </c>
      <c r="F1378" s="357" t="s">
        <v>1415</v>
      </c>
      <c r="G1378" s="354" t="s">
        <v>64</v>
      </c>
      <c r="H1378" s="354" t="s">
        <v>41</v>
      </c>
      <c r="I1378" s="354" t="s">
        <v>42</v>
      </c>
      <c r="J1378" s="358"/>
      <c r="K1378" s="359">
        <v>1.0</v>
      </c>
      <c r="L1378" s="358"/>
      <c r="M1378" s="358"/>
      <c r="N1378" s="358"/>
      <c r="O1378" s="358"/>
      <c r="P1378" s="358"/>
      <c r="Q1378" s="360"/>
      <c r="R1378" s="360"/>
      <c r="S1378" s="354" t="s">
        <v>65</v>
      </c>
      <c r="T1378" s="361" t="s">
        <v>66</v>
      </c>
      <c r="U1378" s="361" t="s">
        <v>45</v>
      </c>
      <c r="V1378" s="361" t="s">
        <v>2922</v>
      </c>
      <c r="W1378" s="362"/>
      <c r="X1378" s="362"/>
      <c r="Y1378" s="362"/>
      <c r="Z1378" s="362"/>
      <c r="AA1378" s="363">
        <v>40125.0</v>
      </c>
      <c r="AB1378" s="363">
        <v>180562.0</v>
      </c>
      <c r="AC1378" s="364" t="s">
        <v>3580</v>
      </c>
      <c r="AD1378" s="201">
        <v>9290.0</v>
      </c>
      <c r="AE1378" s="134"/>
      <c r="AF1378" s="354" t="str">
        <f t="shared" si="1"/>
        <v>Buenos Aires, Argentina</v>
      </c>
      <c r="AG1378" s="354">
        <f t="shared" si="2"/>
        <v>1</v>
      </c>
      <c r="AH1378" s="365">
        <f t="shared" si="3"/>
        <v>0</v>
      </c>
      <c r="AI1378" s="365">
        <f t="shared" si="4"/>
        <v>0</v>
      </c>
      <c r="AJ1378" s="363">
        <f t="shared" si="5"/>
        <v>220687</v>
      </c>
      <c r="AK1378" s="363">
        <f t="shared" si="6"/>
        <v>220687</v>
      </c>
      <c r="AL1378" s="366"/>
      <c r="AM1378" s="366"/>
    </row>
    <row r="1379">
      <c r="A1379" s="354">
        <v>1378.0</v>
      </c>
      <c r="B1379" s="355">
        <v>45309.0</v>
      </c>
      <c r="C1379" s="195" t="str">
        <f t="shared" si="10"/>
        <v>12024</v>
      </c>
      <c r="D1379" s="367" t="s">
        <v>3835</v>
      </c>
      <c r="E1379" s="354" t="s">
        <v>3836</v>
      </c>
      <c r="F1379" s="357" t="s">
        <v>3333</v>
      </c>
      <c r="G1379" s="354" t="s">
        <v>64</v>
      </c>
      <c r="H1379" s="354" t="s">
        <v>41</v>
      </c>
      <c r="I1379" s="354" t="s">
        <v>643</v>
      </c>
      <c r="J1379" s="358"/>
      <c r="K1379" s="358"/>
      <c r="L1379" s="358"/>
      <c r="M1379" s="358"/>
      <c r="N1379" s="358"/>
      <c r="O1379" s="358"/>
      <c r="P1379" s="358"/>
      <c r="Q1379" s="360"/>
      <c r="R1379" s="360"/>
      <c r="S1379" s="354" t="s">
        <v>51</v>
      </c>
      <c r="T1379" s="361" t="s">
        <v>83</v>
      </c>
      <c r="U1379" s="361" t="s">
        <v>99</v>
      </c>
      <c r="V1379" s="361" t="s">
        <v>1984</v>
      </c>
      <c r="W1379" s="362"/>
      <c r="X1379" s="362"/>
      <c r="Y1379" s="362"/>
      <c r="Z1379" s="362"/>
      <c r="AA1379" s="363">
        <v>0.0</v>
      </c>
      <c r="AB1379" s="363">
        <v>96300.0</v>
      </c>
      <c r="AC1379" s="364" t="s">
        <v>3837</v>
      </c>
      <c r="AD1379" s="201">
        <v>13266.0</v>
      </c>
      <c r="AE1379" s="134"/>
      <c r="AF1379" s="354" t="str">
        <f t="shared" si="1"/>
        <v>Capital Federal, Argentina</v>
      </c>
      <c r="AG1379" s="354">
        <f t="shared" si="2"/>
        <v>0</v>
      </c>
      <c r="AH1379" s="365">
        <f t="shared" si="3"/>
        <v>0</v>
      </c>
      <c r="AI1379" s="365">
        <f t="shared" si="4"/>
        <v>0</v>
      </c>
      <c r="AJ1379" s="363">
        <f t="shared" si="5"/>
        <v>96300</v>
      </c>
      <c r="AK1379" s="363">
        <f t="shared" si="6"/>
        <v>96300</v>
      </c>
      <c r="AL1379" s="366"/>
      <c r="AM1379" s="366"/>
    </row>
    <row r="1380">
      <c r="A1380" s="354">
        <v>1379.0</v>
      </c>
      <c r="B1380" s="355">
        <v>45313.0</v>
      </c>
      <c r="C1380" s="195" t="str">
        <f t="shared" si="10"/>
        <v>12024</v>
      </c>
      <c r="D1380" s="367" t="s">
        <v>3838</v>
      </c>
      <c r="E1380" s="354" t="s">
        <v>3839</v>
      </c>
      <c r="F1380" s="357" t="s">
        <v>3840</v>
      </c>
      <c r="G1380" s="354" t="s">
        <v>40</v>
      </c>
      <c r="H1380" s="354" t="s">
        <v>41</v>
      </c>
      <c r="I1380" s="354" t="s">
        <v>643</v>
      </c>
      <c r="J1380" s="359">
        <v>6.0</v>
      </c>
      <c r="K1380" s="359">
        <v>4.0</v>
      </c>
      <c r="L1380" s="358"/>
      <c r="M1380" s="359">
        <v>1.0</v>
      </c>
      <c r="N1380" s="358"/>
      <c r="O1380" s="359">
        <v>3.0</v>
      </c>
      <c r="P1380" s="358"/>
      <c r="Q1380" s="360"/>
      <c r="R1380" s="360"/>
      <c r="S1380" s="354" t="s">
        <v>189</v>
      </c>
      <c r="T1380" s="361" t="s">
        <v>83</v>
      </c>
      <c r="U1380" s="361" t="s">
        <v>342</v>
      </c>
      <c r="V1380" s="361" t="s">
        <v>2935</v>
      </c>
      <c r="W1380" s="362"/>
      <c r="X1380" s="362"/>
      <c r="Y1380" s="362"/>
      <c r="Z1380" s="362"/>
      <c r="AA1380" s="363">
        <v>569235.0</v>
      </c>
      <c r="AB1380" s="363">
        <v>2276940.0</v>
      </c>
      <c r="AC1380" s="364" t="s">
        <v>3841</v>
      </c>
      <c r="AD1380" s="201">
        <v>13294.0</v>
      </c>
      <c r="AE1380" s="134"/>
      <c r="AF1380" s="354" t="str">
        <f t="shared" si="1"/>
        <v>Capital Federal, Argentina</v>
      </c>
      <c r="AG1380" s="354">
        <f t="shared" si="2"/>
        <v>14</v>
      </c>
      <c r="AH1380" s="365">
        <f t="shared" si="3"/>
        <v>0</v>
      </c>
      <c r="AI1380" s="365">
        <f t="shared" si="4"/>
        <v>0</v>
      </c>
      <c r="AJ1380" s="363">
        <f t="shared" si="5"/>
        <v>2846175</v>
      </c>
      <c r="AK1380" s="363">
        <f t="shared" si="6"/>
        <v>2846175</v>
      </c>
      <c r="AL1380" s="366"/>
      <c r="AM1380" s="366"/>
    </row>
    <row r="1381">
      <c r="A1381" s="354">
        <v>1380.0</v>
      </c>
      <c r="B1381" s="355">
        <v>45315.0</v>
      </c>
      <c r="C1381" s="195" t="str">
        <f t="shared" si="10"/>
        <v>12024</v>
      </c>
      <c r="D1381" s="367" t="s">
        <v>3784</v>
      </c>
      <c r="E1381" s="354" t="s">
        <v>3785</v>
      </c>
      <c r="F1381" s="357" t="s">
        <v>3490</v>
      </c>
      <c r="G1381" s="354" t="s">
        <v>64</v>
      </c>
      <c r="H1381" s="354" t="s">
        <v>41</v>
      </c>
      <c r="I1381" s="354" t="s">
        <v>643</v>
      </c>
      <c r="J1381" s="358"/>
      <c r="K1381" s="358"/>
      <c r="L1381" s="358"/>
      <c r="M1381" s="358"/>
      <c r="N1381" s="358"/>
      <c r="O1381" s="358"/>
      <c r="P1381" s="359">
        <v>1.0</v>
      </c>
      <c r="Q1381" s="360"/>
      <c r="R1381" s="360"/>
      <c r="S1381" s="354" t="s">
        <v>137</v>
      </c>
      <c r="T1381" s="361" t="s">
        <v>83</v>
      </c>
      <c r="U1381" s="361" t="s">
        <v>99</v>
      </c>
      <c r="V1381" s="361" t="s">
        <v>1984</v>
      </c>
      <c r="W1381" s="362"/>
      <c r="X1381" s="362"/>
      <c r="Y1381" s="362"/>
      <c r="Z1381" s="362"/>
      <c r="AA1381" s="363">
        <v>40125.0</v>
      </c>
      <c r="AB1381" s="363">
        <v>180562.0</v>
      </c>
      <c r="AC1381" s="364" t="s">
        <v>3842</v>
      </c>
      <c r="AD1381" s="201">
        <v>13220.0</v>
      </c>
      <c r="AE1381" s="134"/>
      <c r="AF1381" s="354" t="str">
        <f t="shared" si="1"/>
        <v>Capital Federal, Argentina</v>
      </c>
      <c r="AG1381" s="354">
        <f t="shared" si="2"/>
        <v>1</v>
      </c>
      <c r="AH1381" s="365">
        <f t="shared" si="3"/>
        <v>0</v>
      </c>
      <c r="AI1381" s="365">
        <f t="shared" si="4"/>
        <v>0</v>
      </c>
      <c r="AJ1381" s="363">
        <f t="shared" si="5"/>
        <v>220687</v>
      </c>
      <c r="AK1381" s="363">
        <f t="shared" si="6"/>
        <v>220687</v>
      </c>
      <c r="AL1381" s="366"/>
      <c r="AM1381" s="366"/>
    </row>
    <row r="1382">
      <c r="A1382" s="354">
        <v>1381.0</v>
      </c>
      <c r="B1382" s="355">
        <v>45315.0</v>
      </c>
      <c r="C1382" s="195" t="str">
        <f t="shared" si="10"/>
        <v>12024</v>
      </c>
      <c r="D1382" s="367" t="s">
        <v>3784</v>
      </c>
      <c r="E1382" s="354" t="s">
        <v>3785</v>
      </c>
      <c r="F1382" s="357" t="s">
        <v>3584</v>
      </c>
      <c r="G1382" s="354" t="s">
        <v>64</v>
      </c>
      <c r="H1382" s="354" t="s">
        <v>41</v>
      </c>
      <c r="I1382" s="354" t="s">
        <v>643</v>
      </c>
      <c r="J1382" s="358"/>
      <c r="K1382" s="358"/>
      <c r="L1382" s="358"/>
      <c r="M1382" s="358"/>
      <c r="N1382" s="358"/>
      <c r="O1382" s="358"/>
      <c r="P1382" s="358"/>
      <c r="Q1382" s="360"/>
      <c r="R1382" s="360"/>
      <c r="S1382" s="354" t="s">
        <v>137</v>
      </c>
      <c r="T1382" s="361" t="s">
        <v>83</v>
      </c>
      <c r="U1382" s="361" t="s">
        <v>99</v>
      </c>
      <c r="V1382" s="361" t="s">
        <v>1984</v>
      </c>
      <c r="W1382" s="363">
        <v>56442.0</v>
      </c>
      <c r="X1382" s="363">
        <v>253989.0</v>
      </c>
      <c r="Y1382" s="362"/>
      <c r="Z1382" s="362"/>
      <c r="AA1382" s="362"/>
      <c r="AB1382" s="362"/>
      <c r="AC1382" s="364" t="s">
        <v>3843</v>
      </c>
      <c r="AD1382" s="201">
        <v>13390.0</v>
      </c>
      <c r="AE1382" s="134"/>
      <c r="AF1382" s="354" t="str">
        <f t="shared" si="1"/>
        <v>Capital Federal, Argentina</v>
      </c>
      <c r="AG1382" s="354">
        <f t="shared" si="2"/>
        <v>0</v>
      </c>
      <c r="AH1382" s="365">
        <f t="shared" si="3"/>
        <v>310431</v>
      </c>
      <c r="AI1382" s="365">
        <f t="shared" si="4"/>
        <v>0</v>
      </c>
      <c r="AJ1382" s="363">
        <f t="shared" si="5"/>
        <v>0</v>
      </c>
      <c r="AK1382" s="363">
        <f t="shared" si="6"/>
        <v>310431</v>
      </c>
      <c r="AL1382" s="366"/>
      <c r="AM1382" s="366"/>
    </row>
    <row r="1383">
      <c r="A1383" s="354">
        <v>1382.0</v>
      </c>
      <c r="B1383" s="355">
        <v>45317.0</v>
      </c>
      <c r="C1383" s="195" t="str">
        <f t="shared" si="10"/>
        <v>12024</v>
      </c>
      <c r="D1383" s="367" t="s">
        <v>3844</v>
      </c>
      <c r="E1383" s="354" t="s">
        <v>3845</v>
      </c>
      <c r="F1383" s="357" t="s">
        <v>2327</v>
      </c>
      <c r="G1383" s="354" t="s">
        <v>40</v>
      </c>
      <c r="H1383" s="354" t="s">
        <v>41</v>
      </c>
      <c r="I1383" s="354" t="s">
        <v>42</v>
      </c>
      <c r="J1383" s="359">
        <v>1.0</v>
      </c>
      <c r="K1383" s="358"/>
      <c r="L1383" s="358"/>
      <c r="M1383" s="359">
        <v>1.0</v>
      </c>
      <c r="N1383" s="358"/>
      <c r="O1383" s="358"/>
      <c r="P1383" s="358"/>
      <c r="Q1383" s="360"/>
      <c r="R1383" s="360"/>
      <c r="S1383" s="354" t="s">
        <v>109</v>
      </c>
      <c r="T1383" s="361" t="s">
        <v>83</v>
      </c>
      <c r="U1383" s="361" t="s">
        <v>163</v>
      </c>
      <c r="V1383" s="361" t="s">
        <v>3545</v>
      </c>
      <c r="W1383" s="362"/>
      <c r="X1383" s="362"/>
      <c r="Y1383" s="362"/>
      <c r="Z1383" s="362"/>
      <c r="AA1383" s="363">
        <v>53500.0</v>
      </c>
      <c r="AB1383" s="363">
        <v>214000.0</v>
      </c>
      <c r="AC1383" s="364" t="s">
        <v>3846</v>
      </c>
      <c r="AD1383" s="201">
        <v>13180.0</v>
      </c>
      <c r="AE1383" s="134"/>
      <c r="AF1383" s="354" t="str">
        <f t="shared" si="1"/>
        <v>Capital Federal, Argentina</v>
      </c>
      <c r="AG1383" s="354">
        <f t="shared" si="2"/>
        <v>2</v>
      </c>
      <c r="AH1383" s="365">
        <f t="shared" si="3"/>
        <v>0</v>
      </c>
      <c r="AI1383" s="365">
        <f t="shared" si="4"/>
        <v>0</v>
      </c>
      <c r="AJ1383" s="363">
        <f t="shared" si="5"/>
        <v>267500</v>
      </c>
      <c r="AK1383" s="363">
        <f t="shared" si="6"/>
        <v>267500</v>
      </c>
      <c r="AL1383" s="366"/>
      <c r="AM1383" s="366"/>
    </row>
    <row r="1384">
      <c r="A1384" s="354">
        <v>1383.0</v>
      </c>
      <c r="B1384" s="355">
        <v>45320.0</v>
      </c>
      <c r="C1384" s="195" t="str">
        <f t="shared" si="10"/>
        <v>12024</v>
      </c>
      <c r="D1384" s="367" t="s">
        <v>3730</v>
      </c>
      <c r="E1384" s="354" t="s">
        <v>3731</v>
      </c>
      <c r="F1384" s="357" t="s">
        <v>1423</v>
      </c>
      <c r="G1384" s="354" t="s">
        <v>64</v>
      </c>
      <c r="H1384" s="354" t="s">
        <v>41</v>
      </c>
      <c r="I1384" s="354" t="s">
        <v>643</v>
      </c>
      <c r="J1384" s="359">
        <v>1.0</v>
      </c>
      <c r="K1384" s="358"/>
      <c r="L1384" s="358"/>
      <c r="M1384" s="358"/>
      <c r="N1384" s="358"/>
      <c r="O1384" s="358"/>
      <c r="P1384" s="358"/>
      <c r="Q1384" s="360"/>
      <c r="R1384" s="360"/>
      <c r="S1384" s="354" t="s">
        <v>105</v>
      </c>
      <c r="T1384" s="361" t="s">
        <v>539</v>
      </c>
      <c r="U1384" s="361" t="s">
        <v>99</v>
      </c>
      <c r="V1384" s="361" t="s">
        <v>1984</v>
      </c>
      <c r="W1384" s="362"/>
      <c r="X1384" s="362"/>
      <c r="Y1384" s="362"/>
      <c r="Z1384" s="362"/>
      <c r="AA1384" s="363">
        <v>53500.0</v>
      </c>
      <c r="AB1384" s="363">
        <v>66875.0</v>
      </c>
      <c r="AC1384" s="364" t="s">
        <v>3847</v>
      </c>
      <c r="AD1384" s="81">
        <v>13454.0</v>
      </c>
      <c r="AE1384" s="134"/>
      <c r="AF1384" s="354" t="str">
        <f t="shared" si="1"/>
        <v>Misiones, Argentina</v>
      </c>
      <c r="AG1384" s="354">
        <f t="shared" si="2"/>
        <v>1</v>
      </c>
      <c r="AH1384" s="365">
        <f t="shared" si="3"/>
        <v>0</v>
      </c>
      <c r="AI1384" s="365">
        <f t="shared" si="4"/>
        <v>0</v>
      </c>
      <c r="AJ1384" s="363">
        <f t="shared" si="5"/>
        <v>120375</v>
      </c>
      <c r="AK1384" s="363">
        <f t="shared" si="6"/>
        <v>120375</v>
      </c>
      <c r="AL1384" s="366"/>
      <c r="AM1384" s="366"/>
    </row>
    <row r="1385">
      <c r="A1385" s="354">
        <v>1384.0</v>
      </c>
      <c r="B1385" s="355">
        <v>45320.0</v>
      </c>
      <c r="C1385" s="195" t="str">
        <f t="shared" si="10"/>
        <v>12024</v>
      </c>
      <c r="D1385" s="367" t="s">
        <v>3848</v>
      </c>
      <c r="E1385" s="354" t="s">
        <v>3849</v>
      </c>
      <c r="F1385" s="357" t="s">
        <v>3416</v>
      </c>
      <c r="G1385" s="354" t="s">
        <v>40</v>
      </c>
      <c r="H1385" s="354" t="s">
        <v>41</v>
      </c>
      <c r="I1385" s="354" t="s">
        <v>42</v>
      </c>
      <c r="J1385" s="359">
        <v>1.0</v>
      </c>
      <c r="K1385" s="359">
        <v>1.0</v>
      </c>
      <c r="L1385" s="358"/>
      <c r="M1385" s="359">
        <v>1.0</v>
      </c>
      <c r="N1385" s="358"/>
      <c r="O1385" s="358"/>
      <c r="P1385" s="358"/>
      <c r="Q1385" s="360"/>
      <c r="R1385" s="360"/>
      <c r="S1385" s="354" t="s">
        <v>65</v>
      </c>
      <c r="T1385" s="361" t="s">
        <v>66</v>
      </c>
      <c r="U1385" s="361" t="s">
        <v>1493</v>
      </c>
      <c r="V1385" s="361" t="s">
        <v>3594</v>
      </c>
      <c r="W1385" s="362"/>
      <c r="X1385" s="362"/>
      <c r="Y1385" s="362"/>
      <c r="Z1385" s="362"/>
      <c r="AA1385" s="363">
        <v>93625.0</v>
      </c>
      <c r="AB1385" s="363">
        <v>374500.0</v>
      </c>
      <c r="AC1385" s="364" t="s">
        <v>3850</v>
      </c>
      <c r="AD1385" s="201">
        <v>13328.0</v>
      </c>
      <c r="AE1385" s="134"/>
      <c r="AF1385" s="354" t="str">
        <f t="shared" si="1"/>
        <v>Buenos Aires, Argentina</v>
      </c>
      <c r="AG1385" s="354">
        <f t="shared" si="2"/>
        <v>3</v>
      </c>
      <c r="AH1385" s="365">
        <f t="shared" si="3"/>
        <v>0</v>
      </c>
      <c r="AI1385" s="365">
        <f t="shared" si="4"/>
        <v>0</v>
      </c>
      <c r="AJ1385" s="363">
        <f t="shared" si="5"/>
        <v>468125</v>
      </c>
      <c r="AK1385" s="363">
        <f t="shared" si="6"/>
        <v>468125</v>
      </c>
      <c r="AL1385" s="366"/>
      <c r="AM1385" s="366"/>
    </row>
    <row r="1386">
      <c r="A1386" s="354">
        <v>1385.0</v>
      </c>
      <c r="B1386" s="355">
        <v>45320.0</v>
      </c>
      <c r="C1386" s="195" t="str">
        <f t="shared" si="10"/>
        <v>12024</v>
      </c>
      <c r="D1386" s="367" t="s">
        <v>3851</v>
      </c>
      <c r="E1386" s="354" t="s">
        <v>3852</v>
      </c>
      <c r="F1386" s="357" t="s">
        <v>3416</v>
      </c>
      <c r="G1386" s="354" t="s">
        <v>40</v>
      </c>
      <c r="H1386" s="354" t="s">
        <v>41</v>
      </c>
      <c r="I1386" s="354" t="s">
        <v>42</v>
      </c>
      <c r="J1386" s="359">
        <v>1.0</v>
      </c>
      <c r="K1386" s="359">
        <v>1.0</v>
      </c>
      <c r="L1386" s="358"/>
      <c r="M1386" s="359">
        <v>1.0</v>
      </c>
      <c r="N1386" s="358"/>
      <c r="O1386" s="358"/>
      <c r="P1386" s="358"/>
      <c r="Q1386" s="360"/>
      <c r="R1386" s="360"/>
      <c r="S1386" s="354" t="s">
        <v>65</v>
      </c>
      <c r="T1386" s="361" t="s">
        <v>66</v>
      </c>
      <c r="U1386" s="361" t="s">
        <v>45</v>
      </c>
      <c r="V1386" s="361" t="s">
        <v>3594</v>
      </c>
      <c r="W1386" s="362"/>
      <c r="X1386" s="362"/>
      <c r="Y1386" s="362"/>
      <c r="Z1386" s="362"/>
      <c r="AA1386" s="363">
        <v>93625.0</v>
      </c>
      <c r="AB1386" s="363">
        <v>374500.0</v>
      </c>
      <c r="AC1386" s="364" t="s">
        <v>3853</v>
      </c>
      <c r="AD1386" s="81">
        <v>13298.0</v>
      </c>
      <c r="AE1386" s="134"/>
      <c r="AF1386" s="354" t="str">
        <f t="shared" si="1"/>
        <v>Buenos Aires, Argentina</v>
      </c>
      <c r="AG1386" s="354">
        <f t="shared" si="2"/>
        <v>3</v>
      </c>
      <c r="AH1386" s="365">
        <f t="shared" si="3"/>
        <v>0</v>
      </c>
      <c r="AI1386" s="365">
        <f t="shared" si="4"/>
        <v>0</v>
      </c>
      <c r="AJ1386" s="363">
        <f t="shared" si="5"/>
        <v>468125</v>
      </c>
      <c r="AK1386" s="363">
        <f t="shared" si="6"/>
        <v>468125</v>
      </c>
      <c r="AL1386" s="366"/>
      <c r="AM1386" s="366"/>
    </row>
    <row r="1387">
      <c r="A1387" s="354">
        <v>1386.0</v>
      </c>
      <c r="B1387" s="355">
        <v>45321.0</v>
      </c>
      <c r="C1387" s="195" t="str">
        <f t="shared" si="10"/>
        <v>12024</v>
      </c>
      <c r="D1387" s="367" t="s">
        <v>3077</v>
      </c>
      <c r="E1387" s="354" t="s">
        <v>2255</v>
      </c>
      <c r="F1387" s="357" t="s">
        <v>1423</v>
      </c>
      <c r="G1387" s="354" t="s">
        <v>64</v>
      </c>
      <c r="H1387" s="354" t="s">
        <v>41</v>
      </c>
      <c r="I1387" s="354" t="s">
        <v>643</v>
      </c>
      <c r="J1387" s="359">
        <v>1.0</v>
      </c>
      <c r="K1387" s="358"/>
      <c r="L1387" s="358"/>
      <c r="M1387" s="358"/>
      <c r="N1387" s="358"/>
      <c r="O1387" s="358"/>
      <c r="P1387" s="358"/>
      <c r="Q1387" s="360"/>
      <c r="R1387" s="360"/>
      <c r="S1387" s="354" t="s">
        <v>65</v>
      </c>
      <c r="T1387" s="361" t="s">
        <v>66</v>
      </c>
      <c r="U1387" s="361" t="s">
        <v>99</v>
      </c>
      <c r="V1387" s="361" t="s">
        <v>1984</v>
      </c>
      <c r="W1387" s="362"/>
      <c r="X1387" s="362"/>
      <c r="Y1387" s="362"/>
      <c r="Z1387" s="362"/>
      <c r="AA1387" s="363">
        <v>48150.0</v>
      </c>
      <c r="AB1387" s="363">
        <v>214000.0</v>
      </c>
      <c r="AC1387" s="364" t="s">
        <v>3854</v>
      </c>
      <c r="AD1387" s="81">
        <v>13322.0</v>
      </c>
      <c r="AE1387" s="134"/>
      <c r="AF1387" s="354" t="str">
        <f t="shared" si="1"/>
        <v>Buenos Aires, Argentina</v>
      </c>
      <c r="AG1387" s="354">
        <f t="shared" si="2"/>
        <v>1</v>
      </c>
      <c r="AH1387" s="365">
        <f t="shared" si="3"/>
        <v>0</v>
      </c>
      <c r="AI1387" s="365">
        <f t="shared" si="4"/>
        <v>0</v>
      </c>
      <c r="AJ1387" s="363">
        <f t="shared" si="5"/>
        <v>262150</v>
      </c>
      <c r="AK1387" s="363">
        <f t="shared" si="6"/>
        <v>262150</v>
      </c>
      <c r="AL1387" s="366"/>
      <c r="AM1387" s="366"/>
    </row>
    <row r="1388">
      <c r="A1388" s="354">
        <v>1387.0</v>
      </c>
      <c r="B1388" s="355">
        <v>45321.0</v>
      </c>
      <c r="C1388" s="195" t="str">
        <f t="shared" si="10"/>
        <v>12024</v>
      </c>
      <c r="D1388" s="367" t="s">
        <v>3855</v>
      </c>
      <c r="E1388" s="354" t="s">
        <v>2360</v>
      </c>
      <c r="F1388" s="357" t="s">
        <v>1423</v>
      </c>
      <c r="G1388" s="354" t="s">
        <v>64</v>
      </c>
      <c r="H1388" s="354" t="s">
        <v>41</v>
      </c>
      <c r="I1388" s="354" t="s">
        <v>643</v>
      </c>
      <c r="J1388" s="359">
        <v>1.0</v>
      </c>
      <c r="K1388" s="358"/>
      <c r="L1388" s="358"/>
      <c r="M1388" s="358"/>
      <c r="N1388" s="358"/>
      <c r="O1388" s="358"/>
      <c r="P1388" s="358"/>
      <c r="Q1388" s="360"/>
      <c r="R1388" s="360"/>
      <c r="S1388" s="354" t="s">
        <v>65</v>
      </c>
      <c r="T1388" s="361" t="s">
        <v>66</v>
      </c>
      <c r="U1388" s="361" t="s">
        <v>99</v>
      </c>
      <c r="V1388" s="361" t="s">
        <v>1984</v>
      </c>
      <c r="W1388" s="362"/>
      <c r="X1388" s="362"/>
      <c r="Y1388" s="362"/>
      <c r="Z1388" s="362"/>
      <c r="AA1388" s="363">
        <v>48150.0</v>
      </c>
      <c r="AB1388" s="363">
        <v>214000.0</v>
      </c>
      <c r="AC1388" s="364" t="s">
        <v>3856</v>
      </c>
      <c r="AD1388" s="81">
        <v>13442.0</v>
      </c>
      <c r="AE1388" s="134"/>
      <c r="AF1388" s="354" t="str">
        <f t="shared" si="1"/>
        <v>Buenos Aires, Argentina</v>
      </c>
      <c r="AG1388" s="354">
        <f t="shared" si="2"/>
        <v>1</v>
      </c>
      <c r="AH1388" s="365">
        <f t="shared" si="3"/>
        <v>0</v>
      </c>
      <c r="AI1388" s="365">
        <f t="shared" si="4"/>
        <v>0</v>
      </c>
      <c r="AJ1388" s="363">
        <f t="shared" si="5"/>
        <v>262150</v>
      </c>
      <c r="AK1388" s="363">
        <f t="shared" si="6"/>
        <v>262150</v>
      </c>
      <c r="AL1388" s="366"/>
      <c r="AM1388" s="366"/>
    </row>
    <row r="1389">
      <c r="A1389" s="354">
        <v>1388.0</v>
      </c>
      <c r="B1389" s="355">
        <v>45321.0</v>
      </c>
      <c r="C1389" s="195" t="str">
        <f t="shared" si="10"/>
        <v>12024</v>
      </c>
      <c r="D1389" s="367" t="s">
        <v>1216</v>
      </c>
      <c r="E1389" s="354" t="s">
        <v>1217</v>
      </c>
      <c r="F1389" s="357" t="s">
        <v>3857</v>
      </c>
      <c r="G1389" s="354" t="s">
        <v>64</v>
      </c>
      <c r="H1389" s="354" t="s">
        <v>41</v>
      </c>
      <c r="I1389" s="354" t="s">
        <v>643</v>
      </c>
      <c r="J1389" s="358"/>
      <c r="K1389" s="358"/>
      <c r="L1389" s="358"/>
      <c r="M1389" s="358"/>
      <c r="N1389" s="358"/>
      <c r="O1389" s="358"/>
      <c r="P1389" s="358"/>
      <c r="Q1389" s="360"/>
      <c r="R1389" s="360"/>
      <c r="S1389" s="354" t="s">
        <v>65</v>
      </c>
      <c r="T1389" s="361" t="s">
        <v>83</v>
      </c>
      <c r="U1389" s="361" t="s">
        <v>99</v>
      </c>
      <c r="V1389" s="361" t="s">
        <v>1984</v>
      </c>
      <c r="W1389" s="362"/>
      <c r="X1389" s="362"/>
      <c r="Y1389" s="362"/>
      <c r="Z1389" s="362"/>
      <c r="AA1389" s="363">
        <v>0.0</v>
      </c>
      <c r="AB1389" s="363">
        <v>171200.0</v>
      </c>
      <c r="AC1389" s="364" t="s">
        <v>3858</v>
      </c>
      <c r="AD1389" s="81">
        <v>13252.0</v>
      </c>
      <c r="AE1389" s="134"/>
      <c r="AF1389" s="354" t="str">
        <f t="shared" si="1"/>
        <v>Capital Federal, Argentina</v>
      </c>
      <c r="AG1389" s="354">
        <f t="shared" si="2"/>
        <v>0</v>
      </c>
      <c r="AH1389" s="365">
        <f t="shared" si="3"/>
        <v>0</v>
      </c>
      <c r="AI1389" s="365">
        <f t="shared" si="4"/>
        <v>0</v>
      </c>
      <c r="AJ1389" s="363">
        <f t="shared" si="5"/>
        <v>171200</v>
      </c>
      <c r="AK1389" s="363">
        <f t="shared" si="6"/>
        <v>171200</v>
      </c>
      <c r="AL1389" s="366"/>
      <c r="AM1389" s="366"/>
    </row>
    <row r="1390">
      <c r="A1390" s="354">
        <v>1389.0</v>
      </c>
      <c r="B1390" s="355">
        <v>45322.0</v>
      </c>
      <c r="C1390" s="195" t="str">
        <f t="shared" si="10"/>
        <v>12024</v>
      </c>
      <c r="D1390" s="367" t="s">
        <v>3624</v>
      </c>
      <c r="E1390" s="354" t="s">
        <v>3625</v>
      </c>
      <c r="F1390" s="357" t="s">
        <v>1592</v>
      </c>
      <c r="G1390" s="354" t="s">
        <v>64</v>
      </c>
      <c r="H1390" s="354" t="s">
        <v>41</v>
      </c>
      <c r="I1390" s="354" t="s">
        <v>643</v>
      </c>
      <c r="J1390" s="359">
        <v>1.0</v>
      </c>
      <c r="K1390" s="359">
        <v>1.0</v>
      </c>
      <c r="L1390" s="358"/>
      <c r="M1390" s="358"/>
      <c r="N1390" s="358"/>
      <c r="O1390" s="358"/>
      <c r="P1390" s="358"/>
      <c r="Q1390" s="360"/>
      <c r="R1390" s="360"/>
      <c r="S1390" s="354" t="s">
        <v>65</v>
      </c>
      <c r="T1390" s="361" t="s">
        <v>267</v>
      </c>
      <c r="U1390" s="361" t="s">
        <v>99</v>
      </c>
      <c r="V1390" s="361" t="s">
        <v>1984</v>
      </c>
      <c r="W1390" s="362"/>
      <c r="X1390" s="362"/>
      <c r="Y1390" s="362"/>
      <c r="Z1390" s="362"/>
      <c r="AA1390" s="363">
        <v>93625.0</v>
      </c>
      <c r="AB1390" s="363">
        <v>374499.0</v>
      </c>
      <c r="AC1390" s="364" t="s">
        <v>3859</v>
      </c>
      <c r="AD1390" s="81">
        <v>13362.0</v>
      </c>
      <c r="AE1390" s="134"/>
      <c r="AF1390" s="354" t="str">
        <f t="shared" si="1"/>
        <v>Entre Ríos, Argentina</v>
      </c>
      <c r="AG1390" s="354">
        <f t="shared" si="2"/>
        <v>2</v>
      </c>
      <c r="AH1390" s="365">
        <f t="shared" si="3"/>
        <v>0</v>
      </c>
      <c r="AI1390" s="365">
        <f t="shared" si="4"/>
        <v>0</v>
      </c>
      <c r="AJ1390" s="363">
        <f t="shared" si="5"/>
        <v>468124</v>
      </c>
      <c r="AK1390" s="363">
        <f t="shared" si="6"/>
        <v>468124</v>
      </c>
      <c r="AL1390" s="366"/>
      <c r="AM1390" s="366"/>
    </row>
    <row r="1391">
      <c r="A1391" s="354">
        <v>1390.0</v>
      </c>
      <c r="B1391" s="355">
        <v>45322.0</v>
      </c>
      <c r="C1391" s="195" t="str">
        <f t="shared" si="10"/>
        <v>12024</v>
      </c>
      <c r="D1391" s="367" t="s">
        <v>3860</v>
      </c>
      <c r="E1391" s="354" t="s">
        <v>3408</v>
      </c>
      <c r="F1391" s="357" t="s">
        <v>1423</v>
      </c>
      <c r="G1391" s="354" t="s">
        <v>64</v>
      </c>
      <c r="H1391" s="354" t="s">
        <v>41</v>
      </c>
      <c r="I1391" s="354" t="s">
        <v>643</v>
      </c>
      <c r="J1391" s="359">
        <v>1.0</v>
      </c>
      <c r="K1391" s="358"/>
      <c r="L1391" s="358"/>
      <c r="M1391" s="358"/>
      <c r="N1391" s="358"/>
      <c r="O1391" s="358"/>
      <c r="P1391" s="358"/>
      <c r="Q1391" s="360"/>
      <c r="R1391" s="360"/>
      <c r="S1391" s="354" t="s">
        <v>65</v>
      </c>
      <c r="T1391" s="361" t="s">
        <v>66</v>
      </c>
      <c r="U1391" s="361" t="s">
        <v>99</v>
      </c>
      <c r="V1391" s="361" t="s">
        <v>1984</v>
      </c>
      <c r="W1391" s="362"/>
      <c r="X1391" s="362"/>
      <c r="Y1391" s="362"/>
      <c r="Z1391" s="362"/>
      <c r="AA1391" s="363">
        <v>48150.0</v>
      </c>
      <c r="AB1391" s="363">
        <v>214000.0</v>
      </c>
      <c r="AC1391" s="364" t="s">
        <v>3861</v>
      </c>
      <c r="AD1391" s="81">
        <v>13472.0</v>
      </c>
      <c r="AE1391" s="134"/>
      <c r="AF1391" s="354" t="str">
        <f t="shared" si="1"/>
        <v>Buenos Aires, Argentina</v>
      </c>
      <c r="AG1391" s="354">
        <f t="shared" si="2"/>
        <v>1</v>
      </c>
      <c r="AH1391" s="365">
        <f t="shared" si="3"/>
        <v>0</v>
      </c>
      <c r="AI1391" s="365">
        <f t="shared" si="4"/>
        <v>0</v>
      </c>
      <c r="AJ1391" s="363">
        <f t="shared" si="5"/>
        <v>262150</v>
      </c>
      <c r="AK1391" s="363">
        <f t="shared" si="6"/>
        <v>262150</v>
      </c>
      <c r="AL1391" s="366"/>
      <c r="AM1391" s="366"/>
    </row>
    <row r="1392">
      <c r="A1392" s="354">
        <v>1391.0</v>
      </c>
      <c r="B1392" s="355">
        <v>45322.0</v>
      </c>
      <c r="C1392" s="195" t="str">
        <f t="shared" si="10"/>
        <v>12024</v>
      </c>
      <c r="D1392" s="367" t="s">
        <v>3862</v>
      </c>
      <c r="E1392" s="354" t="s">
        <v>3617</v>
      </c>
      <c r="F1392" s="357" t="s">
        <v>3863</v>
      </c>
      <c r="G1392" s="354" t="s">
        <v>64</v>
      </c>
      <c r="H1392" s="354" t="s">
        <v>41</v>
      </c>
      <c r="I1392" s="354" t="s">
        <v>643</v>
      </c>
      <c r="J1392" s="358"/>
      <c r="K1392" s="358"/>
      <c r="L1392" s="358"/>
      <c r="M1392" s="358"/>
      <c r="N1392" s="358"/>
      <c r="O1392" s="358"/>
      <c r="P1392" s="358"/>
      <c r="Q1392" s="360"/>
      <c r="R1392" s="360"/>
      <c r="S1392" s="354" t="s">
        <v>105</v>
      </c>
      <c r="T1392" s="361" t="s">
        <v>66</v>
      </c>
      <c r="U1392" s="361" t="s">
        <v>99</v>
      </c>
      <c r="V1392" s="361" t="s">
        <v>1984</v>
      </c>
      <c r="W1392" s="362"/>
      <c r="X1392" s="362"/>
      <c r="Y1392" s="362"/>
      <c r="Z1392" s="362"/>
      <c r="AA1392" s="363">
        <v>0.0</v>
      </c>
      <c r="AB1392" s="363">
        <v>481500.0</v>
      </c>
      <c r="AC1392" s="364" t="s">
        <v>3864</v>
      </c>
      <c r="AD1392" s="81">
        <v>13450.0</v>
      </c>
      <c r="AE1392" s="134"/>
      <c r="AF1392" s="354" t="str">
        <f t="shared" si="1"/>
        <v>Buenos Aires, Argentina</v>
      </c>
      <c r="AG1392" s="354">
        <f t="shared" si="2"/>
        <v>0</v>
      </c>
      <c r="AH1392" s="365">
        <f t="shared" si="3"/>
        <v>0</v>
      </c>
      <c r="AI1392" s="365">
        <f t="shared" si="4"/>
        <v>0</v>
      </c>
      <c r="AJ1392" s="363">
        <f t="shared" si="5"/>
        <v>481500</v>
      </c>
      <c r="AK1392" s="363">
        <f t="shared" si="6"/>
        <v>481500</v>
      </c>
      <c r="AL1392" s="366"/>
      <c r="AM1392" s="366"/>
    </row>
    <row r="1393">
      <c r="A1393" s="354">
        <v>1392.0</v>
      </c>
      <c r="B1393" s="355">
        <v>45322.0</v>
      </c>
      <c r="C1393" s="195" t="str">
        <f t="shared" si="10"/>
        <v>12024</v>
      </c>
      <c r="D1393" s="367" t="s">
        <v>3865</v>
      </c>
      <c r="E1393" s="354" t="s">
        <v>3866</v>
      </c>
      <c r="F1393" s="357" t="s">
        <v>3857</v>
      </c>
      <c r="G1393" s="354" t="s">
        <v>64</v>
      </c>
      <c r="H1393" s="354" t="s">
        <v>41</v>
      </c>
      <c r="I1393" s="354" t="s">
        <v>643</v>
      </c>
      <c r="J1393" s="358"/>
      <c r="K1393" s="358"/>
      <c r="L1393" s="358"/>
      <c r="M1393" s="358"/>
      <c r="N1393" s="358"/>
      <c r="O1393" s="358"/>
      <c r="P1393" s="358"/>
      <c r="Q1393" s="360"/>
      <c r="R1393" s="360"/>
      <c r="S1393" s="354" t="s">
        <v>65</v>
      </c>
      <c r="T1393" s="361" t="s">
        <v>66</v>
      </c>
      <c r="U1393" s="361" t="s">
        <v>99</v>
      </c>
      <c r="V1393" s="361" t="s">
        <v>1984</v>
      </c>
      <c r="W1393" s="362"/>
      <c r="X1393" s="362"/>
      <c r="Y1393" s="362"/>
      <c r="Z1393" s="362"/>
      <c r="AA1393" s="363">
        <v>0.0</v>
      </c>
      <c r="AB1393" s="363">
        <v>171200.0</v>
      </c>
      <c r="AC1393" s="364" t="s">
        <v>3867</v>
      </c>
      <c r="AD1393" s="81">
        <v>13182.0</v>
      </c>
      <c r="AE1393" s="134"/>
      <c r="AF1393" s="354" t="str">
        <f t="shared" si="1"/>
        <v>Buenos Aires, Argentina</v>
      </c>
      <c r="AG1393" s="354">
        <f t="shared" si="2"/>
        <v>0</v>
      </c>
      <c r="AH1393" s="365">
        <f t="shared" si="3"/>
        <v>0</v>
      </c>
      <c r="AI1393" s="365">
        <f t="shared" si="4"/>
        <v>0</v>
      </c>
      <c r="AJ1393" s="363">
        <f t="shared" si="5"/>
        <v>171200</v>
      </c>
      <c r="AK1393" s="363">
        <f t="shared" si="6"/>
        <v>171200</v>
      </c>
      <c r="AL1393" s="366"/>
      <c r="AM1393" s="366"/>
    </row>
    <row r="1394">
      <c r="A1394" s="368">
        <v>1393.0</v>
      </c>
      <c r="B1394" s="369">
        <v>45338.0</v>
      </c>
      <c r="C1394" s="195" t="str">
        <f t="shared" si="10"/>
        <v>22024</v>
      </c>
      <c r="D1394" s="370" t="s">
        <v>3868</v>
      </c>
      <c r="E1394" s="368" t="s">
        <v>3869</v>
      </c>
      <c r="F1394" s="371" t="s">
        <v>2327</v>
      </c>
      <c r="G1394" s="368" t="s">
        <v>40</v>
      </c>
      <c r="H1394" s="368" t="s">
        <v>41</v>
      </c>
      <c r="I1394" s="368" t="s">
        <v>42</v>
      </c>
      <c r="J1394" s="372">
        <v>1.0</v>
      </c>
      <c r="K1394" s="52"/>
      <c r="L1394" s="52"/>
      <c r="M1394" s="372">
        <v>1.0</v>
      </c>
      <c r="N1394" s="52"/>
      <c r="O1394" s="52"/>
      <c r="P1394" s="52"/>
      <c r="Q1394" s="54"/>
      <c r="R1394" s="54"/>
      <c r="S1394" s="368" t="s">
        <v>189</v>
      </c>
      <c r="T1394" s="373" t="s">
        <v>66</v>
      </c>
      <c r="U1394" s="373" t="s">
        <v>45</v>
      </c>
      <c r="V1394" s="373" t="s">
        <v>3594</v>
      </c>
      <c r="W1394" s="55"/>
      <c r="X1394" s="55"/>
      <c r="Y1394" s="55"/>
      <c r="Z1394" s="55"/>
      <c r="AA1394" s="374">
        <v>67250.0</v>
      </c>
      <c r="AB1394" s="374">
        <v>269000.0</v>
      </c>
      <c r="AC1394" s="375" t="s">
        <v>3870</v>
      </c>
      <c r="AD1394" s="49">
        <v>13438.0</v>
      </c>
      <c r="AE1394" s="54"/>
      <c r="AF1394" s="368" t="str">
        <f t="shared" si="1"/>
        <v>Buenos Aires, Argentina</v>
      </c>
      <c r="AG1394" s="368">
        <f t="shared" si="2"/>
        <v>2</v>
      </c>
      <c r="AH1394" s="376">
        <f t="shared" si="3"/>
        <v>0</v>
      </c>
      <c r="AI1394" s="376">
        <f t="shared" si="4"/>
        <v>0</v>
      </c>
      <c r="AJ1394" s="374">
        <f t="shared" si="5"/>
        <v>336250</v>
      </c>
      <c r="AK1394" s="374">
        <f t="shared" si="6"/>
        <v>336250</v>
      </c>
      <c r="AL1394" s="58"/>
      <c r="AM1394" s="58"/>
    </row>
    <row r="1395">
      <c r="A1395" s="368">
        <v>1394.0</v>
      </c>
      <c r="B1395" s="369">
        <v>45338.0</v>
      </c>
      <c r="C1395" s="195" t="str">
        <f t="shared" si="10"/>
        <v>22024</v>
      </c>
      <c r="D1395" s="370" t="s">
        <v>3784</v>
      </c>
      <c r="E1395" s="368" t="s">
        <v>3785</v>
      </c>
      <c r="F1395" s="371" t="s">
        <v>1415</v>
      </c>
      <c r="G1395" s="368" t="s">
        <v>64</v>
      </c>
      <c r="H1395" s="368" t="s">
        <v>41</v>
      </c>
      <c r="I1395" s="368" t="s">
        <v>643</v>
      </c>
      <c r="J1395" s="52"/>
      <c r="K1395" s="372">
        <v>1.0</v>
      </c>
      <c r="L1395" s="52"/>
      <c r="M1395" s="52"/>
      <c r="N1395" s="52"/>
      <c r="O1395" s="52"/>
      <c r="P1395" s="52"/>
      <c r="Q1395" s="54"/>
      <c r="R1395" s="54"/>
      <c r="S1395" s="368" t="s">
        <v>137</v>
      </c>
      <c r="T1395" s="373" t="s">
        <v>83</v>
      </c>
      <c r="U1395" s="373" t="s">
        <v>99</v>
      </c>
      <c r="V1395" s="373" t="s">
        <v>1984</v>
      </c>
      <c r="W1395" s="55"/>
      <c r="X1395" s="55"/>
      <c r="Y1395" s="55"/>
      <c r="Z1395" s="55"/>
      <c r="AA1395" s="374">
        <v>50438.0</v>
      </c>
      <c r="AB1395" s="374">
        <v>176533.0</v>
      </c>
      <c r="AC1395" s="375" t="s">
        <v>3871</v>
      </c>
      <c r="AD1395" s="49">
        <v>13656.0</v>
      </c>
      <c r="AE1395" s="54"/>
      <c r="AF1395" s="368" t="str">
        <f t="shared" si="1"/>
        <v>Capital Federal, Argentina</v>
      </c>
      <c r="AG1395" s="368">
        <f t="shared" si="2"/>
        <v>1</v>
      </c>
      <c r="AH1395" s="376">
        <f t="shared" si="3"/>
        <v>0</v>
      </c>
      <c r="AI1395" s="376">
        <f t="shared" si="4"/>
        <v>0</v>
      </c>
      <c r="AJ1395" s="374">
        <f t="shared" si="5"/>
        <v>226971</v>
      </c>
      <c r="AK1395" s="374">
        <f t="shared" si="6"/>
        <v>226971</v>
      </c>
      <c r="AL1395" s="58"/>
      <c r="AM1395" s="58"/>
    </row>
    <row r="1396">
      <c r="A1396" s="368">
        <v>1395.0</v>
      </c>
      <c r="B1396" s="369">
        <v>45342.0</v>
      </c>
      <c r="C1396" s="195" t="str">
        <f t="shared" si="10"/>
        <v>22024</v>
      </c>
      <c r="D1396" s="370" t="s">
        <v>3784</v>
      </c>
      <c r="E1396" s="368" t="s">
        <v>3785</v>
      </c>
      <c r="F1396" s="371" t="s">
        <v>1423</v>
      </c>
      <c r="G1396" s="368" t="s">
        <v>64</v>
      </c>
      <c r="H1396" s="368" t="s">
        <v>41</v>
      </c>
      <c r="I1396" s="368" t="s">
        <v>643</v>
      </c>
      <c r="J1396" s="372">
        <v>1.0</v>
      </c>
      <c r="K1396" s="52"/>
      <c r="L1396" s="52"/>
      <c r="M1396" s="52"/>
      <c r="N1396" s="52"/>
      <c r="O1396" s="52"/>
      <c r="P1396" s="52"/>
      <c r="Q1396" s="54"/>
      <c r="R1396" s="54"/>
      <c r="S1396" s="368" t="s">
        <v>137</v>
      </c>
      <c r="T1396" s="373" t="s">
        <v>83</v>
      </c>
      <c r="U1396" s="373" t="s">
        <v>99</v>
      </c>
      <c r="V1396" s="373" t="s">
        <v>1984</v>
      </c>
      <c r="W1396" s="55"/>
      <c r="X1396" s="55"/>
      <c r="Y1396" s="55"/>
      <c r="Z1396" s="55"/>
      <c r="AA1396" s="374">
        <v>67250.0</v>
      </c>
      <c r="AB1396" s="374">
        <v>235375.0</v>
      </c>
      <c r="AC1396" s="375" t="s">
        <v>3872</v>
      </c>
      <c r="AD1396" s="49">
        <v>13694.0</v>
      </c>
      <c r="AE1396" s="54"/>
      <c r="AF1396" s="368" t="str">
        <f t="shared" si="1"/>
        <v>Capital Federal, Argentina</v>
      </c>
      <c r="AG1396" s="368">
        <f t="shared" si="2"/>
        <v>1</v>
      </c>
      <c r="AH1396" s="376">
        <f t="shared" si="3"/>
        <v>0</v>
      </c>
      <c r="AI1396" s="376">
        <f t="shared" si="4"/>
        <v>0</v>
      </c>
      <c r="AJ1396" s="374">
        <f t="shared" si="5"/>
        <v>302625</v>
      </c>
      <c r="AK1396" s="374">
        <f t="shared" si="6"/>
        <v>302625</v>
      </c>
      <c r="AL1396" s="58"/>
      <c r="AM1396" s="58"/>
    </row>
    <row r="1397">
      <c r="A1397" s="368">
        <v>1396.0</v>
      </c>
      <c r="B1397" s="369">
        <v>45342.0</v>
      </c>
      <c r="C1397" s="195" t="str">
        <f t="shared" si="10"/>
        <v>22024</v>
      </c>
      <c r="D1397" s="370" t="s">
        <v>3873</v>
      </c>
      <c r="E1397" s="368" t="s">
        <v>3874</v>
      </c>
      <c r="F1397" s="371" t="s">
        <v>1415</v>
      </c>
      <c r="G1397" s="368" t="s">
        <v>64</v>
      </c>
      <c r="H1397" s="368" t="s">
        <v>41</v>
      </c>
      <c r="I1397" s="368" t="s">
        <v>643</v>
      </c>
      <c r="J1397" s="52"/>
      <c r="K1397" s="372">
        <v>1.0</v>
      </c>
      <c r="L1397" s="52"/>
      <c r="M1397" s="52"/>
      <c r="N1397" s="52"/>
      <c r="O1397" s="52"/>
      <c r="P1397" s="52"/>
      <c r="Q1397" s="54"/>
      <c r="R1397" s="54"/>
      <c r="S1397" s="368" t="s">
        <v>98</v>
      </c>
      <c r="T1397" s="373" t="s">
        <v>66</v>
      </c>
      <c r="U1397" s="373" t="s">
        <v>99</v>
      </c>
      <c r="V1397" s="373" t="s">
        <v>1984</v>
      </c>
      <c r="W1397" s="55"/>
      <c r="X1397" s="55"/>
      <c r="Y1397" s="55"/>
      <c r="Z1397" s="55"/>
      <c r="AA1397" s="374">
        <v>50438.0</v>
      </c>
      <c r="AB1397" s="374">
        <v>201752.0</v>
      </c>
      <c r="AC1397" s="375" t="s">
        <v>3875</v>
      </c>
      <c r="AD1397" s="49">
        <v>13620.0</v>
      </c>
      <c r="AE1397" s="54"/>
      <c r="AF1397" s="368" t="str">
        <f t="shared" si="1"/>
        <v>Buenos Aires, Argentina</v>
      </c>
      <c r="AG1397" s="368">
        <f t="shared" si="2"/>
        <v>1</v>
      </c>
      <c r="AH1397" s="376">
        <f t="shared" si="3"/>
        <v>0</v>
      </c>
      <c r="AI1397" s="376">
        <f t="shared" si="4"/>
        <v>0</v>
      </c>
      <c r="AJ1397" s="374">
        <f t="shared" si="5"/>
        <v>252190</v>
      </c>
      <c r="AK1397" s="374">
        <f t="shared" si="6"/>
        <v>252190</v>
      </c>
      <c r="AL1397" s="58"/>
      <c r="AM1397" s="58"/>
    </row>
    <row r="1398">
      <c r="A1398" s="368">
        <v>1397.0</v>
      </c>
      <c r="B1398" s="369">
        <v>45342.0</v>
      </c>
      <c r="C1398" s="195" t="str">
        <f t="shared" si="10"/>
        <v>22024</v>
      </c>
      <c r="D1398" s="370" t="s">
        <v>3876</v>
      </c>
      <c r="E1398" s="368" t="s">
        <v>3877</v>
      </c>
      <c r="F1398" s="371" t="s">
        <v>3878</v>
      </c>
      <c r="G1398" s="368" t="s">
        <v>64</v>
      </c>
      <c r="H1398" s="368" t="s">
        <v>41</v>
      </c>
      <c r="I1398" s="368" t="s">
        <v>643</v>
      </c>
      <c r="J1398" s="52"/>
      <c r="K1398" s="52"/>
      <c r="L1398" s="52"/>
      <c r="M1398" s="52"/>
      <c r="N1398" s="52"/>
      <c r="O1398" s="52"/>
      <c r="P1398" s="52"/>
      <c r="Q1398" s="54"/>
      <c r="R1398" s="54"/>
      <c r="S1398" s="368" t="s">
        <v>65</v>
      </c>
      <c r="T1398" s="373" t="s">
        <v>66</v>
      </c>
      <c r="U1398" s="373" t="s">
        <v>99</v>
      </c>
      <c r="V1398" s="373" t="s">
        <v>1984</v>
      </c>
      <c r="W1398" s="55"/>
      <c r="X1398" s="55"/>
      <c r="Y1398" s="55"/>
      <c r="Z1398" s="55"/>
      <c r="AA1398" s="374">
        <v>0.0</v>
      </c>
      <c r="AB1398" s="374">
        <v>60525.0</v>
      </c>
      <c r="AC1398" s="375" t="s">
        <v>3879</v>
      </c>
      <c r="AD1398" s="49">
        <v>13628.0</v>
      </c>
      <c r="AE1398" s="54"/>
      <c r="AF1398" s="368" t="str">
        <f t="shared" si="1"/>
        <v>Buenos Aires, Argentina</v>
      </c>
      <c r="AG1398" s="368">
        <f t="shared" si="2"/>
        <v>0</v>
      </c>
      <c r="AH1398" s="376">
        <f t="shared" si="3"/>
        <v>0</v>
      </c>
      <c r="AI1398" s="376">
        <f t="shared" si="4"/>
        <v>0</v>
      </c>
      <c r="AJ1398" s="374">
        <f t="shared" si="5"/>
        <v>60525</v>
      </c>
      <c r="AK1398" s="374">
        <f t="shared" si="6"/>
        <v>60525</v>
      </c>
      <c r="AL1398" s="58"/>
      <c r="AM1398" s="58"/>
    </row>
    <row r="1399">
      <c r="A1399" s="368">
        <v>1398.0</v>
      </c>
      <c r="B1399" s="369">
        <v>45345.0</v>
      </c>
      <c r="C1399" s="195" t="str">
        <f t="shared" si="10"/>
        <v>22024</v>
      </c>
      <c r="D1399" s="370" t="s">
        <v>3862</v>
      </c>
      <c r="E1399" s="368" t="s">
        <v>3617</v>
      </c>
      <c r="F1399" s="371" t="s">
        <v>3490</v>
      </c>
      <c r="G1399" s="368" t="s">
        <v>64</v>
      </c>
      <c r="H1399" s="368" t="s">
        <v>41</v>
      </c>
      <c r="I1399" s="368" t="s">
        <v>643</v>
      </c>
      <c r="J1399" s="52"/>
      <c r="K1399" s="52"/>
      <c r="L1399" s="52"/>
      <c r="M1399" s="52"/>
      <c r="N1399" s="52"/>
      <c r="O1399" s="52"/>
      <c r="P1399" s="372">
        <v>1.0</v>
      </c>
      <c r="Q1399" s="54"/>
      <c r="R1399" s="54"/>
      <c r="S1399" s="368" t="s">
        <v>105</v>
      </c>
      <c r="T1399" s="373" t="s">
        <v>66</v>
      </c>
      <c r="U1399" s="373" t="s">
        <v>99</v>
      </c>
      <c r="V1399" s="373" t="s">
        <v>1984</v>
      </c>
      <c r="W1399" s="55"/>
      <c r="X1399" s="55"/>
      <c r="Y1399" s="55"/>
      <c r="Z1399" s="55"/>
      <c r="AA1399" s="374">
        <v>50438.0</v>
      </c>
      <c r="AB1399" s="374">
        <v>214361.0</v>
      </c>
      <c r="AC1399" s="375" t="s">
        <v>3880</v>
      </c>
      <c r="AD1399" s="49">
        <v>13764.0</v>
      </c>
      <c r="AE1399" s="54"/>
      <c r="AF1399" s="368" t="str">
        <f t="shared" si="1"/>
        <v>Buenos Aires, Argentina</v>
      </c>
      <c r="AG1399" s="368">
        <f t="shared" si="2"/>
        <v>1</v>
      </c>
      <c r="AH1399" s="376">
        <f t="shared" si="3"/>
        <v>0</v>
      </c>
      <c r="AI1399" s="376">
        <f t="shared" si="4"/>
        <v>0</v>
      </c>
      <c r="AJ1399" s="374">
        <f t="shared" si="5"/>
        <v>264799</v>
      </c>
      <c r="AK1399" s="374">
        <f t="shared" si="6"/>
        <v>264799</v>
      </c>
      <c r="AL1399" s="58"/>
      <c r="AM1399" s="58"/>
    </row>
    <row r="1400">
      <c r="A1400" s="368">
        <v>1399.0</v>
      </c>
      <c r="B1400" s="369">
        <v>45345.0</v>
      </c>
      <c r="C1400" s="195" t="str">
        <f t="shared" si="10"/>
        <v>22024</v>
      </c>
      <c r="D1400" s="370" t="s">
        <v>3862</v>
      </c>
      <c r="E1400" s="368" t="s">
        <v>3617</v>
      </c>
      <c r="F1400" s="371" t="s">
        <v>3881</v>
      </c>
      <c r="G1400" s="368" t="s">
        <v>64</v>
      </c>
      <c r="H1400" s="368" t="s">
        <v>41</v>
      </c>
      <c r="I1400" s="368" t="s">
        <v>643</v>
      </c>
      <c r="J1400" s="52"/>
      <c r="K1400" s="52"/>
      <c r="L1400" s="52"/>
      <c r="M1400" s="52"/>
      <c r="N1400" s="52"/>
      <c r="O1400" s="52"/>
      <c r="P1400" s="52"/>
      <c r="Q1400" s="54"/>
      <c r="R1400" s="54"/>
      <c r="S1400" s="368" t="s">
        <v>105</v>
      </c>
      <c r="T1400" s="373" t="s">
        <v>66</v>
      </c>
      <c r="U1400" s="373" t="s">
        <v>99</v>
      </c>
      <c r="V1400" s="373" t="s">
        <v>1984</v>
      </c>
      <c r="W1400" s="374">
        <v>47038.0</v>
      </c>
      <c r="X1400" s="374">
        <v>199911.0</v>
      </c>
      <c r="Y1400" s="55"/>
      <c r="Z1400" s="55"/>
      <c r="AA1400" s="374">
        <v>0.0</v>
      </c>
      <c r="AB1400" s="374">
        <v>0.0</v>
      </c>
      <c r="AC1400" s="375" t="s">
        <v>3882</v>
      </c>
      <c r="AD1400" s="49">
        <v>13766.0</v>
      </c>
      <c r="AE1400" s="54"/>
      <c r="AF1400" s="368" t="str">
        <f t="shared" si="1"/>
        <v>Buenos Aires, Argentina</v>
      </c>
      <c r="AG1400" s="368">
        <f t="shared" si="2"/>
        <v>0</v>
      </c>
      <c r="AH1400" s="376">
        <f t="shared" si="3"/>
        <v>246949</v>
      </c>
      <c r="AI1400" s="376">
        <f t="shared" si="4"/>
        <v>0</v>
      </c>
      <c r="AJ1400" s="374">
        <f t="shared" si="5"/>
        <v>0</v>
      </c>
      <c r="AK1400" s="374">
        <f t="shared" si="6"/>
        <v>246949</v>
      </c>
      <c r="AL1400" s="58"/>
      <c r="AM1400" s="58"/>
    </row>
    <row r="1401">
      <c r="A1401" s="368">
        <v>1400.0</v>
      </c>
      <c r="B1401" s="369">
        <v>45345.0</v>
      </c>
      <c r="C1401" s="195" t="str">
        <f t="shared" si="10"/>
        <v>22024</v>
      </c>
      <c r="D1401" s="370" t="s">
        <v>3883</v>
      </c>
      <c r="E1401" s="368" t="s">
        <v>3884</v>
      </c>
      <c r="F1401" s="371" t="s">
        <v>2008</v>
      </c>
      <c r="G1401" s="368" t="s">
        <v>64</v>
      </c>
      <c r="H1401" s="368" t="s">
        <v>227</v>
      </c>
      <c r="I1401" s="368" t="s">
        <v>643</v>
      </c>
      <c r="J1401" s="52"/>
      <c r="K1401" s="52"/>
      <c r="L1401" s="52"/>
      <c r="M1401" s="52"/>
      <c r="N1401" s="372">
        <v>1.0</v>
      </c>
      <c r="O1401" s="52"/>
      <c r="P1401" s="52"/>
      <c r="Q1401" s="54"/>
      <c r="R1401" s="54"/>
      <c r="S1401" s="368" t="s">
        <v>109</v>
      </c>
      <c r="T1401" s="373" t="s">
        <v>83</v>
      </c>
      <c r="U1401" s="373" t="s">
        <v>99</v>
      </c>
      <c r="V1401" s="373" t="s">
        <v>988</v>
      </c>
      <c r="W1401" s="55"/>
      <c r="X1401" s="55"/>
      <c r="Y1401" s="55"/>
      <c r="Z1401" s="55"/>
      <c r="AA1401" s="374">
        <v>0.0</v>
      </c>
      <c r="AB1401" s="374">
        <v>3762572.8</v>
      </c>
      <c r="AC1401" s="375" t="s">
        <v>3885</v>
      </c>
      <c r="AD1401" s="49">
        <v>13798.0</v>
      </c>
      <c r="AE1401" s="54"/>
      <c r="AF1401" s="368" t="str">
        <f t="shared" si="1"/>
        <v>Capital Federal, Argentina</v>
      </c>
      <c r="AG1401" s="368">
        <f t="shared" si="2"/>
        <v>1</v>
      </c>
      <c r="AH1401" s="376">
        <f t="shared" si="3"/>
        <v>0</v>
      </c>
      <c r="AI1401" s="376">
        <f t="shared" si="4"/>
        <v>0</v>
      </c>
      <c r="AJ1401" s="374">
        <f t="shared" si="5"/>
        <v>3762572.8</v>
      </c>
      <c r="AK1401" s="374">
        <f t="shared" si="6"/>
        <v>3762572.8</v>
      </c>
      <c r="AL1401" s="58"/>
      <c r="AM1401" s="58"/>
    </row>
    <row r="1402">
      <c r="A1402" s="368">
        <v>1401.0</v>
      </c>
      <c r="B1402" s="369">
        <v>45348.0</v>
      </c>
      <c r="C1402" s="195" t="str">
        <f t="shared" si="10"/>
        <v>22024</v>
      </c>
      <c r="D1402" s="370" t="s">
        <v>3886</v>
      </c>
      <c r="E1402" s="368" t="s">
        <v>3887</v>
      </c>
      <c r="F1402" s="371" t="s">
        <v>3888</v>
      </c>
      <c r="G1402" s="368" t="s">
        <v>40</v>
      </c>
      <c r="H1402" s="368" t="s">
        <v>547</v>
      </c>
      <c r="I1402" s="368" t="s">
        <v>42</v>
      </c>
      <c r="J1402" s="372">
        <v>1.0</v>
      </c>
      <c r="K1402" s="372">
        <v>3.0</v>
      </c>
      <c r="L1402" s="372">
        <v>2.0</v>
      </c>
      <c r="M1402" s="372">
        <v>1.0</v>
      </c>
      <c r="N1402" s="372">
        <v>1.0</v>
      </c>
      <c r="O1402" s="52"/>
      <c r="P1402" s="372">
        <v>1.0</v>
      </c>
      <c r="Q1402" s="54"/>
      <c r="R1402" s="54"/>
      <c r="S1402" s="368" t="s">
        <v>276</v>
      </c>
      <c r="T1402" s="373" t="s">
        <v>66</v>
      </c>
      <c r="U1402" s="373" t="s">
        <v>45</v>
      </c>
      <c r="V1402" s="373" t="s">
        <v>2922</v>
      </c>
      <c r="W1402" s="55"/>
      <c r="X1402" s="55"/>
      <c r="Y1402" s="55"/>
      <c r="Z1402" s="55"/>
      <c r="AA1402" s="374">
        <v>229998.0</v>
      </c>
      <c r="AB1402" s="374">
        <v>919992.0</v>
      </c>
      <c r="AC1402" s="375" t="s">
        <v>3889</v>
      </c>
      <c r="AD1402" s="49">
        <v>13218.0</v>
      </c>
      <c r="AE1402" s="54"/>
      <c r="AF1402" s="368" t="str">
        <f t="shared" si="1"/>
        <v>Buenos Aires, Argentina</v>
      </c>
      <c r="AG1402" s="368">
        <f t="shared" si="2"/>
        <v>9</v>
      </c>
      <c r="AH1402" s="376">
        <f t="shared" si="3"/>
        <v>0</v>
      </c>
      <c r="AI1402" s="376">
        <f t="shared" si="4"/>
        <v>0</v>
      </c>
      <c r="AJ1402" s="374">
        <f t="shared" si="5"/>
        <v>1149990</v>
      </c>
      <c r="AK1402" s="374">
        <f t="shared" si="6"/>
        <v>1149990</v>
      </c>
      <c r="AL1402" s="58"/>
      <c r="AM1402" s="58"/>
    </row>
    <row r="1403">
      <c r="A1403" s="368">
        <v>1402.0</v>
      </c>
      <c r="B1403" s="369">
        <v>45348.0</v>
      </c>
      <c r="C1403" s="195" t="str">
        <f t="shared" si="10"/>
        <v>22024</v>
      </c>
      <c r="D1403" s="370" t="s">
        <v>3886</v>
      </c>
      <c r="E1403" s="368" t="s">
        <v>3887</v>
      </c>
      <c r="F1403" s="371" t="s">
        <v>3890</v>
      </c>
      <c r="G1403" s="368" t="s">
        <v>40</v>
      </c>
      <c r="H1403" s="368" t="s">
        <v>547</v>
      </c>
      <c r="I1403" s="368" t="s">
        <v>42</v>
      </c>
      <c r="J1403" s="52"/>
      <c r="K1403" s="52"/>
      <c r="L1403" s="52"/>
      <c r="M1403" s="52"/>
      <c r="N1403" s="52"/>
      <c r="O1403" s="52"/>
      <c r="P1403" s="52"/>
      <c r="Q1403" s="54"/>
      <c r="R1403" s="54"/>
      <c r="S1403" s="368" t="s">
        <v>276</v>
      </c>
      <c r="T1403" s="373" t="s">
        <v>66</v>
      </c>
      <c r="U1403" s="373" t="s">
        <v>45</v>
      </c>
      <c r="V1403" s="373" t="s">
        <v>2922</v>
      </c>
      <c r="W1403" s="374">
        <v>71175.0</v>
      </c>
      <c r="X1403" s="374">
        <v>320827.0</v>
      </c>
      <c r="Y1403" s="55"/>
      <c r="Z1403" s="55"/>
      <c r="AA1403" s="374">
        <v>0.0</v>
      </c>
      <c r="AB1403" s="374">
        <v>0.0</v>
      </c>
      <c r="AC1403" s="375" t="s">
        <v>3891</v>
      </c>
      <c r="AD1403" s="49">
        <v>13796.0</v>
      </c>
      <c r="AE1403" s="54"/>
      <c r="AF1403" s="368" t="str">
        <f t="shared" si="1"/>
        <v>Buenos Aires, Argentina</v>
      </c>
      <c r="AG1403" s="368">
        <f t="shared" si="2"/>
        <v>0</v>
      </c>
      <c r="AH1403" s="376">
        <f t="shared" si="3"/>
        <v>392002</v>
      </c>
      <c r="AI1403" s="376">
        <f t="shared" si="4"/>
        <v>0</v>
      </c>
      <c r="AJ1403" s="374">
        <f t="shared" si="5"/>
        <v>0</v>
      </c>
      <c r="AK1403" s="374">
        <f t="shared" si="6"/>
        <v>392002</v>
      </c>
      <c r="AL1403" s="58"/>
      <c r="AM1403" s="58"/>
    </row>
    <row r="1404">
      <c r="A1404" s="368">
        <v>1403.0</v>
      </c>
      <c r="B1404" s="369">
        <v>45349.0</v>
      </c>
      <c r="C1404" s="195" t="str">
        <f t="shared" si="10"/>
        <v>22024</v>
      </c>
      <c r="D1404" s="370" t="s">
        <v>2242</v>
      </c>
      <c r="E1404" s="368" t="s">
        <v>2243</v>
      </c>
      <c r="F1404" s="371" t="s">
        <v>1415</v>
      </c>
      <c r="G1404" s="368" t="s">
        <v>64</v>
      </c>
      <c r="H1404" s="368" t="s">
        <v>41</v>
      </c>
      <c r="I1404" s="368" t="s">
        <v>643</v>
      </c>
      <c r="J1404" s="52"/>
      <c r="K1404" s="372">
        <v>1.0</v>
      </c>
      <c r="L1404" s="52"/>
      <c r="M1404" s="52"/>
      <c r="N1404" s="52"/>
      <c r="O1404" s="52"/>
      <c r="P1404" s="52"/>
      <c r="Q1404" s="54"/>
      <c r="R1404" s="54"/>
      <c r="S1404" s="368" t="s">
        <v>65</v>
      </c>
      <c r="T1404" s="373" t="s">
        <v>66</v>
      </c>
      <c r="U1404" s="373" t="s">
        <v>99</v>
      </c>
      <c r="V1404" s="373" t="s">
        <v>1984</v>
      </c>
      <c r="W1404" s="55"/>
      <c r="X1404" s="55"/>
      <c r="Y1404" s="55"/>
      <c r="Z1404" s="55"/>
      <c r="AA1404" s="374">
        <v>50438.0</v>
      </c>
      <c r="AB1404" s="374">
        <v>176533.0</v>
      </c>
      <c r="AC1404" s="375" t="s">
        <v>3892</v>
      </c>
      <c r="AD1404" s="49">
        <v>13814.0</v>
      </c>
      <c r="AE1404" s="54"/>
      <c r="AF1404" s="368" t="str">
        <f t="shared" si="1"/>
        <v>Buenos Aires, Argentina</v>
      </c>
      <c r="AG1404" s="368">
        <f t="shared" si="2"/>
        <v>1</v>
      </c>
      <c r="AH1404" s="376">
        <f t="shared" si="3"/>
        <v>0</v>
      </c>
      <c r="AI1404" s="376">
        <f t="shared" si="4"/>
        <v>0</v>
      </c>
      <c r="AJ1404" s="374">
        <f t="shared" si="5"/>
        <v>226971</v>
      </c>
      <c r="AK1404" s="374">
        <f t="shared" si="6"/>
        <v>226971</v>
      </c>
      <c r="AL1404" s="58"/>
      <c r="AM1404" s="58"/>
    </row>
    <row r="1405">
      <c r="A1405" s="368">
        <v>1404.0</v>
      </c>
      <c r="B1405" s="369">
        <v>45349.0</v>
      </c>
      <c r="C1405" s="195" t="str">
        <f t="shared" si="10"/>
        <v>22024</v>
      </c>
      <c r="D1405" s="370" t="s">
        <v>2594</v>
      </c>
      <c r="E1405" s="368" t="s">
        <v>1796</v>
      </c>
      <c r="F1405" s="371" t="s">
        <v>3584</v>
      </c>
      <c r="G1405" s="368" t="s">
        <v>64</v>
      </c>
      <c r="H1405" s="368" t="s">
        <v>41</v>
      </c>
      <c r="I1405" s="368" t="s">
        <v>643</v>
      </c>
      <c r="J1405" s="52"/>
      <c r="K1405" s="52"/>
      <c r="L1405" s="52"/>
      <c r="M1405" s="52"/>
      <c r="N1405" s="52"/>
      <c r="O1405" s="52"/>
      <c r="P1405" s="52"/>
      <c r="Q1405" s="54"/>
      <c r="R1405" s="54"/>
      <c r="S1405" s="368" t="s">
        <v>43</v>
      </c>
      <c r="T1405" s="373" t="s">
        <v>83</v>
      </c>
      <c r="U1405" s="373" t="s">
        <v>99</v>
      </c>
      <c r="V1405" s="373" t="s">
        <v>1984</v>
      </c>
      <c r="W1405" s="374">
        <v>68296.0</v>
      </c>
      <c r="X1405" s="374">
        <v>273184.0</v>
      </c>
      <c r="Y1405" s="55"/>
      <c r="Z1405" s="55"/>
      <c r="AA1405" s="374">
        <v>0.0</v>
      </c>
      <c r="AB1405" s="374">
        <v>0.0</v>
      </c>
      <c r="AC1405" s="375" t="s">
        <v>3893</v>
      </c>
      <c r="AD1405" s="49">
        <v>13624.0</v>
      </c>
      <c r="AE1405" s="54"/>
      <c r="AF1405" s="368" t="str">
        <f t="shared" si="1"/>
        <v>Capital Federal, Argentina</v>
      </c>
      <c r="AG1405" s="368">
        <f t="shared" si="2"/>
        <v>0</v>
      </c>
      <c r="AH1405" s="376">
        <f t="shared" si="3"/>
        <v>341480</v>
      </c>
      <c r="AI1405" s="376">
        <f t="shared" si="4"/>
        <v>0</v>
      </c>
      <c r="AJ1405" s="374">
        <f t="shared" si="5"/>
        <v>0</v>
      </c>
      <c r="AK1405" s="374">
        <f t="shared" si="6"/>
        <v>341480</v>
      </c>
      <c r="AL1405" s="58"/>
      <c r="AM1405" s="58"/>
    </row>
    <row r="1406">
      <c r="A1406" s="368">
        <v>1405.0</v>
      </c>
      <c r="B1406" s="369">
        <v>45350.0</v>
      </c>
      <c r="C1406" s="195" t="str">
        <f t="shared" si="10"/>
        <v>22024</v>
      </c>
      <c r="D1406" s="370" t="s">
        <v>3894</v>
      </c>
      <c r="E1406" s="368" t="s">
        <v>3895</v>
      </c>
      <c r="F1406" s="371" t="s">
        <v>3896</v>
      </c>
      <c r="G1406" s="368" t="s">
        <v>40</v>
      </c>
      <c r="H1406" s="368" t="s">
        <v>41</v>
      </c>
      <c r="I1406" s="368" t="s">
        <v>643</v>
      </c>
      <c r="J1406" s="372">
        <v>6.0</v>
      </c>
      <c r="K1406" s="372">
        <v>7.0</v>
      </c>
      <c r="L1406" s="52"/>
      <c r="M1406" s="372">
        <v>1.0</v>
      </c>
      <c r="N1406" s="52"/>
      <c r="O1406" s="372">
        <v>1.0</v>
      </c>
      <c r="P1406" s="52"/>
      <c r="Q1406" s="54"/>
      <c r="R1406" s="54"/>
      <c r="S1406" s="368" t="s">
        <v>189</v>
      </c>
      <c r="T1406" s="373" t="s">
        <v>66</v>
      </c>
      <c r="U1406" s="373" t="s">
        <v>342</v>
      </c>
      <c r="V1406" s="373" t="s">
        <v>2935</v>
      </c>
      <c r="W1406" s="55"/>
      <c r="X1406" s="55"/>
      <c r="Y1406" s="55"/>
      <c r="Z1406" s="55"/>
      <c r="AA1406" s="374">
        <v>793554.0</v>
      </c>
      <c r="AB1406" s="374">
        <v>2975827.0</v>
      </c>
      <c r="AC1406" s="375" t="s">
        <v>3897</v>
      </c>
      <c r="AD1406" s="49">
        <v>13404.0</v>
      </c>
      <c r="AE1406" s="54"/>
      <c r="AF1406" s="368" t="str">
        <f t="shared" si="1"/>
        <v>Buenos Aires, Argentina</v>
      </c>
      <c r="AG1406" s="368">
        <f t="shared" si="2"/>
        <v>15</v>
      </c>
      <c r="AH1406" s="376">
        <f t="shared" si="3"/>
        <v>0</v>
      </c>
      <c r="AI1406" s="376">
        <f t="shared" si="4"/>
        <v>0</v>
      </c>
      <c r="AJ1406" s="374">
        <f t="shared" si="5"/>
        <v>3769381</v>
      </c>
      <c r="AK1406" s="374">
        <f t="shared" si="6"/>
        <v>3769381</v>
      </c>
      <c r="AL1406" s="58"/>
      <c r="AM1406" s="58"/>
    </row>
    <row r="1407">
      <c r="A1407" s="368">
        <v>1406.0</v>
      </c>
      <c r="B1407" s="369">
        <v>45350.0</v>
      </c>
      <c r="C1407" s="195" t="str">
        <f t="shared" si="10"/>
        <v>22024</v>
      </c>
      <c r="D1407" s="370" t="s">
        <v>3691</v>
      </c>
      <c r="E1407" s="368" t="s">
        <v>3424</v>
      </c>
      <c r="F1407" s="371" t="s">
        <v>3898</v>
      </c>
      <c r="G1407" s="368" t="s">
        <v>64</v>
      </c>
      <c r="H1407" s="368" t="s">
        <v>41</v>
      </c>
      <c r="I1407" s="368" t="s">
        <v>643</v>
      </c>
      <c r="J1407" s="372">
        <v>1.0</v>
      </c>
      <c r="K1407" s="372">
        <v>3.0</v>
      </c>
      <c r="L1407" s="52"/>
      <c r="M1407" s="372">
        <v>1.0</v>
      </c>
      <c r="N1407" s="52"/>
      <c r="O1407" s="52"/>
      <c r="P1407" s="52"/>
      <c r="Q1407" s="54"/>
      <c r="R1407" s="54"/>
      <c r="S1407" s="368" t="s">
        <v>963</v>
      </c>
      <c r="T1407" s="373" t="s">
        <v>66</v>
      </c>
      <c r="U1407" s="373" t="s">
        <v>342</v>
      </c>
      <c r="V1407" s="373" t="s">
        <v>1984</v>
      </c>
      <c r="W1407" s="55"/>
      <c r="X1407" s="55"/>
      <c r="Y1407" s="55"/>
      <c r="Z1407" s="55"/>
      <c r="AA1407" s="374">
        <v>285814.0</v>
      </c>
      <c r="AB1407" s="374">
        <v>588440.0</v>
      </c>
      <c r="AC1407" s="375" t="s">
        <v>3425</v>
      </c>
      <c r="AD1407" s="49">
        <v>10492.0</v>
      </c>
      <c r="AE1407" s="54"/>
      <c r="AF1407" s="368" t="str">
        <f t="shared" si="1"/>
        <v>Buenos Aires, Argentina</v>
      </c>
      <c r="AG1407" s="368">
        <f t="shared" si="2"/>
        <v>5</v>
      </c>
      <c r="AH1407" s="376">
        <f t="shared" si="3"/>
        <v>0</v>
      </c>
      <c r="AI1407" s="376">
        <f t="shared" si="4"/>
        <v>0</v>
      </c>
      <c r="AJ1407" s="374">
        <f t="shared" si="5"/>
        <v>874254</v>
      </c>
      <c r="AK1407" s="374">
        <f t="shared" si="6"/>
        <v>874254</v>
      </c>
      <c r="AL1407" s="58"/>
      <c r="AM1407" s="58"/>
    </row>
    <row r="1408">
      <c r="A1408" s="368">
        <v>1407.0</v>
      </c>
      <c r="B1408" s="369">
        <v>45350.0</v>
      </c>
      <c r="C1408" s="195" t="str">
        <f t="shared" si="10"/>
        <v>22024</v>
      </c>
      <c r="D1408" s="370" t="s">
        <v>3168</v>
      </c>
      <c r="E1408" s="368" t="s">
        <v>3169</v>
      </c>
      <c r="F1408" s="371" t="s">
        <v>1415</v>
      </c>
      <c r="G1408" s="368" t="s">
        <v>64</v>
      </c>
      <c r="H1408" s="368" t="s">
        <v>41</v>
      </c>
      <c r="I1408" s="368" t="s">
        <v>643</v>
      </c>
      <c r="J1408" s="52"/>
      <c r="K1408" s="372">
        <v>1.0</v>
      </c>
      <c r="L1408" s="52"/>
      <c r="M1408" s="52"/>
      <c r="N1408" s="52"/>
      <c r="O1408" s="52"/>
      <c r="P1408" s="52"/>
      <c r="Q1408" s="54"/>
      <c r="R1408" s="54"/>
      <c r="S1408" s="368" t="s">
        <v>65</v>
      </c>
      <c r="T1408" s="373" t="s">
        <v>66</v>
      </c>
      <c r="U1408" s="373" t="s">
        <v>99</v>
      </c>
      <c r="V1408" s="373" t="s">
        <v>1984</v>
      </c>
      <c r="W1408" s="55"/>
      <c r="X1408" s="55"/>
      <c r="Y1408" s="55"/>
      <c r="Z1408" s="55"/>
      <c r="AA1408" s="374">
        <v>50438.0</v>
      </c>
      <c r="AB1408" s="374">
        <v>176533.0</v>
      </c>
      <c r="AC1408" s="375" t="s">
        <v>3899</v>
      </c>
      <c r="AD1408" s="49">
        <v>13720.0</v>
      </c>
      <c r="AE1408" s="54"/>
      <c r="AF1408" s="368" t="str">
        <f t="shared" si="1"/>
        <v>Buenos Aires, Argentina</v>
      </c>
      <c r="AG1408" s="368">
        <f t="shared" si="2"/>
        <v>1</v>
      </c>
      <c r="AH1408" s="376">
        <f t="shared" si="3"/>
        <v>0</v>
      </c>
      <c r="AI1408" s="376">
        <f t="shared" si="4"/>
        <v>0</v>
      </c>
      <c r="AJ1408" s="374">
        <f t="shared" si="5"/>
        <v>226971</v>
      </c>
      <c r="AK1408" s="374">
        <f t="shared" si="6"/>
        <v>226971</v>
      </c>
      <c r="AL1408" s="58"/>
      <c r="AM1408" s="58"/>
    </row>
    <row r="1409">
      <c r="A1409" s="368">
        <v>1408.0</v>
      </c>
      <c r="B1409" s="369">
        <v>45350.0</v>
      </c>
      <c r="C1409" s="195" t="str">
        <f t="shared" si="10"/>
        <v>22024</v>
      </c>
      <c r="D1409" s="370" t="s">
        <v>3860</v>
      </c>
      <c r="E1409" s="368" t="s">
        <v>3408</v>
      </c>
      <c r="F1409" s="371" t="s">
        <v>3490</v>
      </c>
      <c r="G1409" s="368" t="s">
        <v>64</v>
      </c>
      <c r="H1409" s="368" t="s">
        <v>41</v>
      </c>
      <c r="I1409" s="368" t="s">
        <v>643</v>
      </c>
      <c r="J1409" s="52"/>
      <c r="K1409" s="52"/>
      <c r="L1409" s="52"/>
      <c r="M1409" s="52"/>
      <c r="N1409" s="52"/>
      <c r="O1409" s="52"/>
      <c r="P1409" s="372">
        <v>1.0</v>
      </c>
      <c r="Q1409" s="54"/>
      <c r="R1409" s="54"/>
      <c r="S1409" s="368" t="s">
        <v>65</v>
      </c>
      <c r="T1409" s="373" t="s">
        <v>66</v>
      </c>
      <c r="U1409" s="373" t="s">
        <v>99</v>
      </c>
      <c r="V1409" s="373" t="s">
        <v>1984</v>
      </c>
      <c r="W1409" s="55"/>
      <c r="X1409" s="55"/>
      <c r="Y1409" s="55"/>
      <c r="Z1409" s="55"/>
      <c r="AA1409" s="374">
        <v>45394.0</v>
      </c>
      <c r="AB1409" s="374">
        <v>176533.0</v>
      </c>
      <c r="AC1409" s="375" t="s">
        <v>3900</v>
      </c>
      <c r="AD1409" s="49">
        <v>13852.0</v>
      </c>
      <c r="AE1409" s="54"/>
      <c r="AF1409" s="368" t="str">
        <f t="shared" si="1"/>
        <v>Buenos Aires, Argentina</v>
      </c>
      <c r="AG1409" s="368">
        <f t="shared" si="2"/>
        <v>1</v>
      </c>
      <c r="AH1409" s="376">
        <f t="shared" si="3"/>
        <v>0</v>
      </c>
      <c r="AI1409" s="376">
        <f t="shared" si="4"/>
        <v>0</v>
      </c>
      <c r="AJ1409" s="374">
        <f t="shared" si="5"/>
        <v>221927</v>
      </c>
      <c r="AK1409" s="374">
        <f t="shared" si="6"/>
        <v>221927</v>
      </c>
      <c r="AL1409" s="58"/>
      <c r="AM1409" s="58"/>
    </row>
    <row r="1410">
      <c r="A1410" s="368">
        <v>1409.0</v>
      </c>
      <c r="B1410" s="369">
        <v>45350.0</v>
      </c>
      <c r="C1410" s="195" t="str">
        <f t="shared" si="10"/>
        <v>22024</v>
      </c>
      <c r="D1410" s="370" t="s">
        <v>3860</v>
      </c>
      <c r="E1410" s="368" t="s">
        <v>3408</v>
      </c>
      <c r="F1410" s="371" t="s">
        <v>3901</v>
      </c>
      <c r="G1410" s="368" t="s">
        <v>64</v>
      </c>
      <c r="H1410" s="368" t="s">
        <v>41</v>
      </c>
      <c r="I1410" s="368" t="s">
        <v>643</v>
      </c>
      <c r="J1410" s="52"/>
      <c r="K1410" s="52"/>
      <c r="L1410" s="52"/>
      <c r="M1410" s="52"/>
      <c r="N1410" s="52"/>
      <c r="O1410" s="52"/>
      <c r="P1410" s="52"/>
      <c r="Q1410" s="54"/>
      <c r="R1410" s="54"/>
      <c r="S1410" s="368" t="s">
        <v>65</v>
      </c>
      <c r="T1410" s="373" t="s">
        <v>66</v>
      </c>
      <c r="U1410" s="373" t="s">
        <v>99</v>
      </c>
      <c r="V1410" s="373" t="s">
        <v>1984</v>
      </c>
      <c r="W1410" s="374">
        <v>79040.0</v>
      </c>
      <c r="X1410" s="374">
        <v>355680.0</v>
      </c>
      <c r="Y1410" s="55"/>
      <c r="Z1410" s="55"/>
      <c r="AA1410" s="374">
        <v>0.0</v>
      </c>
      <c r="AB1410" s="374">
        <v>0.0</v>
      </c>
      <c r="AC1410" s="375" t="s">
        <v>3902</v>
      </c>
      <c r="AD1410" s="49">
        <v>12124.0</v>
      </c>
      <c r="AE1410" s="54"/>
      <c r="AF1410" s="368" t="str">
        <f t="shared" si="1"/>
        <v>Buenos Aires, Argentina</v>
      </c>
      <c r="AG1410" s="368">
        <f t="shared" si="2"/>
        <v>0</v>
      </c>
      <c r="AH1410" s="376">
        <f t="shared" si="3"/>
        <v>434720</v>
      </c>
      <c r="AI1410" s="376">
        <f t="shared" si="4"/>
        <v>0</v>
      </c>
      <c r="AJ1410" s="374">
        <f t="shared" si="5"/>
        <v>0</v>
      </c>
      <c r="AK1410" s="374">
        <f t="shared" si="6"/>
        <v>434720</v>
      </c>
      <c r="AL1410" s="58"/>
      <c r="AM1410" s="58"/>
    </row>
    <row r="1411">
      <c r="A1411" s="368">
        <v>1410.0</v>
      </c>
      <c r="B1411" s="369">
        <v>45351.0</v>
      </c>
      <c r="C1411" s="195" t="str">
        <f t="shared" si="10"/>
        <v>22024</v>
      </c>
      <c r="D1411" s="370" t="s">
        <v>3903</v>
      </c>
      <c r="E1411" s="368" t="s">
        <v>3904</v>
      </c>
      <c r="F1411" s="371" t="s">
        <v>3905</v>
      </c>
      <c r="G1411" s="368" t="s">
        <v>40</v>
      </c>
      <c r="H1411" s="368" t="s">
        <v>41</v>
      </c>
      <c r="I1411" s="368" t="s">
        <v>42</v>
      </c>
      <c r="J1411" s="372">
        <v>3.0</v>
      </c>
      <c r="K1411" s="372">
        <v>3.0</v>
      </c>
      <c r="L1411" s="52"/>
      <c r="M1411" s="372">
        <v>1.0</v>
      </c>
      <c r="N1411" s="372">
        <v>1.0</v>
      </c>
      <c r="O1411" s="52"/>
      <c r="P1411" s="52"/>
      <c r="Q1411" s="54"/>
      <c r="R1411" s="54"/>
      <c r="S1411" s="368" t="s">
        <v>114</v>
      </c>
      <c r="T1411" s="373" t="s">
        <v>66</v>
      </c>
      <c r="U1411" s="373" t="s">
        <v>45</v>
      </c>
      <c r="V1411" s="373" t="s">
        <v>2922</v>
      </c>
      <c r="W1411" s="55"/>
      <c r="X1411" s="55"/>
      <c r="Y1411" s="55"/>
      <c r="Z1411" s="55"/>
      <c r="AA1411" s="374">
        <v>420314.0</v>
      </c>
      <c r="AB1411" s="374">
        <v>1681256.0</v>
      </c>
      <c r="AC1411" s="375" t="s">
        <v>3906</v>
      </c>
      <c r="AD1411" s="49">
        <v>13670.0</v>
      </c>
      <c r="AE1411" s="54"/>
      <c r="AF1411" s="368" t="str">
        <f t="shared" si="1"/>
        <v>Buenos Aires, Argentina</v>
      </c>
      <c r="AG1411" s="368">
        <f t="shared" si="2"/>
        <v>8</v>
      </c>
      <c r="AH1411" s="376">
        <f t="shared" si="3"/>
        <v>0</v>
      </c>
      <c r="AI1411" s="376">
        <f t="shared" si="4"/>
        <v>0</v>
      </c>
      <c r="AJ1411" s="374">
        <f t="shared" si="5"/>
        <v>2101570</v>
      </c>
      <c r="AK1411" s="374">
        <f t="shared" si="6"/>
        <v>2101570</v>
      </c>
      <c r="AL1411" s="58"/>
      <c r="AM1411" s="58"/>
    </row>
    <row r="1412">
      <c r="A1412" s="368">
        <v>1411.0</v>
      </c>
      <c r="B1412" s="369">
        <v>45351.0</v>
      </c>
      <c r="C1412" s="195" t="str">
        <f t="shared" si="10"/>
        <v>22024</v>
      </c>
      <c r="D1412" s="370" t="s">
        <v>3907</v>
      </c>
      <c r="E1412" s="368" t="s">
        <v>3908</v>
      </c>
      <c r="F1412" s="371" t="s">
        <v>2327</v>
      </c>
      <c r="G1412" s="368" t="s">
        <v>40</v>
      </c>
      <c r="H1412" s="368" t="s">
        <v>547</v>
      </c>
      <c r="I1412" s="368" t="s">
        <v>42</v>
      </c>
      <c r="J1412" s="372">
        <v>1.0</v>
      </c>
      <c r="K1412" s="52"/>
      <c r="L1412" s="52"/>
      <c r="M1412" s="372">
        <v>1.0</v>
      </c>
      <c r="N1412" s="52"/>
      <c r="O1412" s="52"/>
      <c r="P1412" s="52"/>
      <c r="Q1412" s="54"/>
      <c r="R1412" s="54"/>
      <c r="S1412" s="368" t="s">
        <v>114</v>
      </c>
      <c r="T1412" s="373" t="s">
        <v>839</v>
      </c>
      <c r="U1412" s="373" t="s">
        <v>53</v>
      </c>
      <c r="V1412" s="373" t="s">
        <v>3594</v>
      </c>
      <c r="W1412" s="55"/>
      <c r="X1412" s="55"/>
      <c r="Y1412" s="55"/>
      <c r="Z1412" s="55"/>
      <c r="AA1412" s="374">
        <v>40350.0</v>
      </c>
      <c r="AB1412" s="374">
        <v>161400.0</v>
      </c>
      <c r="AC1412" s="375" t="s">
        <v>3909</v>
      </c>
      <c r="AD1412" s="49">
        <v>13618.0</v>
      </c>
      <c r="AE1412" s="54"/>
      <c r="AF1412" s="368" t="str">
        <f t="shared" si="1"/>
        <v>Neuquén, Argentina</v>
      </c>
      <c r="AG1412" s="368">
        <f t="shared" si="2"/>
        <v>2</v>
      </c>
      <c r="AH1412" s="376">
        <f t="shared" si="3"/>
        <v>0</v>
      </c>
      <c r="AI1412" s="376">
        <f t="shared" si="4"/>
        <v>0</v>
      </c>
      <c r="AJ1412" s="374">
        <f t="shared" si="5"/>
        <v>201750</v>
      </c>
      <c r="AK1412" s="374">
        <f t="shared" si="6"/>
        <v>201750</v>
      </c>
      <c r="AL1412" s="58"/>
      <c r="AM1412" s="58"/>
    </row>
    <row r="1413">
      <c r="A1413" s="368">
        <v>1412.0</v>
      </c>
      <c r="B1413" s="369">
        <v>45351.0</v>
      </c>
      <c r="C1413" s="195" t="str">
        <f t="shared" si="10"/>
        <v>22024</v>
      </c>
      <c r="D1413" s="370" t="s">
        <v>1216</v>
      </c>
      <c r="E1413" s="368" t="s">
        <v>1217</v>
      </c>
      <c r="F1413" s="371" t="s">
        <v>1412</v>
      </c>
      <c r="G1413" s="368" t="s">
        <v>64</v>
      </c>
      <c r="H1413" s="368" t="s">
        <v>41</v>
      </c>
      <c r="I1413" s="368" t="s">
        <v>643</v>
      </c>
      <c r="J1413" s="372">
        <v>2.0</v>
      </c>
      <c r="K1413" s="52"/>
      <c r="L1413" s="52"/>
      <c r="M1413" s="52"/>
      <c r="N1413" s="52"/>
      <c r="O1413" s="52"/>
      <c r="P1413" s="52"/>
      <c r="Q1413" s="54"/>
      <c r="R1413" s="54"/>
      <c r="S1413" s="368" t="s">
        <v>65</v>
      </c>
      <c r="T1413" s="373" t="s">
        <v>83</v>
      </c>
      <c r="U1413" s="373" t="s">
        <v>99</v>
      </c>
      <c r="V1413" s="373" t="s">
        <v>1984</v>
      </c>
      <c r="W1413" s="55"/>
      <c r="X1413" s="55"/>
      <c r="Y1413" s="55"/>
      <c r="Z1413" s="55"/>
      <c r="AA1413" s="374">
        <v>134500.0</v>
      </c>
      <c r="AB1413" s="374">
        <v>470750.0</v>
      </c>
      <c r="AC1413" s="375" t="s">
        <v>3910</v>
      </c>
      <c r="AD1413" s="49">
        <v>13832.0</v>
      </c>
      <c r="AE1413" s="54"/>
      <c r="AF1413" s="368" t="str">
        <f t="shared" si="1"/>
        <v>Capital Federal, Argentina</v>
      </c>
      <c r="AG1413" s="368">
        <f t="shared" si="2"/>
        <v>2</v>
      </c>
      <c r="AH1413" s="376">
        <f t="shared" si="3"/>
        <v>0</v>
      </c>
      <c r="AI1413" s="376">
        <f t="shared" si="4"/>
        <v>0</v>
      </c>
      <c r="AJ1413" s="374">
        <f t="shared" si="5"/>
        <v>605250</v>
      </c>
      <c r="AK1413" s="374">
        <f t="shared" si="6"/>
        <v>605250</v>
      </c>
      <c r="AL1413" s="58"/>
      <c r="AM1413" s="58"/>
    </row>
    <row r="1414">
      <c r="A1414" s="368">
        <v>1413.0</v>
      </c>
      <c r="B1414" s="369">
        <v>45351.0</v>
      </c>
      <c r="C1414" s="195" t="str">
        <f t="shared" si="10"/>
        <v>22024</v>
      </c>
      <c r="D1414" s="370" t="s">
        <v>2288</v>
      </c>
      <c r="E1414" s="368" t="s">
        <v>2289</v>
      </c>
      <c r="F1414" s="371" t="s">
        <v>1415</v>
      </c>
      <c r="G1414" s="368" t="s">
        <v>64</v>
      </c>
      <c r="H1414" s="368" t="s">
        <v>41</v>
      </c>
      <c r="I1414" s="368" t="s">
        <v>643</v>
      </c>
      <c r="J1414" s="52"/>
      <c r="K1414" s="372">
        <v>1.0</v>
      </c>
      <c r="L1414" s="52"/>
      <c r="M1414" s="52"/>
      <c r="N1414" s="52"/>
      <c r="O1414" s="52"/>
      <c r="P1414" s="52"/>
      <c r="Q1414" s="54"/>
      <c r="R1414" s="54"/>
      <c r="S1414" s="368" t="s">
        <v>114</v>
      </c>
      <c r="T1414" s="373" t="s">
        <v>66</v>
      </c>
      <c r="U1414" s="373" t="s">
        <v>99</v>
      </c>
      <c r="V1414" s="373" t="s">
        <v>1984</v>
      </c>
      <c r="W1414" s="55"/>
      <c r="X1414" s="55"/>
      <c r="Y1414" s="55"/>
      <c r="Z1414" s="55"/>
      <c r="AA1414" s="374">
        <v>50438.0</v>
      </c>
      <c r="AB1414" s="374">
        <v>176533.0</v>
      </c>
      <c r="AC1414" s="375" t="s">
        <v>3911</v>
      </c>
      <c r="AD1414" s="49">
        <v>13444.0</v>
      </c>
      <c r="AE1414" s="54"/>
      <c r="AF1414" s="368" t="str">
        <f t="shared" si="1"/>
        <v>Buenos Aires, Argentina</v>
      </c>
      <c r="AG1414" s="368">
        <f t="shared" si="2"/>
        <v>1</v>
      </c>
      <c r="AH1414" s="376">
        <f t="shared" si="3"/>
        <v>0</v>
      </c>
      <c r="AI1414" s="376">
        <f t="shared" si="4"/>
        <v>0</v>
      </c>
      <c r="AJ1414" s="374">
        <f t="shared" si="5"/>
        <v>226971</v>
      </c>
      <c r="AK1414" s="374">
        <f t="shared" si="6"/>
        <v>226971</v>
      </c>
      <c r="AL1414" s="58"/>
      <c r="AM1414" s="58"/>
    </row>
    <row r="1415">
      <c r="A1415" s="368">
        <v>1414.0</v>
      </c>
      <c r="B1415" s="369">
        <v>45351.0</v>
      </c>
      <c r="C1415" s="195" t="str">
        <f t="shared" si="10"/>
        <v>22024</v>
      </c>
      <c r="D1415" s="370" t="s">
        <v>3912</v>
      </c>
      <c r="E1415" s="368" t="s">
        <v>3913</v>
      </c>
      <c r="F1415" s="371" t="s">
        <v>2215</v>
      </c>
      <c r="G1415" s="368" t="s">
        <v>40</v>
      </c>
      <c r="H1415" s="368" t="s">
        <v>41</v>
      </c>
      <c r="I1415" s="368" t="s">
        <v>643</v>
      </c>
      <c r="J1415" s="372">
        <v>3.0</v>
      </c>
      <c r="K1415" s="52"/>
      <c r="L1415" s="52"/>
      <c r="M1415" s="372">
        <v>1.0</v>
      </c>
      <c r="N1415" s="52"/>
      <c r="O1415" s="52"/>
      <c r="P1415" s="52"/>
      <c r="Q1415" s="54"/>
      <c r="R1415" s="54"/>
      <c r="S1415" s="368" t="s">
        <v>109</v>
      </c>
      <c r="T1415" s="373" t="s">
        <v>66</v>
      </c>
      <c r="U1415" s="373" t="s">
        <v>342</v>
      </c>
      <c r="V1415" s="373" t="s">
        <v>1984</v>
      </c>
      <c r="W1415" s="55"/>
      <c r="X1415" s="55"/>
      <c r="Y1415" s="55"/>
      <c r="Z1415" s="55"/>
      <c r="AA1415" s="374">
        <v>201750.0</v>
      </c>
      <c r="AB1415" s="374">
        <v>807000.0</v>
      </c>
      <c r="AC1415" s="375" t="s">
        <v>3914</v>
      </c>
      <c r="AD1415" s="49">
        <v>13944.0</v>
      </c>
      <c r="AE1415" s="54"/>
      <c r="AF1415" s="368" t="str">
        <f t="shared" si="1"/>
        <v>Buenos Aires, Argentina</v>
      </c>
      <c r="AG1415" s="368">
        <f t="shared" si="2"/>
        <v>4</v>
      </c>
      <c r="AH1415" s="376">
        <f t="shared" si="3"/>
        <v>0</v>
      </c>
      <c r="AI1415" s="376">
        <f t="shared" si="4"/>
        <v>0</v>
      </c>
      <c r="AJ1415" s="374">
        <f t="shared" si="5"/>
        <v>1008750</v>
      </c>
      <c r="AK1415" s="374">
        <f t="shared" si="6"/>
        <v>1008750</v>
      </c>
      <c r="AL1415" s="58"/>
      <c r="AM1415" s="58"/>
    </row>
    <row r="1416">
      <c r="A1416" s="310">
        <v>1415.0</v>
      </c>
      <c r="B1416" s="311">
        <v>45357.0</v>
      </c>
      <c r="C1416" s="195" t="str">
        <f t="shared" si="10"/>
        <v>32024</v>
      </c>
      <c r="D1416" s="377" t="s">
        <v>3796</v>
      </c>
      <c r="E1416" s="310" t="s">
        <v>3797</v>
      </c>
      <c r="F1416" s="312" t="s">
        <v>3915</v>
      </c>
      <c r="G1416" s="310" t="s">
        <v>64</v>
      </c>
      <c r="H1416" s="310" t="s">
        <v>547</v>
      </c>
      <c r="I1416" s="310" t="s">
        <v>643</v>
      </c>
      <c r="J1416" s="138"/>
      <c r="K1416" s="138"/>
      <c r="L1416" s="138"/>
      <c r="M1416" s="138"/>
      <c r="N1416" s="138"/>
      <c r="O1416" s="138"/>
      <c r="P1416" s="138"/>
      <c r="Q1416" s="140"/>
      <c r="R1416" s="140"/>
      <c r="S1416" s="310" t="s">
        <v>72</v>
      </c>
      <c r="T1416" s="378" t="s">
        <v>83</v>
      </c>
      <c r="U1416" s="378" t="s">
        <v>99</v>
      </c>
      <c r="V1416" s="378" t="s">
        <v>1984</v>
      </c>
      <c r="W1416" s="141"/>
      <c r="X1416" s="141"/>
      <c r="Y1416" s="141"/>
      <c r="Z1416" s="141"/>
      <c r="AA1416" s="313">
        <v>0.0</v>
      </c>
      <c r="AB1416" s="313">
        <v>0.0</v>
      </c>
      <c r="AC1416" s="379" t="s">
        <v>3916</v>
      </c>
      <c r="AD1416" s="135">
        <v>13908.0</v>
      </c>
      <c r="AE1416" s="140"/>
      <c r="AF1416" s="310" t="str">
        <f t="shared" si="1"/>
        <v>Capital Federal, Argentina</v>
      </c>
      <c r="AG1416" s="310">
        <f t="shared" si="2"/>
        <v>0</v>
      </c>
      <c r="AH1416" s="314">
        <f t="shared" si="3"/>
        <v>0</v>
      </c>
      <c r="AI1416" s="314">
        <f t="shared" si="4"/>
        <v>0</v>
      </c>
      <c r="AJ1416" s="313">
        <f t="shared" si="5"/>
        <v>0</v>
      </c>
      <c r="AK1416" s="313">
        <f t="shared" si="6"/>
        <v>0</v>
      </c>
      <c r="AL1416" s="144"/>
      <c r="AM1416" s="144"/>
    </row>
    <row r="1417">
      <c r="A1417" s="310">
        <v>1416.0</v>
      </c>
      <c r="B1417" s="311">
        <v>45357.0</v>
      </c>
      <c r="C1417" s="195" t="str">
        <f t="shared" si="10"/>
        <v>32024</v>
      </c>
      <c r="D1417" s="377" t="s">
        <v>2594</v>
      </c>
      <c r="E1417" s="310" t="s">
        <v>1796</v>
      </c>
      <c r="F1417" s="312" t="s">
        <v>3917</v>
      </c>
      <c r="G1417" s="310" t="s">
        <v>64</v>
      </c>
      <c r="H1417" s="310" t="s">
        <v>41</v>
      </c>
      <c r="I1417" s="310" t="s">
        <v>643</v>
      </c>
      <c r="J1417" s="138"/>
      <c r="K1417" s="138"/>
      <c r="L1417" s="138"/>
      <c r="M1417" s="138"/>
      <c r="N1417" s="138"/>
      <c r="O1417" s="138"/>
      <c r="P1417" s="138"/>
      <c r="Q1417" s="140"/>
      <c r="R1417" s="140"/>
      <c r="S1417" s="310" t="s">
        <v>43</v>
      </c>
      <c r="T1417" s="378" t="s">
        <v>83</v>
      </c>
      <c r="U1417" s="378" t="s">
        <v>99</v>
      </c>
      <c r="V1417" s="378" t="s">
        <v>1984</v>
      </c>
      <c r="W1417" s="141"/>
      <c r="X1417" s="141"/>
      <c r="Y1417" s="141"/>
      <c r="Z1417" s="141"/>
      <c r="AA1417" s="313">
        <v>0.0</v>
      </c>
      <c r="AB1417" s="313">
        <v>0.0</v>
      </c>
      <c r="AC1417" s="379" t="s">
        <v>3918</v>
      </c>
      <c r="AD1417" s="135">
        <v>13982.0</v>
      </c>
      <c r="AE1417" s="140"/>
      <c r="AF1417" s="310" t="str">
        <f t="shared" si="1"/>
        <v>Capital Federal, Argentina</v>
      </c>
      <c r="AG1417" s="310">
        <f t="shared" si="2"/>
        <v>0</v>
      </c>
      <c r="AH1417" s="314">
        <f t="shared" si="3"/>
        <v>0</v>
      </c>
      <c r="AI1417" s="314">
        <f t="shared" si="4"/>
        <v>0</v>
      </c>
      <c r="AJ1417" s="313">
        <f t="shared" si="5"/>
        <v>0</v>
      </c>
      <c r="AK1417" s="313">
        <f t="shared" si="6"/>
        <v>0</v>
      </c>
      <c r="AL1417" s="144"/>
      <c r="AM1417" s="144"/>
    </row>
    <row r="1418">
      <c r="A1418" s="310">
        <v>1417.0</v>
      </c>
      <c r="B1418" s="311">
        <v>45364.0</v>
      </c>
      <c r="C1418" s="195" t="str">
        <f t="shared" si="10"/>
        <v>32024</v>
      </c>
      <c r="D1418" s="377" t="s">
        <v>3919</v>
      </c>
      <c r="E1418" s="310" t="s">
        <v>3920</v>
      </c>
      <c r="F1418" s="312" t="s">
        <v>1415</v>
      </c>
      <c r="G1418" s="310" t="s">
        <v>64</v>
      </c>
      <c r="H1418" s="310" t="s">
        <v>41</v>
      </c>
      <c r="I1418" s="310" t="s">
        <v>643</v>
      </c>
      <c r="J1418" s="138"/>
      <c r="K1418" s="315">
        <v>1.0</v>
      </c>
      <c r="L1418" s="138"/>
      <c r="M1418" s="138"/>
      <c r="N1418" s="138"/>
      <c r="O1418" s="138"/>
      <c r="P1418" s="138"/>
      <c r="Q1418" s="140"/>
      <c r="R1418" s="140"/>
      <c r="S1418" s="310" t="s">
        <v>137</v>
      </c>
      <c r="T1418" s="378" t="s">
        <v>66</v>
      </c>
      <c r="U1418" s="378" t="s">
        <v>99</v>
      </c>
      <c r="V1418" s="378" t="s">
        <v>1984</v>
      </c>
      <c r="W1418" s="141"/>
      <c r="X1418" s="141"/>
      <c r="Y1418" s="141"/>
      <c r="Z1418" s="141"/>
      <c r="AA1418" s="313">
        <v>61125.0</v>
      </c>
      <c r="AB1418" s="313">
        <v>275062.0</v>
      </c>
      <c r="AC1418" s="379" t="s">
        <v>3921</v>
      </c>
      <c r="AD1418" s="135">
        <v>13954.0</v>
      </c>
      <c r="AE1418" s="140"/>
      <c r="AF1418" s="310" t="str">
        <f t="shared" si="1"/>
        <v>Buenos Aires, Argentina</v>
      </c>
      <c r="AG1418" s="310">
        <f t="shared" si="2"/>
        <v>1</v>
      </c>
      <c r="AH1418" s="314">
        <f t="shared" si="3"/>
        <v>0</v>
      </c>
      <c r="AI1418" s="314">
        <f t="shared" si="4"/>
        <v>0</v>
      </c>
      <c r="AJ1418" s="313">
        <f t="shared" si="5"/>
        <v>336187</v>
      </c>
      <c r="AK1418" s="313">
        <f t="shared" si="6"/>
        <v>336187</v>
      </c>
      <c r="AL1418" s="144"/>
      <c r="AM1418" s="144"/>
    </row>
    <row r="1419">
      <c r="A1419" s="310">
        <v>1418.0</v>
      </c>
      <c r="B1419" s="311">
        <v>45366.0</v>
      </c>
      <c r="C1419" s="195" t="str">
        <f t="shared" si="10"/>
        <v>32024</v>
      </c>
      <c r="D1419" s="377" t="s">
        <v>3922</v>
      </c>
      <c r="E1419" s="310" t="s">
        <v>3923</v>
      </c>
      <c r="F1419" s="312" t="s">
        <v>3792</v>
      </c>
      <c r="G1419" s="310" t="s">
        <v>40</v>
      </c>
      <c r="H1419" s="310" t="s">
        <v>41</v>
      </c>
      <c r="I1419" s="310" t="s">
        <v>42</v>
      </c>
      <c r="J1419" s="315">
        <v>1.0</v>
      </c>
      <c r="K1419" s="315">
        <v>2.0</v>
      </c>
      <c r="L1419" s="138"/>
      <c r="M1419" s="315">
        <v>1.0</v>
      </c>
      <c r="N1419" s="138"/>
      <c r="O1419" s="138"/>
      <c r="P1419" s="138"/>
      <c r="Q1419" s="140"/>
      <c r="R1419" s="140"/>
      <c r="S1419" s="310" t="s">
        <v>204</v>
      </c>
      <c r="T1419" s="378" t="s">
        <v>66</v>
      </c>
      <c r="U1419" s="378" t="s">
        <v>45</v>
      </c>
      <c r="V1419" s="378" t="s">
        <v>3594</v>
      </c>
      <c r="W1419" s="141"/>
      <c r="X1419" s="141"/>
      <c r="Y1419" s="141"/>
      <c r="Z1419" s="141"/>
      <c r="AA1419" s="313">
        <v>203750.0</v>
      </c>
      <c r="AB1419" s="313">
        <v>815000.0</v>
      </c>
      <c r="AC1419" s="379" t="s">
        <v>3924</v>
      </c>
      <c r="AD1419" s="135">
        <v>14036.0</v>
      </c>
      <c r="AE1419" s="140"/>
      <c r="AF1419" s="310" t="str">
        <f t="shared" si="1"/>
        <v>Buenos Aires, Argentina</v>
      </c>
      <c r="AG1419" s="310">
        <f t="shared" si="2"/>
        <v>4</v>
      </c>
      <c r="AH1419" s="314">
        <f t="shared" si="3"/>
        <v>0</v>
      </c>
      <c r="AI1419" s="314">
        <f t="shared" si="4"/>
        <v>0</v>
      </c>
      <c r="AJ1419" s="313">
        <f t="shared" si="5"/>
        <v>1018750</v>
      </c>
      <c r="AK1419" s="313">
        <f t="shared" si="6"/>
        <v>1018750</v>
      </c>
      <c r="AL1419" s="144"/>
      <c r="AM1419" s="144"/>
    </row>
    <row r="1420">
      <c r="A1420" s="310">
        <v>1419.0</v>
      </c>
      <c r="B1420" s="311">
        <v>45366.0</v>
      </c>
      <c r="C1420" s="195" t="str">
        <f t="shared" si="10"/>
        <v>32024</v>
      </c>
      <c r="D1420" s="377" t="s">
        <v>3029</v>
      </c>
      <c r="E1420" s="310" t="s">
        <v>3030</v>
      </c>
      <c r="F1420" s="312" t="s">
        <v>1878</v>
      </c>
      <c r="G1420" s="310" t="s">
        <v>64</v>
      </c>
      <c r="H1420" s="310" t="s">
        <v>41</v>
      </c>
      <c r="I1420" s="310" t="s">
        <v>643</v>
      </c>
      <c r="J1420" s="138"/>
      <c r="K1420" s="138"/>
      <c r="L1420" s="138"/>
      <c r="M1420" s="138"/>
      <c r="N1420" s="315">
        <v>1.0</v>
      </c>
      <c r="O1420" s="138"/>
      <c r="P1420" s="138"/>
      <c r="Q1420" s="140"/>
      <c r="R1420" s="140"/>
      <c r="S1420" s="310" t="s">
        <v>98</v>
      </c>
      <c r="T1420" s="378" t="s">
        <v>66</v>
      </c>
      <c r="U1420" s="378" t="s">
        <v>99</v>
      </c>
      <c r="V1420" s="378" t="s">
        <v>1984</v>
      </c>
      <c r="W1420" s="141"/>
      <c r="X1420" s="141"/>
      <c r="Y1420" s="141"/>
      <c r="Z1420" s="141"/>
      <c r="AA1420" s="313">
        <v>81500.0</v>
      </c>
      <c r="AB1420" s="313">
        <v>326000.0</v>
      </c>
      <c r="AC1420" s="379" t="s">
        <v>3925</v>
      </c>
      <c r="AD1420" s="135">
        <v>14104.0</v>
      </c>
      <c r="AE1420" s="140"/>
      <c r="AF1420" s="310" t="str">
        <f t="shared" si="1"/>
        <v>Buenos Aires, Argentina</v>
      </c>
      <c r="AG1420" s="310">
        <f t="shared" si="2"/>
        <v>1</v>
      </c>
      <c r="AH1420" s="314">
        <f t="shared" si="3"/>
        <v>0</v>
      </c>
      <c r="AI1420" s="314">
        <f t="shared" si="4"/>
        <v>0</v>
      </c>
      <c r="AJ1420" s="313">
        <f t="shared" si="5"/>
        <v>407500</v>
      </c>
      <c r="AK1420" s="313">
        <f t="shared" si="6"/>
        <v>407500</v>
      </c>
      <c r="AL1420" s="144"/>
      <c r="AM1420" s="144"/>
    </row>
    <row r="1421">
      <c r="A1421" s="310">
        <v>1420.0</v>
      </c>
      <c r="B1421" s="311">
        <v>45366.0</v>
      </c>
      <c r="C1421" s="195" t="str">
        <f t="shared" si="10"/>
        <v>32024</v>
      </c>
      <c r="D1421" s="377" t="s">
        <v>1635</v>
      </c>
      <c r="E1421" s="310" t="s">
        <v>3926</v>
      </c>
      <c r="F1421" s="312" t="s">
        <v>1878</v>
      </c>
      <c r="G1421" s="310" t="s">
        <v>64</v>
      </c>
      <c r="H1421" s="310" t="s">
        <v>41</v>
      </c>
      <c r="I1421" s="310" t="s">
        <v>643</v>
      </c>
      <c r="J1421" s="138"/>
      <c r="K1421" s="138"/>
      <c r="L1421" s="138"/>
      <c r="M1421" s="138"/>
      <c r="N1421" s="315">
        <v>1.0</v>
      </c>
      <c r="O1421" s="138"/>
      <c r="P1421" s="138"/>
      <c r="Q1421" s="140"/>
      <c r="R1421" s="140"/>
      <c r="S1421" s="310" t="s">
        <v>98</v>
      </c>
      <c r="T1421" s="378" t="s">
        <v>66</v>
      </c>
      <c r="U1421" s="378" t="s">
        <v>99</v>
      </c>
      <c r="V1421" s="378" t="s">
        <v>1984</v>
      </c>
      <c r="W1421" s="141"/>
      <c r="X1421" s="141"/>
      <c r="Y1421" s="141"/>
      <c r="Z1421" s="141"/>
      <c r="AA1421" s="313">
        <v>81500.0</v>
      </c>
      <c r="AB1421" s="313">
        <v>326000.0</v>
      </c>
      <c r="AC1421" s="379" t="s">
        <v>3925</v>
      </c>
      <c r="AD1421" s="135">
        <v>14104.0</v>
      </c>
      <c r="AE1421" s="140"/>
      <c r="AF1421" s="310" t="str">
        <f t="shared" si="1"/>
        <v>Buenos Aires, Argentina</v>
      </c>
      <c r="AG1421" s="310">
        <f t="shared" si="2"/>
        <v>1</v>
      </c>
      <c r="AH1421" s="314">
        <f t="shared" si="3"/>
        <v>0</v>
      </c>
      <c r="AI1421" s="314">
        <f t="shared" si="4"/>
        <v>0</v>
      </c>
      <c r="AJ1421" s="313">
        <f t="shared" si="5"/>
        <v>407500</v>
      </c>
      <c r="AK1421" s="313">
        <f t="shared" si="6"/>
        <v>407500</v>
      </c>
      <c r="AL1421" s="144"/>
      <c r="AM1421" s="144"/>
    </row>
    <row r="1422">
      <c r="A1422" s="310">
        <v>1421.0</v>
      </c>
      <c r="B1422" s="311">
        <v>45366.0</v>
      </c>
      <c r="C1422" s="140"/>
      <c r="D1422" s="377" t="s">
        <v>2427</v>
      </c>
      <c r="E1422" s="135" t="s">
        <v>2299</v>
      </c>
      <c r="F1422" s="312" t="s">
        <v>3549</v>
      </c>
      <c r="G1422" s="310" t="s">
        <v>64</v>
      </c>
      <c r="H1422" s="310" t="s">
        <v>41</v>
      </c>
      <c r="I1422" s="310" t="s">
        <v>643</v>
      </c>
      <c r="J1422" s="138"/>
      <c r="K1422" s="138"/>
      <c r="L1422" s="138"/>
      <c r="M1422" s="138"/>
      <c r="N1422" s="138"/>
      <c r="O1422" s="138"/>
      <c r="P1422" s="138"/>
      <c r="Q1422" s="140"/>
      <c r="R1422" s="140"/>
      <c r="S1422" s="310" t="s">
        <v>98</v>
      </c>
      <c r="T1422" s="378" t="s">
        <v>66</v>
      </c>
      <c r="U1422" s="378" t="s">
        <v>99</v>
      </c>
      <c r="V1422" s="378" t="s">
        <v>1984</v>
      </c>
      <c r="W1422" s="141"/>
      <c r="X1422" s="142">
        <v>2000000.0</v>
      </c>
      <c r="Y1422" s="141"/>
      <c r="Z1422" s="141"/>
      <c r="AA1422" s="313">
        <v>0.0</v>
      </c>
      <c r="AB1422" s="313">
        <v>0.0</v>
      </c>
      <c r="AC1422" s="379" t="s">
        <v>3927</v>
      </c>
      <c r="AD1422" s="135">
        <v>13992.0</v>
      </c>
      <c r="AE1422" s="140"/>
      <c r="AF1422" s="310" t="str">
        <f t="shared" si="1"/>
        <v>Buenos Aires, Argentina</v>
      </c>
      <c r="AG1422" s="310">
        <f t="shared" si="2"/>
        <v>0</v>
      </c>
      <c r="AH1422" s="314">
        <f t="shared" si="3"/>
        <v>2000000</v>
      </c>
      <c r="AI1422" s="314">
        <f t="shared" si="4"/>
        <v>0</v>
      </c>
      <c r="AJ1422" s="313">
        <f t="shared" si="5"/>
        <v>0</v>
      </c>
      <c r="AK1422" s="313">
        <f t="shared" si="6"/>
        <v>2000000</v>
      </c>
      <c r="AL1422" s="144"/>
      <c r="AM1422" s="144"/>
    </row>
    <row r="1423">
      <c r="A1423" s="310">
        <v>1422.0</v>
      </c>
      <c r="B1423" s="311">
        <v>45366.0</v>
      </c>
      <c r="C1423" s="140"/>
      <c r="D1423" s="377" t="s">
        <v>3029</v>
      </c>
      <c r="E1423" s="135" t="s">
        <v>3030</v>
      </c>
      <c r="F1423" s="312" t="s">
        <v>3549</v>
      </c>
      <c r="G1423" s="310" t="s">
        <v>64</v>
      </c>
      <c r="H1423" s="310" t="s">
        <v>41</v>
      </c>
      <c r="I1423" s="310" t="s">
        <v>643</v>
      </c>
      <c r="J1423" s="138"/>
      <c r="K1423" s="138"/>
      <c r="L1423" s="138"/>
      <c r="M1423" s="138"/>
      <c r="N1423" s="138"/>
      <c r="O1423" s="138"/>
      <c r="P1423" s="138"/>
      <c r="Q1423" s="140"/>
      <c r="R1423" s="140"/>
      <c r="S1423" s="310" t="s">
        <v>98</v>
      </c>
      <c r="T1423" s="378" t="s">
        <v>66</v>
      </c>
      <c r="U1423" s="378" t="s">
        <v>99</v>
      </c>
      <c r="V1423" s="378" t="s">
        <v>1984</v>
      </c>
      <c r="W1423" s="141"/>
      <c r="X1423" s="142">
        <v>2000000.0</v>
      </c>
      <c r="Y1423" s="141"/>
      <c r="Z1423" s="141"/>
      <c r="AA1423" s="313">
        <v>0.0</v>
      </c>
      <c r="AB1423" s="313">
        <v>0.0</v>
      </c>
      <c r="AC1423" s="379" t="s">
        <v>3927</v>
      </c>
      <c r="AD1423" s="135">
        <v>13992.0</v>
      </c>
      <c r="AE1423" s="140"/>
      <c r="AF1423" s="310" t="str">
        <f t="shared" si="1"/>
        <v>Buenos Aires, Argentina</v>
      </c>
      <c r="AG1423" s="310">
        <f t="shared" si="2"/>
        <v>0</v>
      </c>
      <c r="AH1423" s="314">
        <f t="shared" si="3"/>
        <v>2000000</v>
      </c>
      <c r="AI1423" s="314">
        <f t="shared" si="4"/>
        <v>0</v>
      </c>
      <c r="AJ1423" s="313">
        <f t="shared" si="5"/>
        <v>0</v>
      </c>
      <c r="AK1423" s="313">
        <f t="shared" si="6"/>
        <v>2000000</v>
      </c>
      <c r="AL1423" s="144"/>
      <c r="AM1423" s="144"/>
    </row>
    <row r="1424">
      <c r="A1424" s="310">
        <v>1423.0</v>
      </c>
      <c r="B1424" s="311">
        <v>45366.0</v>
      </c>
      <c r="C1424" s="140"/>
      <c r="D1424" s="377" t="s">
        <v>1635</v>
      </c>
      <c r="E1424" s="135" t="s">
        <v>3926</v>
      </c>
      <c r="F1424" s="312" t="s">
        <v>3549</v>
      </c>
      <c r="G1424" s="310" t="s">
        <v>64</v>
      </c>
      <c r="H1424" s="310" t="s">
        <v>41</v>
      </c>
      <c r="I1424" s="310" t="s">
        <v>643</v>
      </c>
      <c r="J1424" s="138"/>
      <c r="K1424" s="138"/>
      <c r="L1424" s="138"/>
      <c r="M1424" s="138"/>
      <c r="N1424" s="138"/>
      <c r="O1424" s="138"/>
      <c r="P1424" s="138"/>
      <c r="Q1424" s="140"/>
      <c r="R1424" s="140"/>
      <c r="S1424" s="310" t="s">
        <v>98</v>
      </c>
      <c r="T1424" s="378" t="s">
        <v>66</v>
      </c>
      <c r="U1424" s="378" t="s">
        <v>99</v>
      </c>
      <c r="V1424" s="378" t="s">
        <v>1984</v>
      </c>
      <c r="W1424" s="141"/>
      <c r="X1424" s="142">
        <v>2000000.0</v>
      </c>
      <c r="Y1424" s="141"/>
      <c r="Z1424" s="141"/>
      <c r="AA1424" s="313">
        <v>0.0</v>
      </c>
      <c r="AB1424" s="313">
        <v>0.0</v>
      </c>
      <c r="AC1424" s="379" t="s">
        <v>3927</v>
      </c>
      <c r="AD1424" s="135">
        <v>13992.0</v>
      </c>
      <c r="AE1424" s="140"/>
      <c r="AF1424" s="310" t="str">
        <f t="shared" si="1"/>
        <v>Buenos Aires, Argentina</v>
      </c>
      <c r="AG1424" s="310">
        <f t="shared" si="2"/>
        <v>0</v>
      </c>
      <c r="AH1424" s="314">
        <f t="shared" si="3"/>
        <v>2000000</v>
      </c>
      <c r="AI1424" s="314">
        <f t="shared" si="4"/>
        <v>0</v>
      </c>
      <c r="AJ1424" s="313">
        <f t="shared" si="5"/>
        <v>0</v>
      </c>
      <c r="AK1424" s="313">
        <f t="shared" si="6"/>
        <v>2000000</v>
      </c>
      <c r="AL1424" s="144"/>
      <c r="AM1424" s="144"/>
    </row>
    <row r="1425">
      <c r="A1425" s="310">
        <v>1424.0</v>
      </c>
      <c r="B1425" s="311">
        <v>45370.0</v>
      </c>
      <c r="C1425" s="310" t="str">
        <f t="shared" ref="C1425:C1521" si="11">IF(B1425&lt;&gt;"",CONCATENATE(MONTH(B1425),YEAR(B1425)),0)</f>
        <v>32024</v>
      </c>
      <c r="D1425" s="377" t="s">
        <v>3603</v>
      </c>
      <c r="E1425" s="310" t="s">
        <v>3446</v>
      </c>
      <c r="F1425" s="312" t="s">
        <v>3333</v>
      </c>
      <c r="G1425" s="310" t="s">
        <v>64</v>
      </c>
      <c r="H1425" s="310" t="s">
        <v>41</v>
      </c>
      <c r="I1425" s="310" t="s">
        <v>643</v>
      </c>
      <c r="J1425" s="138"/>
      <c r="K1425" s="138"/>
      <c r="L1425" s="138"/>
      <c r="M1425" s="138"/>
      <c r="N1425" s="138"/>
      <c r="O1425" s="138"/>
      <c r="P1425" s="138"/>
      <c r="Q1425" s="140"/>
      <c r="R1425" s="140"/>
      <c r="S1425" s="310" t="s">
        <v>65</v>
      </c>
      <c r="T1425" s="378" t="s">
        <v>58</v>
      </c>
      <c r="U1425" s="378" t="s">
        <v>99</v>
      </c>
      <c r="V1425" s="378" t="s">
        <v>1984</v>
      </c>
      <c r="W1425" s="141"/>
      <c r="X1425" s="141"/>
      <c r="Y1425" s="141"/>
      <c r="Z1425" s="141"/>
      <c r="AA1425" s="313">
        <v>0.0</v>
      </c>
      <c r="AB1425" s="313">
        <v>114100.0</v>
      </c>
      <c r="AC1425" s="379" t="s">
        <v>3928</v>
      </c>
      <c r="AD1425" s="135">
        <v>13498.0</v>
      </c>
      <c r="AE1425" s="140"/>
      <c r="AF1425" s="310" t="str">
        <f t="shared" si="1"/>
        <v>Córdoba, Argentina</v>
      </c>
      <c r="AG1425" s="310">
        <f t="shared" si="2"/>
        <v>0</v>
      </c>
      <c r="AH1425" s="314">
        <f t="shared" si="3"/>
        <v>0</v>
      </c>
      <c r="AI1425" s="314">
        <f t="shared" si="4"/>
        <v>0</v>
      </c>
      <c r="AJ1425" s="313">
        <f t="shared" si="5"/>
        <v>114100</v>
      </c>
      <c r="AK1425" s="313">
        <f t="shared" si="6"/>
        <v>114100</v>
      </c>
      <c r="AL1425" s="144"/>
      <c r="AM1425" s="144"/>
    </row>
    <row r="1426">
      <c r="A1426" s="310">
        <v>1425.0</v>
      </c>
      <c r="B1426" s="311">
        <v>45371.0</v>
      </c>
      <c r="C1426" s="195" t="str">
        <f t="shared" si="11"/>
        <v>32024</v>
      </c>
      <c r="D1426" s="377" t="s">
        <v>3929</v>
      </c>
      <c r="E1426" s="310" t="s">
        <v>3930</v>
      </c>
      <c r="F1426" s="312" t="s">
        <v>3931</v>
      </c>
      <c r="G1426" s="310" t="s">
        <v>40</v>
      </c>
      <c r="H1426" s="310" t="s">
        <v>41</v>
      </c>
      <c r="I1426" s="310" t="s">
        <v>643</v>
      </c>
      <c r="J1426" s="315">
        <v>1.0</v>
      </c>
      <c r="K1426" s="138"/>
      <c r="L1426" s="138"/>
      <c r="M1426" s="315">
        <v>1.0</v>
      </c>
      <c r="N1426" s="138"/>
      <c r="O1426" s="315">
        <v>2.0</v>
      </c>
      <c r="P1426" s="138"/>
      <c r="Q1426" s="140"/>
      <c r="R1426" s="140"/>
      <c r="S1426" s="310" t="s">
        <v>114</v>
      </c>
      <c r="T1426" s="378" t="s">
        <v>66</v>
      </c>
      <c r="U1426" s="378" t="s">
        <v>342</v>
      </c>
      <c r="V1426" s="378" t="s">
        <v>2935</v>
      </c>
      <c r="W1426" s="141"/>
      <c r="X1426" s="141"/>
      <c r="Y1426" s="141"/>
      <c r="Z1426" s="141"/>
      <c r="AA1426" s="313">
        <v>171150.0</v>
      </c>
      <c r="AB1426" s="313">
        <v>684600.0</v>
      </c>
      <c r="AC1426" s="379" t="s">
        <v>3932</v>
      </c>
      <c r="AD1426" s="135">
        <v>14048.0</v>
      </c>
      <c r="AE1426" s="140"/>
      <c r="AF1426" s="310" t="str">
        <f t="shared" si="1"/>
        <v>Buenos Aires, Argentina</v>
      </c>
      <c r="AG1426" s="310">
        <f t="shared" si="2"/>
        <v>4</v>
      </c>
      <c r="AH1426" s="314">
        <f t="shared" si="3"/>
        <v>0</v>
      </c>
      <c r="AI1426" s="314">
        <f t="shared" si="4"/>
        <v>0</v>
      </c>
      <c r="AJ1426" s="313">
        <f t="shared" si="5"/>
        <v>855750</v>
      </c>
      <c r="AK1426" s="313">
        <f t="shared" si="6"/>
        <v>855750</v>
      </c>
      <c r="AL1426" s="144"/>
      <c r="AM1426" s="144"/>
    </row>
    <row r="1427">
      <c r="A1427" s="310">
        <v>1426.0</v>
      </c>
      <c r="B1427" s="311">
        <v>45371.0</v>
      </c>
      <c r="C1427" s="195" t="str">
        <f t="shared" si="11"/>
        <v>32024</v>
      </c>
      <c r="D1427" s="377" t="s">
        <v>3682</v>
      </c>
      <c r="E1427" s="310" t="s">
        <v>3262</v>
      </c>
      <c r="F1427" s="312" t="s">
        <v>1423</v>
      </c>
      <c r="G1427" s="310" t="s">
        <v>64</v>
      </c>
      <c r="H1427" s="310" t="s">
        <v>41</v>
      </c>
      <c r="I1427" s="310" t="s">
        <v>643</v>
      </c>
      <c r="J1427" s="315">
        <v>1.0</v>
      </c>
      <c r="K1427" s="138"/>
      <c r="L1427" s="138"/>
      <c r="M1427" s="138"/>
      <c r="N1427" s="138"/>
      <c r="O1427" s="138"/>
      <c r="P1427" s="138"/>
      <c r="Q1427" s="140"/>
      <c r="R1427" s="140"/>
      <c r="S1427" s="310" t="s">
        <v>89</v>
      </c>
      <c r="T1427" s="378" t="s">
        <v>83</v>
      </c>
      <c r="U1427" s="378" t="s">
        <v>99</v>
      </c>
      <c r="V1427" s="378" t="s">
        <v>1984</v>
      </c>
      <c r="W1427" s="141"/>
      <c r="X1427" s="141"/>
      <c r="Y1427" s="141"/>
      <c r="Z1427" s="141"/>
      <c r="AA1427" s="313">
        <v>81500.0</v>
      </c>
      <c r="AB1427" s="313">
        <v>285250.0</v>
      </c>
      <c r="AC1427" s="379" t="s">
        <v>3933</v>
      </c>
      <c r="AD1427" s="135">
        <v>13808.0</v>
      </c>
      <c r="AE1427" s="140"/>
      <c r="AF1427" s="310" t="str">
        <f t="shared" si="1"/>
        <v>Capital Federal, Argentina</v>
      </c>
      <c r="AG1427" s="310">
        <f t="shared" si="2"/>
        <v>1</v>
      </c>
      <c r="AH1427" s="314">
        <f t="shared" si="3"/>
        <v>0</v>
      </c>
      <c r="AI1427" s="314">
        <f t="shared" si="4"/>
        <v>0</v>
      </c>
      <c r="AJ1427" s="313">
        <f t="shared" si="5"/>
        <v>366750</v>
      </c>
      <c r="AK1427" s="313">
        <f t="shared" si="6"/>
        <v>366750</v>
      </c>
      <c r="AL1427" s="144"/>
      <c r="AM1427" s="144"/>
    </row>
    <row r="1428">
      <c r="A1428" s="310">
        <v>1427.0</v>
      </c>
      <c r="B1428" s="311">
        <v>45373.0</v>
      </c>
      <c r="C1428" s="195" t="str">
        <f t="shared" si="11"/>
        <v>32024</v>
      </c>
      <c r="D1428" s="377" t="s">
        <v>3934</v>
      </c>
      <c r="E1428" s="310" t="s">
        <v>3935</v>
      </c>
      <c r="F1428" s="312" t="s">
        <v>3936</v>
      </c>
      <c r="G1428" s="310" t="s">
        <v>40</v>
      </c>
      <c r="H1428" s="310" t="s">
        <v>41</v>
      </c>
      <c r="I1428" s="310" t="s">
        <v>42</v>
      </c>
      <c r="J1428" s="315">
        <v>1.0</v>
      </c>
      <c r="K1428" s="315">
        <v>1.0</v>
      </c>
      <c r="L1428" s="138"/>
      <c r="M1428" s="315">
        <v>1.0</v>
      </c>
      <c r="N1428" s="138"/>
      <c r="O1428" s="315">
        <v>1.0</v>
      </c>
      <c r="P1428" s="138"/>
      <c r="Q1428" s="140"/>
      <c r="R1428" s="140"/>
      <c r="S1428" s="310" t="s">
        <v>98</v>
      </c>
      <c r="T1428" s="378" t="s">
        <v>83</v>
      </c>
      <c r="U1428" s="378" t="s">
        <v>45</v>
      </c>
      <c r="V1428" s="378" t="s">
        <v>2922</v>
      </c>
      <c r="W1428" s="141"/>
      <c r="X1428" s="141"/>
      <c r="Y1428" s="141"/>
      <c r="Z1428" s="141"/>
      <c r="AA1428" s="313">
        <v>187450.0</v>
      </c>
      <c r="AB1428" s="313">
        <v>656075.0</v>
      </c>
      <c r="AC1428" s="379" t="s">
        <v>3937</v>
      </c>
      <c r="AD1428" s="135">
        <v>14124.0</v>
      </c>
      <c r="AE1428" s="140"/>
      <c r="AF1428" s="310" t="str">
        <f t="shared" si="1"/>
        <v>Capital Federal, Argentina</v>
      </c>
      <c r="AG1428" s="310">
        <f t="shared" si="2"/>
        <v>4</v>
      </c>
      <c r="AH1428" s="314">
        <f t="shared" si="3"/>
        <v>0</v>
      </c>
      <c r="AI1428" s="314">
        <f t="shared" si="4"/>
        <v>0</v>
      </c>
      <c r="AJ1428" s="313">
        <f t="shared" si="5"/>
        <v>843525</v>
      </c>
      <c r="AK1428" s="313">
        <f t="shared" si="6"/>
        <v>843525</v>
      </c>
      <c r="AL1428" s="144"/>
      <c r="AM1428" s="144"/>
    </row>
    <row r="1429">
      <c r="A1429" s="310">
        <v>1428.0</v>
      </c>
      <c r="B1429" s="311">
        <v>45373.0</v>
      </c>
      <c r="C1429" s="195" t="str">
        <f t="shared" si="11"/>
        <v>32024</v>
      </c>
      <c r="D1429" s="377" t="s">
        <v>3938</v>
      </c>
      <c r="E1429" s="310" t="s">
        <v>3213</v>
      </c>
      <c r="F1429" s="312" t="s">
        <v>3939</v>
      </c>
      <c r="G1429" s="310" t="s">
        <v>40</v>
      </c>
      <c r="H1429" s="310" t="s">
        <v>41</v>
      </c>
      <c r="I1429" s="310" t="s">
        <v>643</v>
      </c>
      <c r="J1429" s="315">
        <v>2.0</v>
      </c>
      <c r="K1429" s="315">
        <v>2.0</v>
      </c>
      <c r="L1429" s="138"/>
      <c r="M1429" s="315">
        <v>1.0</v>
      </c>
      <c r="N1429" s="138"/>
      <c r="O1429" s="138"/>
      <c r="P1429" s="138"/>
      <c r="Q1429" s="140"/>
      <c r="R1429" s="140"/>
      <c r="S1429" s="310" t="s">
        <v>189</v>
      </c>
      <c r="T1429" s="378" t="s">
        <v>2609</v>
      </c>
      <c r="U1429" s="378" t="s">
        <v>342</v>
      </c>
      <c r="V1429" s="378" t="s">
        <v>2935</v>
      </c>
      <c r="W1429" s="141"/>
      <c r="X1429" s="141"/>
      <c r="Y1429" s="141"/>
      <c r="Z1429" s="141"/>
      <c r="AA1429" s="313">
        <v>285250.0</v>
      </c>
      <c r="AB1429" s="313">
        <v>927062.0</v>
      </c>
      <c r="AC1429" s="379" t="s">
        <v>3940</v>
      </c>
      <c r="AD1429" s="135">
        <v>14076.0</v>
      </c>
      <c r="AE1429" s="140"/>
      <c r="AF1429" s="310" t="str">
        <f t="shared" si="1"/>
        <v>San Juan, Argentina</v>
      </c>
      <c r="AG1429" s="310">
        <f t="shared" si="2"/>
        <v>5</v>
      </c>
      <c r="AH1429" s="314">
        <f t="shared" si="3"/>
        <v>0</v>
      </c>
      <c r="AI1429" s="314">
        <f t="shared" si="4"/>
        <v>0</v>
      </c>
      <c r="AJ1429" s="313">
        <f t="shared" si="5"/>
        <v>1212312</v>
      </c>
      <c r="AK1429" s="313">
        <f t="shared" si="6"/>
        <v>1212312</v>
      </c>
      <c r="AL1429" s="144"/>
      <c r="AM1429" s="144"/>
    </row>
    <row r="1430">
      <c r="A1430" s="310">
        <v>1429.0</v>
      </c>
      <c r="B1430" s="311">
        <v>45373.0</v>
      </c>
      <c r="C1430" s="195" t="str">
        <f t="shared" si="11"/>
        <v>32024</v>
      </c>
      <c r="D1430" s="377" t="s">
        <v>3938</v>
      </c>
      <c r="E1430" s="310" t="s">
        <v>3213</v>
      </c>
      <c r="F1430" s="312" t="s">
        <v>3941</v>
      </c>
      <c r="G1430" s="310" t="s">
        <v>40</v>
      </c>
      <c r="H1430" s="310" t="s">
        <v>41</v>
      </c>
      <c r="I1430" s="310" t="s">
        <v>643</v>
      </c>
      <c r="J1430" s="138"/>
      <c r="K1430" s="138"/>
      <c r="L1430" s="138"/>
      <c r="M1430" s="138"/>
      <c r="N1430" s="138"/>
      <c r="O1430" s="138"/>
      <c r="P1430" s="138"/>
      <c r="Q1430" s="140"/>
      <c r="R1430" s="140"/>
      <c r="S1430" s="310" t="s">
        <v>189</v>
      </c>
      <c r="T1430" s="378" t="s">
        <v>2609</v>
      </c>
      <c r="U1430" s="378" t="s">
        <v>342</v>
      </c>
      <c r="V1430" s="378" t="s">
        <v>2935</v>
      </c>
      <c r="W1430" s="141"/>
      <c r="X1430" s="141"/>
      <c r="Y1430" s="141"/>
      <c r="Z1430" s="141"/>
      <c r="AA1430" s="313">
        <v>0.0</v>
      </c>
      <c r="AB1430" s="313">
        <v>1271400.0</v>
      </c>
      <c r="AC1430" s="379" t="s">
        <v>3940</v>
      </c>
      <c r="AD1430" s="135">
        <v>14076.0</v>
      </c>
      <c r="AE1430" s="140"/>
      <c r="AF1430" s="310" t="str">
        <f t="shared" si="1"/>
        <v>San Juan, Argentina</v>
      </c>
      <c r="AG1430" s="310">
        <f t="shared" si="2"/>
        <v>0</v>
      </c>
      <c r="AH1430" s="314">
        <f t="shared" si="3"/>
        <v>0</v>
      </c>
      <c r="AI1430" s="314">
        <f t="shared" si="4"/>
        <v>0</v>
      </c>
      <c r="AJ1430" s="313">
        <f t="shared" si="5"/>
        <v>1271400</v>
      </c>
      <c r="AK1430" s="313">
        <f t="shared" si="6"/>
        <v>1271400</v>
      </c>
      <c r="AL1430" s="144"/>
      <c r="AM1430" s="144"/>
    </row>
    <row r="1431">
      <c r="A1431" s="310">
        <v>1430.0</v>
      </c>
      <c r="B1431" s="311">
        <v>45373.0</v>
      </c>
      <c r="C1431" s="195" t="str">
        <f t="shared" si="11"/>
        <v>32024</v>
      </c>
      <c r="D1431" s="377" t="s">
        <v>1982</v>
      </c>
      <c r="E1431" s="310" t="s">
        <v>1983</v>
      </c>
      <c r="F1431" s="312" t="s">
        <v>1423</v>
      </c>
      <c r="G1431" s="310" t="s">
        <v>64</v>
      </c>
      <c r="H1431" s="310" t="s">
        <v>41</v>
      </c>
      <c r="I1431" s="310" t="s">
        <v>643</v>
      </c>
      <c r="J1431" s="315">
        <v>1.0</v>
      </c>
      <c r="K1431" s="138"/>
      <c r="L1431" s="138"/>
      <c r="M1431" s="138"/>
      <c r="N1431" s="138"/>
      <c r="O1431" s="138"/>
      <c r="P1431" s="138"/>
      <c r="Q1431" s="140"/>
      <c r="R1431" s="140"/>
      <c r="S1431" s="310" t="s">
        <v>65</v>
      </c>
      <c r="T1431" s="378" t="s">
        <v>66</v>
      </c>
      <c r="U1431" s="378" t="s">
        <v>99</v>
      </c>
      <c r="V1431" s="378" t="s">
        <v>1984</v>
      </c>
      <c r="W1431" s="141"/>
      <c r="X1431" s="141"/>
      <c r="Y1431" s="141"/>
      <c r="Z1431" s="141"/>
      <c r="AA1431" s="313">
        <v>81500.0</v>
      </c>
      <c r="AB1431" s="313">
        <v>285250.0</v>
      </c>
      <c r="AC1431" s="379" t="s">
        <v>3942</v>
      </c>
      <c r="AD1431" s="135">
        <v>14092.0</v>
      </c>
      <c r="AE1431" s="140"/>
      <c r="AF1431" s="310" t="str">
        <f t="shared" si="1"/>
        <v>Buenos Aires, Argentina</v>
      </c>
      <c r="AG1431" s="310">
        <f t="shared" si="2"/>
        <v>1</v>
      </c>
      <c r="AH1431" s="314">
        <f t="shared" si="3"/>
        <v>0</v>
      </c>
      <c r="AI1431" s="314">
        <f t="shared" si="4"/>
        <v>0</v>
      </c>
      <c r="AJ1431" s="313">
        <f t="shared" si="5"/>
        <v>366750</v>
      </c>
      <c r="AK1431" s="313">
        <f t="shared" si="6"/>
        <v>366750</v>
      </c>
      <c r="AL1431" s="144"/>
      <c r="AM1431" s="144"/>
    </row>
    <row r="1432">
      <c r="A1432" s="310">
        <v>1431.0</v>
      </c>
      <c r="B1432" s="311">
        <v>45376.0</v>
      </c>
      <c r="C1432" s="195" t="str">
        <f t="shared" si="11"/>
        <v>32024</v>
      </c>
      <c r="D1432" s="377" t="s">
        <v>3943</v>
      </c>
      <c r="E1432" s="310" t="s">
        <v>3154</v>
      </c>
      <c r="F1432" s="312" t="s">
        <v>1423</v>
      </c>
      <c r="G1432" s="310" t="s">
        <v>64</v>
      </c>
      <c r="H1432" s="310" t="s">
        <v>41</v>
      </c>
      <c r="I1432" s="310" t="s">
        <v>643</v>
      </c>
      <c r="J1432" s="315">
        <v>1.0</v>
      </c>
      <c r="K1432" s="138"/>
      <c r="L1432" s="138"/>
      <c r="M1432" s="138"/>
      <c r="N1432" s="138"/>
      <c r="O1432" s="138"/>
      <c r="P1432" s="138"/>
      <c r="Q1432" s="140"/>
      <c r="R1432" s="140"/>
      <c r="S1432" s="310" t="s">
        <v>189</v>
      </c>
      <c r="T1432" s="378" t="s">
        <v>66</v>
      </c>
      <c r="U1432" s="378" t="s">
        <v>99</v>
      </c>
      <c r="V1432" s="378" t="s">
        <v>1984</v>
      </c>
      <c r="W1432" s="141"/>
      <c r="X1432" s="141"/>
      <c r="Y1432" s="141"/>
      <c r="Z1432" s="141"/>
      <c r="AA1432" s="313">
        <v>81500.0</v>
      </c>
      <c r="AB1432" s="313">
        <v>285250.0</v>
      </c>
      <c r="AC1432" s="379" t="s">
        <v>3944</v>
      </c>
      <c r="AD1432" s="135">
        <v>13044.0</v>
      </c>
      <c r="AE1432" s="140"/>
      <c r="AF1432" s="310" t="str">
        <f t="shared" si="1"/>
        <v>Buenos Aires, Argentina</v>
      </c>
      <c r="AG1432" s="310">
        <f t="shared" si="2"/>
        <v>1</v>
      </c>
      <c r="AH1432" s="314">
        <f t="shared" si="3"/>
        <v>0</v>
      </c>
      <c r="AI1432" s="314">
        <f t="shared" si="4"/>
        <v>0</v>
      </c>
      <c r="AJ1432" s="313">
        <f t="shared" si="5"/>
        <v>366750</v>
      </c>
      <c r="AK1432" s="313">
        <f t="shared" si="6"/>
        <v>366750</v>
      </c>
      <c r="AL1432" s="144"/>
      <c r="AM1432" s="144"/>
    </row>
    <row r="1433">
      <c r="A1433" s="310">
        <v>1432.0</v>
      </c>
      <c r="B1433" s="311">
        <v>45379.0</v>
      </c>
      <c r="C1433" s="195" t="str">
        <f t="shared" si="11"/>
        <v>32024</v>
      </c>
      <c r="D1433" s="377" t="s">
        <v>3945</v>
      </c>
      <c r="E1433" s="310" t="s">
        <v>3946</v>
      </c>
      <c r="F1433" s="312" t="s">
        <v>3947</v>
      </c>
      <c r="G1433" s="310" t="s">
        <v>40</v>
      </c>
      <c r="H1433" s="310" t="s">
        <v>41</v>
      </c>
      <c r="I1433" s="310" t="s">
        <v>42</v>
      </c>
      <c r="J1433" s="315">
        <v>2.0</v>
      </c>
      <c r="K1433" s="315">
        <v>1.0</v>
      </c>
      <c r="L1433" s="138"/>
      <c r="M1433" s="315">
        <v>1.0</v>
      </c>
      <c r="N1433" s="138"/>
      <c r="O1433" s="315">
        <v>1.0</v>
      </c>
      <c r="P1433" s="138"/>
      <c r="Q1433" s="140"/>
      <c r="R1433" s="140"/>
      <c r="S1433" s="310" t="s">
        <v>105</v>
      </c>
      <c r="T1433" s="378" t="s">
        <v>66</v>
      </c>
      <c r="U1433" s="378" t="s">
        <v>3948</v>
      </c>
      <c r="V1433" s="378" t="s">
        <v>3545</v>
      </c>
      <c r="W1433" s="141"/>
      <c r="X1433" s="141"/>
      <c r="Y1433" s="141"/>
      <c r="Z1433" s="141"/>
      <c r="AA1433" s="313">
        <v>268950.0</v>
      </c>
      <c r="AB1433" s="313">
        <v>1075800.0</v>
      </c>
      <c r="AC1433" s="379" t="s">
        <v>3949</v>
      </c>
      <c r="AD1433" s="135">
        <v>13658.0</v>
      </c>
      <c r="AE1433" s="140"/>
      <c r="AF1433" s="310" t="str">
        <f t="shared" si="1"/>
        <v>Buenos Aires, Argentina</v>
      </c>
      <c r="AG1433" s="310">
        <f t="shared" si="2"/>
        <v>5</v>
      </c>
      <c r="AH1433" s="314">
        <f t="shared" si="3"/>
        <v>0</v>
      </c>
      <c r="AI1433" s="314">
        <f t="shared" si="4"/>
        <v>0</v>
      </c>
      <c r="AJ1433" s="313">
        <f t="shared" si="5"/>
        <v>1344750</v>
      </c>
      <c r="AK1433" s="313">
        <f t="shared" si="6"/>
        <v>1344750</v>
      </c>
      <c r="AL1433" s="144"/>
      <c r="AM1433" s="144"/>
    </row>
    <row r="1434">
      <c r="A1434" s="310">
        <v>1433.0</v>
      </c>
      <c r="B1434" s="311">
        <v>45379.0</v>
      </c>
      <c r="C1434" s="195" t="str">
        <f t="shared" si="11"/>
        <v>32024</v>
      </c>
      <c r="D1434" s="377" t="s">
        <v>2271</v>
      </c>
      <c r="E1434" s="310" t="s">
        <v>2272</v>
      </c>
      <c r="F1434" s="312" t="s">
        <v>1412</v>
      </c>
      <c r="G1434" s="310" t="s">
        <v>64</v>
      </c>
      <c r="H1434" s="310" t="s">
        <v>41</v>
      </c>
      <c r="I1434" s="310" t="s">
        <v>643</v>
      </c>
      <c r="J1434" s="315">
        <v>2.0</v>
      </c>
      <c r="K1434" s="138"/>
      <c r="L1434" s="138"/>
      <c r="M1434" s="138"/>
      <c r="N1434" s="138"/>
      <c r="O1434" s="138"/>
      <c r="P1434" s="138"/>
      <c r="Q1434" s="140"/>
      <c r="R1434" s="140"/>
      <c r="S1434" s="310" t="s">
        <v>72</v>
      </c>
      <c r="T1434" s="378" t="s">
        <v>73</v>
      </c>
      <c r="U1434" s="378" t="s">
        <v>99</v>
      </c>
      <c r="V1434" s="378" t="s">
        <v>1984</v>
      </c>
      <c r="W1434" s="141"/>
      <c r="X1434" s="141"/>
      <c r="Y1434" s="141"/>
      <c r="Z1434" s="141"/>
      <c r="AA1434" s="313">
        <v>163000.0</v>
      </c>
      <c r="AB1434" s="313">
        <v>570500.0</v>
      </c>
      <c r="AC1434" s="379" t="s">
        <v>3950</v>
      </c>
      <c r="AD1434" s="135">
        <v>14188.0</v>
      </c>
      <c r="AE1434" s="140"/>
      <c r="AF1434" s="310" t="str">
        <f t="shared" si="1"/>
        <v>Tierra de Fuego, Argentina</v>
      </c>
      <c r="AG1434" s="310">
        <f t="shared" si="2"/>
        <v>2</v>
      </c>
      <c r="AH1434" s="314">
        <f t="shared" si="3"/>
        <v>0</v>
      </c>
      <c r="AI1434" s="314">
        <f t="shared" si="4"/>
        <v>0</v>
      </c>
      <c r="AJ1434" s="313">
        <f t="shared" si="5"/>
        <v>733500</v>
      </c>
      <c r="AK1434" s="313">
        <f t="shared" si="6"/>
        <v>733500</v>
      </c>
      <c r="AL1434" s="144"/>
      <c r="AM1434" s="144"/>
    </row>
    <row r="1435">
      <c r="A1435" s="310">
        <v>1434.0</v>
      </c>
      <c r="B1435" s="311">
        <v>45379.0</v>
      </c>
      <c r="C1435" s="195" t="str">
        <f t="shared" si="11"/>
        <v>32024</v>
      </c>
      <c r="D1435" s="377" t="s">
        <v>3951</v>
      </c>
      <c r="E1435" s="310" t="s">
        <v>3952</v>
      </c>
      <c r="F1435" s="312" t="s">
        <v>1412</v>
      </c>
      <c r="G1435" s="310" t="s">
        <v>64</v>
      </c>
      <c r="H1435" s="310" t="s">
        <v>41</v>
      </c>
      <c r="I1435" s="310" t="s">
        <v>643</v>
      </c>
      <c r="J1435" s="315">
        <v>2.0</v>
      </c>
      <c r="K1435" s="138"/>
      <c r="L1435" s="138"/>
      <c r="M1435" s="138"/>
      <c r="N1435" s="138"/>
      <c r="O1435" s="138"/>
      <c r="P1435" s="138"/>
      <c r="Q1435" s="140"/>
      <c r="R1435" s="140"/>
      <c r="S1435" s="310" t="s">
        <v>189</v>
      </c>
      <c r="T1435" s="378" t="s">
        <v>66</v>
      </c>
      <c r="U1435" s="378" t="s">
        <v>99</v>
      </c>
      <c r="V1435" s="378" t="s">
        <v>1984</v>
      </c>
      <c r="W1435" s="141"/>
      <c r="X1435" s="141"/>
      <c r="Y1435" s="141"/>
      <c r="Z1435" s="141"/>
      <c r="AA1435" s="313">
        <v>163000.0</v>
      </c>
      <c r="AB1435" s="313">
        <v>570500.0</v>
      </c>
      <c r="AC1435" s="379" t="s">
        <v>3953</v>
      </c>
      <c r="AD1435" s="135">
        <v>14226.0</v>
      </c>
      <c r="AE1435" s="140"/>
      <c r="AF1435" s="310" t="str">
        <f t="shared" si="1"/>
        <v>Buenos Aires, Argentina</v>
      </c>
      <c r="AG1435" s="310">
        <f t="shared" si="2"/>
        <v>2</v>
      </c>
      <c r="AH1435" s="314">
        <f t="shared" si="3"/>
        <v>0</v>
      </c>
      <c r="AI1435" s="314">
        <f t="shared" si="4"/>
        <v>0</v>
      </c>
      <c r="AJ1435" s="313">
        <f t="shared" si="5"/>
        <v>733500</v>
      </c>
      <c r="AK1435" s="313">
        <f t="shared" si="6"/>
        <v>733500</v>
      </c>
      <c r="AL1435" s="144"/>
      <c r="AM1435" s="144"/>
    </row>
    <row r="1436">
      <c r="A1436" s="310">
        <v>1435.0</v>
      </c>
      <c r="B1436" s="311">
        <v>45379.0</v>
      </c>
      <c r="C1436" s="195" t="str">
        <f t="shared" si="11"/>
        <v>32024</v>
      </c>
      <c r="D1436" s="377" t="s">
        <v>999</v>
      </c>
      <c r="E1436" s="310" t="s">
        <v>1000</v>
      </c>
      <c r="F1436" s="312" t="s">
        <v>1423</v>
      </c>
      <c r="G1436" s="310" t="s">
        <v>64</v>
      </c>
      <c r="H1436" s="310" t="s">
        <v>41</v>
      </c>
      <c r="I1436" s="310" t="s">
        <v>643</v>
      </c>
      <c r="J1436" s="315">
        <v>1.0</v>
      </c>
      <c r="K1436" s="138"/>
      <c r="L1436" s="138"/>
      <c r="M1436" s="138"/>
      <c r="N1436" s="138"/>
      <c r="O1436" s="138"/>
      <c r="P1436" s="138"/>
      <c r="Q1436" s="140"/>
      <c r="R1436" s="140"/>
      <c r="S1436" s="310" t="s">
        <v>65</v>
      </c>
      <c r="T1436" s="378" t="s">
        <v>66</v>
      </c>
      <c r="U1436" s="378" t="s">
        <v>99</v>
      </c>
      <c r="V1436" s="378" t="s">
        <v>1984</v>
      </c>
      <c r="W1436" s="141"/>
      <c r="X1436" s="141"/>
      <c r="Y1436" s="141"/>
      <c r="Z1436" s="141"/>
      <c r="AA1436" s="313">
        <v>81500.0</v>
      </c>
      <c r="AB1436" s="313">
        <v>285250.0</v>
      </c>
      <c r="AC1436" s="379" t="s">
        <v>3954</v>
      </c>
      <c r="AD1436" s="135">
        <v>14266.0</v>
      </c>
      <c r="AE1436" s="140"/>
      <c r="AF1436" s="310" t="str">
        <f t="shared" si="1"/>
        <v>Buenos Aires, Argentina</v>
      </c>
      <c r="AG1436" s="310">
        <f t="shared" si="2"/>
        <v>1</v>
      </c>
      <c r="AH1436" s="314">
        <f t="shared" si="3"/>
        <v>0</v>
      </c>
      <c r="AI1436" s="314">
        <f t="shared" si="4"/>
        <v>0</v>
      </c>
      <c r="AJ1436" s="313">
        <f t="shared" si="5"/>
        <v>366750</v>
      </c>
      <c r="AK1436" s="313">
        <f t="shared" si="6"/>
        <v>366750</v>
      </c>
      <c r="AL1436" s="144"/>
      <c r="AM1436" s="144"/>
    </row>
    <row r="1437">
      <c r="A1437" s="310">
        <v>1436.0</v>
      </c>
      <c r="B1437" s="311">
        <v>45379.0</v>
      </c>
      <c r="C1437" s="195" t="str">
        <f t="shared" si="11"/>
        <v>32024</v>
      </c>
      <c r="D1437" s="377" t="s">
        <v>2706</v>
      </c>
      <c r="E1437" s="310" t="s">
        <v>2707</v>
      </c>
      <c r="F1437" s="312" t="s">
        <v>3955</v>
      </c>
      <c r="G1437" s="310" t="s">
        <v>64</v>
      </c>
      <c r="H1437" s="310" t="s">
        <v>41</v>
      </c>
      <c r="I1437" s="310" t="s">
        <v>643</v>
      </c>
      <c r="J1437" s="315">
        <v>2.0</v>
      </c>
      <c r="K1437" s="138"/>
      <c r="L1437" s="139">
        <v>5.0</v>
      </c>
      <c r="M1437" s="138"/>
      <c r="N1437" s="138"/>
      <c r="O1437" s="315">
        <v>6.0</v>
      </c>
      <c r="P1437" s="138"/>
      <c r="Q1437" s="140"/>
      <c r="R1437" s="140"/>
      <c r="S1437" s="310" t="s">
        <v>189</v>
      </c>
      <c r="T1437" s="378" t="s">
        <v>73</v>
      </c>
      <c r="U1437" s="378" t="s">
        <v>99</v>
      </c>
      <c r="V1437" s="378" t="s">
        <v>1984</v>
      </c>
      <c r="W1437" s="141"/>
      <c r="X1437" s="141"/>
      <c r="Y1437" s="141"/>
      <c r="Z1437" s="141"/>
      <c r="AA1437" s="313">
        <v>574575.0</v>
      </c>
      <c r="AB1437" s="313">
        <v>2011012.0</v>
      </c>
      <c r="AC1437" s="379" t="s">
        <v>3956</v>
      </c>
      <c r="AD1437" s="135">
        <v>14296.0</v>
      </c>
      <c r="AE1437" s="140"/>
      <c r="AF1437" s="310" t="str">
        <f t="shared" si="1"/>
        <v>Tierra de Fuego, Argentina</v>
      </c>
      <c r="AG1437" s="310">
        <f t="shared" si="2"/>
        <v>13</v>
      </c>
      <c r="AH1437" s="314">
        <f t="shared" si="3"/>
        <v>0</v>
      </c>
      <c r="AI1437" s="314">
        <f t="shared" si="4"/>
        <v>0</v>
      </c>
      <c r="AJ1437" s="313">
        <f t="shared" si="5"/>
        <v>2585587</v>
      </c>
      <c r="AK1437" s="313">
        <f t="shared" si="6"/>
        <v>2585587</v>
      </c>
      <c r="AL1437" s="144"/>
      <c r="AM1437" s="144"/>
    </row>
    <row r="1438">
      <c r="A1438" s="310">
        <v>1437.0</v>
      </c>
      <c r="B1438" s="311">
        <v>45379.0</v>
      </c>
      <c r="C1438" s="195" t="str">
        <f t="shared" si="11"/>
        <v>32024</v>
      </c>
      <c r="D1438" s="377" t="s">
        <v>2454</v>
      </c>
      <c r="E1438" s="310" t="s">
        <v>1810</v>
      </c>
      <c r="F1438" s="312" t="s">
        <v>1878</v>
      </c>
      <c r="G1438" s="310" t="s">
        <v>64</v>
      </c>
      <c r="H1438" s="310" t="s">
        <v>41</v>
      </c>
      <c r="I1438" s="310" t="s">
        <v>643</v>
      </c>
      <c r="J1438" s="138"/>
      <c r="K1438" s="138"/>
      <c r="L1438" s="138"/>
      <c r="M1438" s="138"/>
      <c r="N1438" s="139">
        <v>1.0</v>
      </c>
      <c r="O1438" s="138"/>
      <c r="P1438" s="138"/>
      <c r="Q1438" s="140"/>
      <c r="R1438" s="140"/>
      <c r="S1438" s="310" t="s">
        <v>65</v>
      </c>
      <c r="T1438" s="378" t="s">
        <v>66</v>
      </c>
      <c r="U1438" s="378" t="s">
        <v>99</v>
      </c>
      <c r="V1438" s="378" t="s">
        <v>1984</v>
      </c>
      <c r="W1438" s="141"/>
      <c r="X1438" s="141"/>
      <c r="Y1438" s="141"/>
      <c r="Z1438" s="141"/>
      <c r="AA1438" s="313">
        <v>73350.0</v>
      </c>
      <c r="AB1438" s="313">
        <v>285250.0</v>
      </c>
      <c r="AC1438" s="379" t="s">
        <v>3957</v>
      </c>
      <c r="AD1438" s="135">
        <v>12506.0</v>
      </c>
      <c r="AE1438" s="140"/>
      <c r="AF1438" s="310" t="str">
        <f t="shared" si="1"/>
        <v>Buenos Aires, Argentina</v>
      </c>
      <c r="AG1438" s="310">
        <f t="shared" si="2"/>
        <v>1</v>
      </c>
      <c r="AH1438" s="314">
        <f t="shared" si="3"/>
        <v>0</v>
      </c>
      <c r="AI1438" s="314">
        <f t="shared" si="4"/>
        <v>0</v>
      </c>
      <c r="AJ1438" s="313">
        <f t="shared" si="5"/>
        <v>358600</v>
      </c>
      <c r="AK1438" s="313">
        <f t="shared" si="6"/>
        <v>358600</v>
      </c>
      <c r="AL1438" s="144"/>
      <c r="AM1438" s="144"/>
    </row>
    <row r="1439">
      <c r="A1439" s="310">
        <v>1438.0</v>
      </c>
      <c r="B1439" s="311">
        <v>45379.0</v>
      </c>
      <c r="C1439" s="195" t="str">
        <f t="shared" si="11"/>
        <v>32024</v>
      </c>
      <c r="D1439" s="377" t="s">
        <v>2454</v>
      </c>
      <c r="E1439" s="310" t="s">
        <v>1810</v>
      </c>
      <c r="F1439" s="312" t="s">
        <v>3502</v>
      </c>
      <c r="G1439" s="310" t="s">
        <v>64</v>
      </c>
      <c r="H1439" s="310" t="s">
        <v>41</v>
      </c>
      <c r="I1439" s="310" t="s">
        <v>643</v>
      </c>
      <c r="J1439" s="138"/>
      <c r="K1439" s="138"/>
      <c r="L1439" s="138"/>
      <c r="M1439" s="138"/>
      <c r="N1439" s="138"/>
      <c r="O1439" s="138"/>
      <c r="P1439" s="138"/>
      <c r="Q1439" s="140"/>
      <c r="R1439" s="140"/>
      <c r="S1439" s="310" t="s">
        <v>65</v>
      </c>
      <c r="T1439" s="378" t="s">
        <v>66</v>
      </c>
      <c r="U1439" s="378" t="s">
        <v>99</v>
      </c>
      <c r="V1439" s="378" t="s">
        <v>1984</v>
      </c>
      <c r="W1439" s="142">
        <v>185000.0</v>
      </c>
      <c r="X1439" s="142">
        <v>9260000.0</v>
      </c>
      <c r="Y1439" s="141"/>
      <c r="Z1439" s="141"/>
      <c r="AA1439" s="313">
        <v>0.0</v>
      </c>
      <c r="AB1439" s="313">
        <v>0.0</v>
      </c>
      <c r="AC1439" s="379" t="s">
        <v>3958</v>
      </c>
      <c r="AD1439" s="135">
        <v>14294.0</v>
      </c>
      <c r="AE1439" s="140"/>
      <c r="AF1439" s="310" t="str">
        <f t="shared" si="1"/>
        <v>Buenos Aires, Argentina</v>
      </c>
      <c r="AG1439" s="310">
        <f t="shared" si="2"/>
        <v>0</v>
      </c>
      <c r="AH1439" s="314">
        <f t="shared" si="3"/>
        <v>9445000</v>
      </c>
      <c r="AI1439" s="314">
        <f t="shared" si="4"/>
        <v>0</v>
      </c>
      <c r="AJ1439" s="313">
        <f t="shared" si="5"/>
        <v>0</v>
      </c>
      <c r="AK1439" s="313">
        <f t="shared" si="6"/>
        <v>9445000</v>
      </c>
      <c r="AL1439" s="144"/>
      <c r="AM1439" s="144"/>
    </row>
    <row r="1440">
      <c r="A1440" s="310">
        <v>1439.0</v>
      </c>
      <c r="B1440" s="311">
        <v>45382.0</v>
      </c>
      <c r="C1440" s="195" t="str">
        <f t="shared" si="11"/>
        <v>32024</v>
      </c>
      <c r="D1440" s="377" t="s">
        <v>3959</v>
      </c>
      <c r="E1440" s="310" t="s">
        <v>3960</v>
      </c>
      <c r="F1440" s="312" t="s">
        <v>3961</v>
      </c>
      <c r="G1440" s="310" t="s">
        <v>40</v>
      </c>
      <c r="H1440" s="310" t="s">
        <v>41</v>
      </c>
      <c r="I1440" s="310" t="s">
        <v>42</v>
      </c>
      <c r="J1440" s="315">
        <v>2.0</v>
      </c>
      <c r="K1440" s="315">
        <v>1.0</v>
      </c>
      <c r="L1440" s="138"/>
      <c r="M1440" s="315">
        <v>1.0</v>
      </c>
      <c r="N1440" s="139">
        <v>1.0</v>
      </c>
      <c r="O1440" s="315">
        <v>3.0</v>
      </c>
      <c r="P1440" s="139">
        <v>1.0</v>
      </c>
      <c r="Q1440" s="140"/>
      <c r="R1440" s="140"/>
      <c r="S1440" s="310" t="s">
        <v>189</v>
      </c>
      <c r="T1440" s="378" t="s">
        <v>66</v>
      </c>
      <c r="U1440" s="378" t="s">
        <v>45</v>
      </c>
      <c r="V1440" s="378" t="s">
        <v>2922</v>
      </c>
      <c r="W1440" s="141"/>
      <c r="X1440" s="141"/>
      <c r="Y1440" s="141"/>
      <c r="Z1440" s="141"/>
      <c r="AA1440" s="313">
        <v>501225.0</v>
      </c>
      <c r="AB1440" s="313">
        <v>1754287.0</v>
      </c>
      <c r="AC1440" s="379" t="s">
        <v>3962</v>
      </c>
      <c r="AD1440" s="135">
        <v>14176.0</v>
      </c>
      <c r="AE1440" s="140"/>
      <c r="AF1440" s="310" t="str">
        <f t="shared" si="1"/>
        <v>Buenos Aires, Argentina</v>
      </c>
      <c r="AG1440" s="310">
        <f t="shared" si="2"/>
        <v>9</v>
      </c>
      <c r="AH1440" s="314">
        <f t="shared" si="3"/>
        <v>0</v>
      </c>
      <c r="AI1440" s="314">
        <f t="shared" si="4"/>
        <v>0</v>
      </c>
      <c r="AJ1440" s="313">
        <f t="shared" si="5"/>
        <v>2255512</v>
      </c>
      <c r="AK1440" s="313">
        <f t="shared" si="6"/>
        <v>2255512</v>
      </c>
      <c r="AL1440" s="144"/>
      <c r="AM1440" s="144"/>
    </row>
    <row r="1441">
      <c r="A1441" s="310">
        <v>1440.0</v>
      </c>
      <c r="B1441" s="311">
        <v>45382.0</v>
      </c>
      <c r="C1441" s="195" t="str">
        <f t="shared" si="11"/>
        <v>32024</v>
      </c>
      <c r="D1441" s="377" t="s">
        <v>2706</v>
      </c>
      <c r="E1441" s="310" t="s">
        <v>2707</v>
      </c>
      <c r="F1441" s="312" t="s">
        <v>3963</v>
      </c>
      <c r="G1441" s="310" t="s">
        <v>64</v>
      </c>
      <c r="H1441" s="310" t="s">
        <v>41</v>
      </c>
      <c r="I1441" s="310" t="s">
        <v>643</v>
      </c>
      <c r="J1441" s="315">
        <v>4.0</v>
      </c>
      <c r="K1441" s="138"/>
      <c r="L1441" s="138"/>
      <c r="M1441" s="138"/>
      <c r="N1441" s="138"/>
      <c r="O1441" s="138"/>
      <c r="P1441" s="138"/>
      <c r="Q1441" s="140"/>
      <c r="R1441" s="140"/>
      <c r="S1441" s="310" t="s">
        <v>189</v>
      </c>
      <c r="T1441" s="378" t="s">
        <v>73</v>
      </c>
      <c r="U1441" s="378" t="s">
        <v>99</v>
      </c>
      <c r="V1441" s="378" t="s">
        <v>1984</v>
      </c>
      <c r="W1441" s="141"/>
      <c r="X1441" s="141"/>
      <c r="Y1441" s="141"/>
      <c r="Z1441" s="141"/>
      <c r="AA1441" s="313">
        <v>326000.0</v>
      </c>
      <c r="AB1441" s="313">
        <v>1141000.0</v>
      </c>
      <c r="AC1441" s="379" t="s">
        <v>3964</v>
      </c>
      <c r="AD1441" s="135">
        <v>14412.0</v>
      </c>
      <c r="AE1441" s="140"/>
      <c r="AF1441" s="310" t="str">
        <f t="shared" si="1"/>
        <v>Tierra de Fuego, Argentina</v>
      </c>
      <c r="AG1441" s="310">
        <f t="shared" si="2"/>
        <v>4</v>
      </c>
      <c r="AH1441" s="314">
        <f t="shared" si="3"/>
        <v>0</v>
      </c>
      <c r="AI1441" s="314">
        <f t="shared" si="4"/>
        <v>0</v>
      </c>
      <c r="AJ1441" s="313">
        <f t="shared" si="5"/>
        <v>1467000</v>
      </c>
      <c r="AK1441" s="313">
        <f t="shared" si="6"/>
        <v>1467000</v>
      </c>
      <c r="AL1441" s="144"/>
      <c r="AM1441" s="144"/>
    </row>
    <row r="1442">
      <c r="A1442" s="234">
        <v>1441.0</v>
      </c>
      <c r="B1442" s="235">
        <v>45390.0</v>
      </c>
      <c r="C1442" s="195" t="str">
        <f t="shared" si="11"/>
        <v>42024</v>
      </c>
      <c r="D1442" s="380" t="s">
        <v>3965</v>
      </c>
      <c r="E1442" s="234" t="s">
        <v>3966</v>
      </c>
      <c r="F1442" s="236" t="s">
        <v>2327</v>
      </c>
      <c r="G1442" s="234" t="s">
        <v>40</v>
      </c>
      <c r="H1442" s="234" t="s">
        <v>41</v>
      </c>
      <c r="I1442" s="234" t="s">
        <v>42</v>
      </c>
      <c r="J1442" s="238">
        <v>1.0</v>
      </c>
      <c r="K1442" s="237"/>
      <c r="L1442" s="237"/>
      <c r="M1442" s="238">
        <v>1.0</v>
      </c>
      <c r="N1442" s="237"/>
      <c r="O1442" s="237"/>
      <c r="P1442" s="237"/>
      <c r="Q1442" s="239"/>
      <c r="R1442" s="239"/>
      <c r="S1442" s="234" t="s">
        <v>65</v>
      </c>
      <c r="T1442" s="381" t="s">
        <v>66</v>
      </c>
      <c r="U1442" s="381" t="s">
        <v>342</v>
      </c>
      <c r="V1442" s="381" t="s">
        <v>2922</v>
      </c>
      <c r="W1442" s="240"/>
      <c r="X1442" s="240"/>
      <c r="Y1442" s="240"/>
      <c r="Z1442" s="240"/>
      <c r="AA1442" s="241">
        <v>92250.0</v>
      </c>
      <c r="AB1442" s="241">
        <v>369000.0</v>
      </c>
      <c r="AC1442" s="382" t="s">
        <v>3967</v>
      </c>
      <c r="AD1442" s="383">
        <v>12314.0</v>
      </c>
      <c r="AE1442" s="239"/>
      <c r="AF1442" s="234" t="str">
        <f t="shared" si="1"/>
        <v>Buenos Aires, Argentina</v>
      </c>
      <c r="AG1442" s="234">
        <f t="shared" si="2"/>
        <v>2</v>
      </c>
      <c r="AH1442" s="242">
        <f t="shared" si="3"/>
        <v>0</v>
      </c>
      <c r="AI1442" s="242">
        <f t="shared" si="4"/>
        <v>0</v>
      </c>
      <c r="AJ1442" s="241">
        <f t="shared" si="5"/>
        <v>461250</v>
      </c>
      <c r="AK1442" s="241">
        <f t="shared" si="6"/>
        <v>461250</v>
      </c>
      <c r="AL1442" s="243"/>
      <c r="AM1442" s="243"/>
    </row>
    <row r="1443">
      <c r="A1443" s="234">
        <v>1442.0</v>
      </c>
      <c r="B1443" s="235">
        <v>45390.0</v>
      </c>
      <c r="C1443" s="195" t="str">
        <f t="shared" si="11"/>
        <v>42024</v>
      </c>
      <c r="D1443" s="380" t="s">
        <v>3968</v>
      </c>
      <c r="E1443" s="234" t="s">
        <v>3969</v>
      </c>
      <c r="F1443" s="236" t="s">
        <v>2327</v>
      </c>
      <c r="G1443" s="234" t="s">
        <v>40</v>
      </c>
      <c r="H1443" s="234" t="s">
        <v>547</v>
      </c>
      <c r="I1443" s="234" t="s">
        <v>42</v>
      </c>
      <c r="J1443" s="238">
        <v>1.0</v>
      </c>
      <c r="K1443" s="237"/>
      <c r="L1443" s="237"/>
      <c r="M1443" s="238">
        <v>1.0</v>
      </c>
      <c r="N1443" s="237"/>
      <c r="O1443" s="237"/>
      <c r="P1443" s="237"/>
      <c r="Q1443" s="239"/>
      <c r="R1443" s="239"/>
      <c r="S1443" s="234" t="s">
        <v>51</v>
      </c>
      <c r="T1443" s="381" t="s">
        <v>66</v>
      </c>
      <c r="U1443" s="381" t="s">
        <v>163</v>
      </c>
      <c r="V1443" s="381" t="s">
        <v>3545</v>
      </c>
      <c r="W1443" s="240"/>
      <c r="X1443" s="240"/>
      <c r="Y1443" s="240"/>
      <c r="Z1443" s="240"/>
      <c r="AA1443" s="241">
        <v>71033.0</v>
      </c>
      <c r="AB1443" s="241">
        <v>319648.0</v>
      </c>
      <c r="AC1443" s="382" t="s">
        <v>3970</v>
      </c>
      <c r="AD1443" s="383">
        <v>14372.0</v>
      </c>
      <c r="AE1443" s="239"/>
      <c r="AF1443" s="234" t="str">
        <f t="shared" si="1"/>
        <v>Buenos Aires, Argentina</v>
      </c>
      <c r="AG1443" s="234">
        <f t="shared" si="2"/>
        <v>2</v>
      </c>
      <c r="AH1443" s="242">
        <f t="shared" si="3"/>
        <v>0</v>
      </c>
      <c r="AI1443" s="242">
        <f t="shared" si="4"/>
        <v>0</v>
      </c>
      <c r="AJ1443" s="241">
        <f t="shared" si="5"/>
        <v>390681</v>
      </c>
      <c r="AK1443" s="241">
        <f t="shared" si="6"/>
        <v>390681</v>
      </c>
      <c r="AL1443" s="243"/>
      <c r="AM1443" s="243"/>
    </row>
    <row r="1444">
      <c r="A1444" s="234">
        <v>1443.0</v>
      </c>
      <c r="B1444" s="235">
        <v>45391.0</v>
      </c>
      <c r="C1444" s="195" t="str">
        <f t="shared" si="11"/>
        <v>42024</v>
      </c>
      <c r="D1444" s="380" t="s">
        <v>3971</v>
      </c>
      <c r="E1444" s="234" t="s">
        <v>3972</v>
      </c>
      <c r="F1444" s="236" t="s">
        <v>3973</v>
      </c>
      <c r="G1444" s="234" t="s">
        <v>64</v>
      </c>
      <c r="H1444" s="234" t="s">
        <v>41</v>
      </c>
      <c r="I1444" s="234" t="s">
        <v>643</v>
      </c>
      <c r="J1444" s="237"/>
      <c r="K1444" s="237"/>
      <c r="L1444" s="237"/>
      <c r="M1444" s="237"/>
      <c r="N1444" s="237"/>
      <c r="O1444" s="237"/>
      <c r="P1444" s="237"/>
      <c r="Q1444" s="239"/>
      <c r="R1444" s="239"/>
      <c r="S1444" s="234" t="s">
        <v>65</v>
      </c>
      <c r="T1444" s="381" t="s">
        <v>83</v>
      </c>
      <c r="U1444" s="381" t="s">
        <v>99</v>
      </c>
      <c r="V1444" s="381" t="s">
        <v>1984</v>
      </c>
      <c r="W1444" s="240"/>
      <c r="X1444" s="240"/>
      <c r="Y1444" s="240"/>
      <c r="Z1444" s="240"/>
      <c r="AA1444" s="241">
        <v>0.0</v>
      </c>
      <c r="AB1444" s="241">
        <v>166050.0</v>
      </c>
      <c r="AC1444" s="382" t="s">
        <v>3974</v>
      </c>
      <c r="AD1444" s="383">
        <v>14022.0</v>
      </c>
      <c r="AE1444" s="239"/>
      <c r="AF1444" s="234" t="str">
        <f t="shared" si="1"/>
        <v>Capital Federal, Argentina</v>
      </c>
      <c r="AG1444" s="234">
        <f t="shared" si="2"/>
        <v>0</v>
      </c>
      <c r="AH1444" s="242">
        <f t="shared" si="3"/>
        <v>0</v>
      </c>
      <c r="AI1444" s="242">
        <f t="shared" si="4"/>
        <v>0</v>
      </c>
      <c r="AJ1444" s="241">
        <f t="shared" si="5"/>
        <v>166050</v>
      </c>
      <c r="AK1444" s="241">
        <f t="shared" si="6"/>
        <v>166050</v>
      </c>
      <c r="AL1444" s="243"/>
      <c r="AM1444" s="243"/>
    </row>
    <row r="1445">
      <c r="A1445" s="234">
        <v>1444.0</v>
      </c>
      <c r="B1445" s="235">
        <v>45398.0</v>
      </c>
      <c r="C1445" s="195" t="str">
        <f t="shared" si="11"/>
        <v>42024</v>
      </c>
      <c r="D1445" s="380" t="s">
        <v>3975</v>
      </c>
      <c r="E1445" s="234" t="s">
        <v>3440</v>
      </c>
      <c r="F1445" s="236" t="s">
        <v>1415</v>
      </c>
      <c r="G1445" s="234" t="s">
        <v>64</v>
      </c>
      <c r="H1445" s="234" t="s">
        <v>41</v>
      </c>
      <c r="I1445" s="234" t="s">
        <v>643</v>
      </c>
      <c r="J1445" s="237"/>
      <c r="K1445" s="238">
        <v>1.0</v>
      </c>
      <c r="L1445" s="237"/>
      <c r="M1445" s="237"/>
      <c r="N1445" s="237"/>
      <c r="O1445" s="237"/>
      <c r="P1445" s="237"/>
      <c r="Q1445" s="239"/>
      <c r="R1445" s="239"/>
      <c r="S1445" s="234" t="s">
        <v>114</v>
      </c>
      <c r="T1445" s="381" t="s">
        <v>66</v>
      </c>
      <c r="U1445" s="381" t="s">
        <v>99</v>
      </c>
      <c r="V1445" s="381" t="s">
        <v>1984</v>
      </c>
      <c r="W1445" s="240"/>
      <c r="X1445" s="240"/>
      <c r="Y1445" s="240"/>
      <c r="Z1445" s="240"/>
      <c r="AA1445" s="241">
        <v>69188.0</v>
      </c>
      <c r="AB1445" s="241">
        <v>276752.0</v>
      </c>
      <c r="AC1445" s="382" t="s">
        <v>3976</v>
      </c>
      <c r="AD1445" s="383">
        <v>14440.0</v>
      </c>
      <c r="AE1445" s="239"/>
      <c r="AF1445" s="234" t="str">
        <f t="shared" si="1"/>
        <v>Buenos Aires, Argentina</v>
      </c>
      <c r="AG1445" s="234">
        <f t="shared" si="2"/>
        <v>1</v>
      </c>
      <c r="AH1445" s="242">
        <f t="shared" si="3"/>
        <v>0</v>
      </c>
      <c r="AI1445" s="242">
        <f t="shared" si="4"/>
        <v>0</v>
      </c>
      <c r="AJ1445" s="241">
        <f t="shared" si="5"/>
        <v>345940</v>
      </c>
      <c r="AK1445" s="241">
        <f t="shared" si="6"/>
        <v>345940</v>
      </c>
      <c r="AL1445" s="243"/>
      <c r="AM1445" s="243"/>
    </row>
    <row r="1446">
      <c r="A1446" s="234">
        <v>1445.0</v>
      </c>
      <c r="B1446" s="235">
        <v>45401.0</v>
      </c>
      <c r="C1446" s="195" t="str">
        <f t="shared" si="11"/>
        <v>42024</v>
      </c>
      <c r="D1446" s="380" t="s">
        <v>3977</v>
      </c>
      <c r="E1446" s="234" t="s">
        <v>3978</v>
      </c>
      <c r="F1446" s="236" t="s">
        <v>2327</v>
      </c>
      <c r="G1446" s="234" t="s">
        <v>40</v>
      </c>
      <c r="H1446" s="234" t="s">
        <v>547</v>
      </c>
      <c r="I1446" s="234" t="s">
        <v>42</v>
      </c>
      <c r="J1446" s="238">
        <v>1.0</v>
      </c>
      <c r="K1446" s="237"/>
      <c r="L1446" s="237"/>
      <c r="M1446" s="238">
        <v>1.0</v>
      </c>
      <c r="N1446" s="237"/>
      <c r="O1446" s="237"/>
      <c r="P1446" s="237"/>
      <c r="Q1446" s="239"/>
      <c r="R1446" s="239"/>
      <c r="S1446" s="234" t="s">
        <v>98</v>
      </c>
      <c r="T1446" s="381" t="s">
        <v>879</v>
      </c>
      <c r="U1446" s="381" t="s">
        <v>3948</v>
      </c>
      <c r="V1446" s="381" t="s">
        <v>3545</v>
      </c>
      <c r="W1446" s="240"/>
      <c r="X1446" s="240"/>
      <c r="Y1446" s="240"/>
      <c r="Z1446" s="240"/>
      <c r="AA1446" s="241">
        <v>71033.0</v>
      </c>
      <c r="AB1446" s="241">
        <v>319469.0</v>
      </c>
      <c r="AC1446" s="382" t="s">
        <v>3979</v>
      </c>
      <c r="AD1446" s="383">
        <v>14414.0</v>
      </c>
      <c r="AE1446" s="239"/>
      <c r="AF1446" s="234" t="str">
        <f t="shared" si="1"/>
        <v>Salta, Argentina</v>
      </c>
      <c r="AG1446" s="234">
        <f t="shared" si="2"/>
        <v>2</v>
      </c>
      <c r="AH1446" s="242">
        <f t="shared" si="3"/>
        <v>0</v>
      </c>
      <c r="AI1446" s="242">
        <f t="shared" si="4"/>
        <v>0</v>
      </c>
      <c r="AJ1446" s="241">
        <f t="shared" si="5"/>
        <v>390502</v>
      </c>
      <c r="AK1446" s="241">
        <f t="shared" si="6"/>
        <v>390502</v>
      </c>
      <c r="AL1446" s="243"/>
      <c r="AM1446" s="243"/>
    </row>
    <row r="1447">
      <c r="A1447" s="234">
        <v>1446.0</v>
      </c>
      <c r="B1447" s="235">
        <v>45401.0</v>
      </c>
      <c r="C1447" s="195" t="str">
        <f t="shared" si="11"/>
        <v>42024</v>
      </c>
      <c r="D1447" s="380" t="s">
        <v>3980</v>
      </c>
      <c r="E1447" s="234" t="s">
        <v>3981</v>
      </c>
      <c r="F1447" s="236" t="s">
        <v>3982</v>
      </c>
      <c r="G1447" s="234" t="s">
        <v>40</v>
      </c>
      <c r="H1447" s="234" t="s">
        <v>41</v>
      </c>
      <c r="I1447" s="234" t="s">
        <v>643</v>
      </c>
      <c r="J1447" s="238">
        <v>2.0</v>
      </c>
      <c r="K1447" s="237"/>
      <c r="L1447" s="237"/>
      <c r="M1447" s="238">
        <v>1.0</v>
      </c>
      <c r="N1447" s="237"/>
      <c r="O1447" s="237"/>
      <c r="P1447" s="237"/>
      <c r="Q1447" s="239"/>
      <c r="R1447" s="239"/>
      <c r="S1447" s="239"/>
      <c r="T1447" s="381" t="s">
        <v>83</v>
      </c>
      <c r="U1447" s="381" t="s">
        <v>342</v>
      </c>
      <c r="V1447" s="381" t="s">
        <v>1984</v>
      </c>
      <c r="W1447" s="240"/>
      <c r="X1447" s="240"/>
      <c r="Y1447" s="240"/>
      <c r="Z1447" s="240"/>
      <c r="AA1447" s="241">
        <v>0.0</v>
      </c>
      <c r="AB1447" s="241">
        <v>0.0</v>
      </c>
      <c r="AC1447" s="382" t="s">
        <v>3983</v>
      </c>
      <c r="AD1447" s="383">
        <v>14478.0</v>
      </c>
      <c r="AE1447" s="239"/>
      <c r="AF1447" s="234" t="str">
        <f t="shared" si="1"/>
        <v>Capital Federal, Argentina</v>
      </c>
      <c r="AG1447" s="234">
        <f t="shared" si="2"/>
        <v>3</v>
      </c>
      <c r="AH1447" s="242">
        <f t="shared" si="3"/>
        <v>0</v>
      </c>
      <c r="AI1447" s="242">
        <f t="shared" si="4"/>
        <v>0</v>
      </c>
      <c r="AJ1447" s="241">
        <f t="shared" si="5"/>
        <v>0</v>
      </c>
      <c r="AK1447" s="241">
        <f t="shared" si="6"/>
        <v>0</v>
      </c>
      <c r="AL1447" s="243"/>
      <c r="AM1447" s="243"/>
    </row>
    <row r="1448">
      <c r="A1448" s="234">
        <v>1447.0</v>
      </c>
      <c r="B1448" s="235">
        <v>45405.0</v>
      </c>
      <c r="C1448" s="195" t="str">
        <f t="shared" si="11"/>
        <v>42024</v>
      </c>
      <c r="D1448" s="380" t="s">
        <v>3984</v>
      </c>
      <c r="E1448" s="234" t="s">
        <v>2032</v>
      </c>
      <c r="F1448" s="236" t="s">
        <v>1423</v>
      </c>
      <c r="G1448" s="234" t="s">
        <v>64</v>
      </c>
      <c r="H1448" s="234" t="s">
        <v>41</v>
      </c>
      <c r="I1448" s="234" t="s">
        <v>643</v>
      </c>
      <c r="J1448" s="238">
        <v>1.0</v>
      </c>
      <c r="K1448" s="237"/>
      <c r="L1448" s="237"/>
      <c r="M1448" s="237"/>
      <c r="N1448" s="237"/>
      <c r="O1448" s="237"/>
      <c r="P1448" s="237"/>
      <c r="Q1448" s="239"/>
      <c r="R1448" s="239"/>
      <c r="S1448" s="234" t="s">
        <v>109</v>
      </c>
      <c r="T1448" s="381" t="s">
        <v>879</v>
      </c>
      <c r="U1448" s="381" t="s">
        <v>99</v>
      </c>
      <c r="V1448" s="381" t="s">
        <v>1984</v>
      </c>
      <c r="W1448" s="240"/>
      <c r="X1448" s="240"/>
      <c r="Y1448" s="240"/>
      <c r="Z1448" s="240"/>
      <c r="AA1448" s="241">
        <v>92250.0</v>
      </c>
      <c r="AB1448" s="241">
        <v>322875.0</v>
      </c>
      <c r="AC1448" s="382" t="s">
        <v>3985</v>
      </c>
      <c r="AD1448" s="383">
        <v>14256.0</v>
      </c>
      <c r="AE1448" s="239"/>
      <c r="AF1448" s="234" t="str">
        <f t="shared" si="1"/>
        <v>Salta, Argentina</v>
      </c>
      <c r="AG1448" s="234">
        <f t="shared" si="2"/>
        <v>1</v>
      </c>
      <c r="AH1448" s="242">
        <f t="shared" si="3"/>
        <v>0</v>
      </c>
      <c r="AI1448" s="242">
        <f t="shared" si="4"/>
        <v>0</v>
      </c>
      <c r="AJ1448" s="241">
        <f t="shared" si="5"/>
        <v>415125</v>
      </c>
      <c r="AK1448" s="241">
        <f t="shared" si="6"/>
        <v>415125</v>
      </c>
      <c r="AL1448" s="243"/>
      <c r="AM1448" s="243"/>
    </row>
    <row r="1449">
      <c r="A1449" s="234">
        <v>1448.0</v>
      </c>
      <c r="B1449" s="235">
        <v>45405.0</v>
      </c>
      <c r="C1449" s="195" t="str">
        <f t="shared" si="11"/>
        <v>42024</v>
      </c>
      <c r="D1449" s="380" t="s">
        <v>3835</v>
      </c>
      <c r="E1449" s="383" t="s">
        <v>3836</v>
      </c>
      <c r="F1449" s="236" t="s">
        <v>3986</v>
      </c>
      <c r="G1449" s="234" t="s">
        <v>64</v>
      </c>
      <c r="H1449" s="234" t="s">
        <v>41</v>
      </c>
      <c r="I1449" s="234" t="s">
        <v>643</v>
      </c>
      <c r="J1449" s="237"/>
      <c r="K1449" s="237"/>
      <c r="L1449" s="237"/>
      <c r="M1449" s="237"/>
      <c r="N1449" s="237"/>
      <c r="O1449" s="237"/>
      <c r="P1449" s="237"/>
      <c r="Q1449" s="239"/>
      <c r="R1449" s="239"/>
      <c r="S1449" s="234" t="s">
        <v>51</v>
      </c>
      <c r="T1449" s="381" t="s">
        <v>83</v>
      </c>
      <c r="U1449" s="381" t="s">
        <v>99</v>
      </c>
      <c r="V1449" s="381" t="s">
        <v>1984</v>
      </c>
      <c r="W1449" s="240"/>
      <c r="X1449" s="240"/>
      <c r="Y1449" s="240"/>
      <c r="Z1449" s="240"/>
      <c r="AA1449" s="241">
        <v>0.0</v>
      </c>
      <c r="AB1449" s="241">
        <v>73800.0</v>
      </c>
      <c r="AC1449" s="382" t="s">
        <v>3987</v>
      </c>
      <c r="AD1449" s="383">
        <v>14094.0</v>
      </c>
      <c r="AE1449" s="239"/>
      <c r="AF1449" s="234" t="str">
        <f t="shared" si="1"/>
        <v>Capital Federal, Argentina</v>
      </c>
      <c r="AG1449" s="234">
        <f t="shared" si="2"/>
        <v>0</v>
      </c>
      <c r="AH1449" s="242">
        <f t="shared" si="3"/>
        <v>0</v>
      </c>
      <c r="AI1449" s="242">
        <f t="shared" si="4"/>
        <v>0</v>
      </c>
      <c r="AJ1449" s="241">
        <f t="shared" si="5"/>
        <v>73800</v>
      </c>
      <c r="AK1449" s="241">
        <f t="shared" si="6"/>
        <v>73800</v>
      </c>
      <c r="AL1449" s="243"/>
      <c r="AM1449" s="243"/>
    </row>
    <row r="1450">
      <c r="A1450" s="234">
        <v>1449.0</v>
      </c>
      <c r="B1450" s="235">
        <v>45406.0</v>
      </c>
      <c r="C1450" s="195" t="str">
        <f t="shared" si="11"/>
        <v>42024</v>
      </c>
      <c r="D1450" s="380" t="s">
        <v>3988</v>
      </c>
      <c r="E1450" s="383" t="s">
        <v>3989</v>
      </c>
      <c r="F1450" s="236" t="s">
        <v>1415</v>
      </c>
      <c r="G1450" s="234" t="s">
        <v>64</v>
      </c>
      <c r="H1450" s="234" t="s">
        <v>41</v>
      </c>
      <c r="I1450" s="234" t="s">
        <v>643</v>
      </c>
      <c r="J1450" s="237"/>
      <c r="K1450" s="238">
        <v>1.0</v>
      </c>
      <c r="L1450" s="237"/>
      <c r="M1450" s="237"/>
      <c r="N1450" s="237"/>
      <c r="O1450" s="237"/>
      <c r="P1450" s="237"/>
      <c r="Q1450" s="239"/>
      <c r="R1450" s="239"/>
      <c r="S1450" s="234" t="s">
        <v>167</v>
      </c>
      <c r="T1450" s="381" t="s">
        <v>83</v>
      </c>
      <c r="U1450" s="381" t="s">
        <v>99</v>
      </c>
      <c r="V1450" s="381" t="s">
        <v>1984</v>
      </c>
      <c r="W1450" s="240"/>
      <c r="X1450" s="240"/>
      <c r="Y1450" s="240"/>
      <c r="Z1450" s="240"/>
      <c r="AA1450" s="241">
        <v>69188.0</v>
      </c>
      <c r="AB1450" s="241">
        <v>276752.0</v>
      </c>
      <c r="AC1450" s="382" t="s">
        <v>3990</v>
      </c>
      <c r="AD1450" s="383">
        <v>14470.0</v>
      </c>
      <c r="AE1450" s="239"/>
      <c r="AF1450" s="234" t="str">
        <f t="shared" si="1"/>
        <v>Capital Federal, Argentina</v>
      </c>
      <c r="AG1450" s="234">
        <f t="shared" si="2"/>
        <v>1</v>
      </c>
      <c r="AH1450" s="242">
        <f t="shared" si="3"/>
        <v>0</v>
      </c>
      <c r="AI1450" s="242">
        <f t="shared" si="4"/>
        <v>0</v>
      </c>
      <c r="AJ1450" s="241">
        <f t="shared" si="5"/>
        <v>345940</v>
      </c>
      <c r="AK1450" s="241">
        <f t="shared" si="6"/>
        <v>345940</v>
      </c>
      <c r="AL1450" s="243"/>
      <c r="AM1450" s="243"/>
    </row>
    <row r="1451">
      <c r="A1451" s="234">
        <v>1450.0</v>
      </c>
      <c r="B1451" s="235">
        <v>45407.0</v>
      </c>
      <c r="C1451" s="195" t="str">
        <f t="shared" si="11"/>
        <v>42024</v>
      </c>
      <c r="D1451" s="380" t="s">
        <v>3458</v>
      </c>
      <c r="E1451" s="383" t="s">
        <v>3459</v>
      </c>
      <c r="F1451" s="236" t="s">
        <v>1423</v>
      </c>
      <c r="G1451" s="234" t="s">
        <v>64</v>
      </c>
      <c r="H1451" s="234" t="s">
        <v>41</v>
      </c>
      <c r="I1451" s="234" t="s">
        <v>643</v>
      </c>
      <c r="J1451" s="238">
        <v>1.0</v>
      </c>
      <c r="K1451" s="237"/>
      <c r="L1451" s="237"/>
      <c r="M1451" s="237"/>
      <c r="N1451" s="237"/>
      <c r="O1451" s="237"/>
      <c r="P1451" s="237"/>
      <c r="Q1451" s="239"/>
      <c r="R1451" s="239"/>
      <c r="S1451" s="234" t="s">
        <v>109</v>
      </c>
      <c r="T1451" s="381" t="s">
        <v>66</v>
      </c>
      <c r="U1451" s="381" t="s">
        <v>99</v>
      </c>
      <c r="V1451" s="381" t="s">
        <v>1984</v>
      </c>
      <c r="W1451" s="240"/>
      <c r="X1451" s="240"/>
      <c r="Y1451" s="240"/>
      <c r="Z1451" s="240"/>
      <c r="AA1451" s="241">
        <v>92250.0</v>
      </c>
      <c r="AB1451" s="241">
        <v>369000.0</v>
      </c>
      <c r="AC1451" s="382" t="s">
        <v>3991</v>
      </c>
      <c r="AD1451" s="383">
        <v>14464.0</v>
      </c>
      <c r="AE1451" s="239"/>
      <c r="AF1451" s="234" t="str">
        <f t="shared" si="1"/>
        <v>Buenos Aires, Argentina</v>
      </c>
      <c r="AG1451" s="234">
        <f t="shared" si="2"/>
        <v>1</v>
      </c>
      <c r="AH1451" s="242">
        <f t="shared" si="3"/>
        <v>0</v>
      </c>
      <c r="AI1451" s="242">
        <f t="shared" si="4"/>
        <v>0</v>
      </c>
      <c r="AJ1451" s="241">
        <f t="shared" si="5"/>
        <v>461250</v>
      </c>
      <c r="AK1451" s="241">
        <f t="shared" si="6"/>
        <v>461250</v>
      </c>
      <c r="AL1451" s="243"/>
      <c r="AM1451" s="243"/>
    </row>
    <row r="1452">
      <c r="A1452" s="234">
        <v>1451.0</v>
      </c>
      <c r="B1452" s="235">
        <v>45408.0</v>
      </c>
      <c r="C1452" s="195" t="str">
        <f t="shared" si="11"/>
        <v>42024</v>
      </c>
      <c r="D1452" s="380" t="s">
        <v>3992</v>
      </c>
      <c r="E1452" s="383" t="s">
        <v>3993</v>
      </c>
      <c r="F1452" s="236" t="s">
        <v>1534</v>
      </c>
      <c r="G1452" s="234" t="s">
        <v>40</v>
      </c>
      <c r="H1452" s="234" t="s">
        <v>547</v>
      </c>
      <c r="I1452" s="234" t="s">
        <v>643</v>
      </c>
      <c r="J1452" s="238">
        <v>2.0</v>
      </c>
      <c r="K1452" s="238">
        <v>3.0</v>
      </c>
      <c r="L1452" s="237"/>
      <c r="M1452" s="237"/>
      <c r="N1452" s="237"/>
      <c r="O1452" s="237"/>
      <c r="P1452" s="237"/>
      <c r="Q1452" s="239"/>
      <c r="R1452" s="239"/>
      <c r="S1452" s="234" t="s">
        <v>167</v>
      </c>
      <c r="T1452" s="381" t="s">
        <v>66</v>
      </c>
      <c r="U1452" s="381" t="s">
        <v>342</v>
      </c>
      <c r="V1452" s="381" t="s">
        <v>2935</v>
      </c>
      <c r="W1452" s="240"/>
      <c r="X1452" s="240"/>
      <c r="Y1452" s="240"/>
      <c r="Z1452" s="240"/>
      <c r="AA1452" s="241">
        <v>307422.0</v>
      </c>
      <c r="AB1452" s="241">
        <v>1207552.0</v>
      </c>
      <c r="AC1452" s="382" t="s">
        <v>3994</v>
      </c>
      <c r="AD1452" s="383">
        <v>12186.0</v>
      </c>
      <c r="AE1452" s="239"/>
      <c r="AF1452" s="234" t="str">
        <f t="shared" si="1"/>
        <v>Buenos Aires, Argentina</v>
      </c>
      <c r="AG1452" s="234">
        <f t="shared" si="2"/>
        <v>5</v>
      </c>
      <c r="AH1452" s="242">
        <f t="shared" si="3"/>
        <v>0</v>
      </c>
      <c r="AI1452" s="242">
        <f t="shared" si="4"/>
        <v>0</v>
      </c>
      <c r="AJ1452" s="241">
        <f t="shared" si="5"/>
        <v>1514974</v>
      </c>
      <c r="AK1452" s="241">
        <f t="shared" si="6"/>
        <v>1514974</v>
      </c>
      <c r="AL1452" s="243"/>
      <c r="AM1452" s="243"/>
    </row>
    <row r="1453">
      <c r="A1453" s="234">
        <v>1452.0</v>
      </c>
      <c r="B1453" s="235">
        <v>45412.0</v>
      </c>
      <c r="C1453" s="195" t="str">
        <f t="shared" si="11"/>
        <v>42024</v>
      </c>
      <c r="D1453" s="380" t="s">
        <v>2706</v>
      </c>
      <c r="E1453" s="383" t="s">
        <v>2707</v>
      </c>
      <c r="F1453" s="236" t="s">
        <v>1423</v>
      </c>
      <c r="G1453" s="234" t="s">
        <v>64</v>
      </c>
      <c r="H1453" s="234" t="s">
        <v>41</v>
      </c>
      <c r="I1453" s="234" t="s">
        <v>643</v>
      </c>
      <c r="J1453" s="238">
        <v>1.0</v>
      </c>
      <c r="K1453" s="237"/>
      <c r="L1453" s="237"/>
      <c r="M1453" s="237"/>
      <c r="N1453" s="237"/>
      <c r="O1453" s="237"/>
      <c r="P1453" s="237"/>
      <c r="Q1453" s="239"/>
      <c r="R1453" s="239"/>
      <c r="S1453" s="234" t="s">
        <v>189</v>
      </c>
      <c r="T1453" s="381" t="s">
        <v>73</v>
      </c>
      <c r="U1453" s="381" t="s">
        <v>99</v>
      </c>
      <c r="V1453" s="381" t="s">
        <v>1984</v>
      </c>
      <c r="W1453" s="240"/>
      <c r="X1453" s="240"/>
      <c r="Y1453" s="240"/>
      <c r="Z1453" s="240"/>
      <c r="AA1453" s="241">
        <v>92250.0</v>
      </c>
      <c r="AB1453" s="241">
        <v>369000.0</v>
      </c>
      <c r="AC1453" s="382" t="s">
        <v>3995</v>
      </c>
      <c r="AD1453" s="383">
        <v>14564.0</v>
      </c>
      <c r="AE1453" s="239"/>
      <c r="AF1453" s="234" t="str">
        <f t="shared" si="1"/>
        <v>Tierra de Fuego, Argentina</v>
      </c>
      <c r="AG1453" s="234">
        <f t="shared" si="2"/>
        <v>1</v>
      </c>
      <c r="AH1453" s="242">
        <f t="shared" si="3"/>
        <v>0</v>
      </c>
      <c r="AI1453" s="242">
        <f t="shared" si="4"/>
        <v>0</v>
      </c>
      <c r="AJ1453" s="241">
        <f t="shared" si="5"/>
        <v>461250</v>
      </c>
      <c r="AK1453" s="241">
        <f t="shared" si="6"/>
        <v>461250</v>
      </c>
      <c r="AL1453" s="243"/>
      <c r="AM1453" s="243"/>
    </row>
    <row r="1454">
      <c r="A1454" s="234">
        <v>1453.0</v>
      </c>
      <c r="B1454" s="235">
        <v>45412.0</v>
      </c>
      <c r="C1454" s="195" t="str">
        <f t="shared" si="11"/>
        <v>42024</v>
      </c>
      <c r="D1454" s="380" t="s">
        <v>3996</v>
      </c>
      <c r="E1454" s="383" t="s">
        <v>3997</v>
      </c>
      <c r="F1454" s="236" t="s">
        <v>3998</v>
      </c>
      <c r="G1454" s="234" t="s">
        <v>40</v>
      </c>
      <c r="H1454" s="234" t="s">
        <v>41</v>
      </c>
      <c r="I1454" s="234" t="s">
        <v>643</v>
      </c>
      <c r="J1454" s="238">
        <v>6.0</v>
      </c>
      <c r="K1454" s="238">
        <v>5.0</v>
      </c>
      <c r="L1454" s="237"/>
      <c r="M1454" s="238">
        <v>1.0</v>
      </c>
      <c r="N1454" s="237"/>
      <c r="O1454" s="238">
        <v>1.0</v>
      </c>
      <c r="P1454" s="237"/>
      <c r="Q1454" s="239"/>
      <c r="R1454" s="239"/>
      <c r="S1454" s="234" t="s">
        <v>43</v>
      </c>
      <c r="T1454" s="381" t="s">
        <v>83</v>
      </c>
      <c r="U1454" s="381" t="s">
        <v>342</v>
      </c>
      <c r="V1454" s="381" t="s">
        <v>2935</v>
      </c>
      <c r="W1454" s="240"/>
      <c r="X1454" s="240"/>
      <c r="Y1454" s="240"/>
      <c r="Z1454" s="240"/>
      <c r="AA1454" s="241">
        <v>950178.0</v>
      </c>
      <c r="AB1454" s="241">
        <v>3800712.0</v>
      </c>
      <c r="AC1454" s="382" t="s">
        <v>3999</v>
      </c>
      <c r="AD1454" s="383">
        <v>14220.0</v>
      </c>
      <c r="AE1454" s="239"/>
      <c r="AF1454" s="234" t="str">
        <f t="shared" si="1"/>
        <v>Capital Federal, Argentina</v>
      </c>
      <c r="AG1454" s="234">
        <f t="shared" si="2"/>
        <v>13</v>
      </c>
      <c r="AH1454" s="242">
        <f t="shared" si="3"/>
        <v>0</v>
      </c>
      <c r="AI1454" s="242">
        <f t="shared" si="4"/>
        <v>0</v>
      </c>
      <c r="AJ1454" s="241">
        <f t="shared" si="5"/>
        <v>4750890</v>
      </c>
      <c r="AK1454" s="241">
        <f t="shared" si="6"/>
        <v>4750890</v>
      </c>
      <c r="AL1454" s="243"/>
      <c r="AM1454" s="243"/>
    </row>
    <row r="1455">
      <c r="A1455" s="234">
        <v>1454.0</v>
      </c>
      <c r="B1455" s="235">
        <v>45412.0</v>
      </c>
      <c r="C1455" s="195" t="str">
        <f t="shared" si="11"/>
        <v>42024</v>
      </c>
      <c r="D1455" s="380" t="s">
        <v>1783</v>
      </c>
      <c r="E1455" s="383" t="s">
        <v>1784</v>
      </c>
      <c r="F1455" s="236" t="s">
        <v>3079</v>
      </c>
      <c r="G1455" s="234" t="s">
        <v>64</v>
      </c>
      <c r="H1455" s="234" t="s">
        <v>41</v>
      </c>
      <c r="I1455" s="234" t="s">
        <v>643</v>
      </c>
      <c r="J1455" s="237"/>
      <c r="K1455" s="237"/>
      <c r="L1455" s="237"/>
      <c r="M1455" s="237"/>
      <c r="N1455" s="237"/>
      <c r="O1455" s="237"/>
      <c r="P1455" s="237"/>
      <c r="Q1455" s="239"/>
      <c r="R1455" s="239"/>
      <c r="S1455" s="234" t="s">
        <v>65</v>
      </c>
      <c r="T1455" s="381" t="s">
        <v>66</v>
      </c>
      <c r="U1455" s="381" t="s">
        <v>99</v>
      </c>
      <c r="V1455" s="381" t="s">
        <v>1984</v>
      </c>
      <c r="W1455" s="240"/>
      <c r="X1455" s="240"/>
      <c r="Y1455" s="240"/>
      <c r="Z1455" s="240"/>
      <c r="AA1455" s="241">
        <v>0.0</v>
      </c>
      <c r="AB1455" s="241">
        <v>9741600.0</v>
      </c>
      <c r="AC1455" s="382" t="s">
        <v>4000</v>
      </c>
      <c r="AD1455" s="383">
        <v>14608.0</v>
      </c>
      <c r="AE1455" s="239"/>
      <c r="AF1455" s="234" t="str">
        <f t="shared" si="1"/>
        <v>Buenos Aires, Argentina</v>
      </c>
      <c r="AG1455" s="234">
        <f t="shared" si="2"/>
        <v>0</v>
      </c>
      <c r="AH1455" s="242">
        <f t="shared" si="3"/>
        <v>0</v>
      </c>
      <c r="AI1455" s="242">
        <f t="shared" si="4"/>
        <v>0</v>
      </c>
      <c r="AJ1455" s="241">
        <f t="shared" si="5"/>
        <v>9741600</v>
      </c>
      <c r="AK1455" s="241">
        <f t="shared" si="6"/>
        <v>9741600</v>
      </c>
      <c r="AL1455" s="243"/>
      <c r="AM1455" s="243"/>
    </row>
    <row r="1456">
      <c r="A1456" s="234">
        <v>1455.0</v>
      </c>
      <c r="B1456" s="235">
        <v>45412.0</v>
      </c>
      <c r="C1456" s="195" t="str">
        <f t="shared" si="11"/>
        <v>42024</v>
      </c>
      <c r="D1456" s="380" t="s">
        <v>3883</v>
      </c>
      <c r="E1456" s="383" t="s">
        <v>3884</v>
      </c>
      <c r="F1456" s="236" t="s">
        <v>4001</v>
      </c>
      <c r="G1456" s="234" t="s">
        <v>64</v>
      </c>
      <c r="H1456" s="234" t="s">
        <v>227</v>
      </c>
      <c r="I1456" s="234" t="s">
        <v>643</v>
      </c>
      <c r="J1456" s="237"/>
      <c r="K1456" s="237"/>
      <c r="L1456" s="237"/>
      <c r="M1456" s="237"/>
      <c r="N1456" s="237"/>
      <c r="O1456" s="237"/>
      <c r="P1456" s="237"/>
      <c r="Q1456" s="239"/>
      <c r="R1456" s="239"/>
      <c r="S1456" s="234" t="s">
        <v>109</v>
      </c>
      <c r="T1456" s="381" t="s">
        <v>83</v>
      </c>
      <c r="U1456" s="381" t="s">
        <v>99</v>
      </c>
      <c r="V1456" s="381" t="s">
        <v>988</v>
      </c>
      <c r="W1456" s="240"/>
      <c r="X1456" s="240"/>
      <c r="Y1456" s="240"/>
      <c r="Z1456" s="240"/>
      <c r="AA1456" s="241">
        <v>0.0</v>
      </c>
      <c r="AB1456" s="241">
        <v>9941120.0</v>
      </c>
      <c r="AC1456" s="382" t="s">
        <v>4002</v>
      </c>
      <c r="AD1456" s="383">
        <v>14644.0</v>
      </c>
      <c r="AE1456" s="239"/>
      <c r="AF1456" s="234" t="str">
        <f t="shared" si="1"/>
        <v>Capital Federal, Argentina</v>
      </c>
      <c r="AG1456" s="234">
        <f t="shared" si="2"/>
        <v>0</v>
      </c>
      <c r="AH1456" s="242">
        <f t="shared" si="3"/>
        <v>0</v>
      </c>
      <c r="AI1456" s="242">
        <f t="shared" si="4"/>
        <v>0</v>
      </c>
      <c r="AJ1456" s="241">
        <f t="shared" si="5"/>
        <v>9941120</v>
      </c>
      <c r="AK1456" s="241">
        <f t="shared" si="6"/>
        <v>9941120</v>
      </c>
      <c r="AL1456" s="243"/>
      <c r="AM1456" s="243"/>
    </row>
    <row r="1457">
      <c r="A1457" s="234">
        <v>1456.0</v>
      </c>
      <c r="B1457" s="235">
        <v>45412.0</v>
      </c>
      <c r="C1457" s="195" t="str">
        <f t="shared" si="11"/>
        <v>42024</v>
      </c>
      <c r="D1457" s="380" t="s">
        <v>3862</v>
      </c>
      <c r="E1457" s="383" t="s">
        <v>3617</v>
      </c>
      <c r="F1457" s="236" t="s">
        <v>2008</v>
      </c>
      <c r="G1457" s="234" t="s">
        <v>64</v>
      </c>
      <c r="H1457" s="234" t="s">
        <v>41</v>
      </c>
      <c r="I1457" s="234" t="s">
        <v>643</v>
      </c>
      <c r="J1457" s="237"/>
      <c r="K1457" s="237"/>
      <c r="L1457" s="237"/>
      <c r="M1457" s="237"/>
      <c r="N1457" s="384">
        <v>1.0</v>
      </c>
      <c r="O1457" s="237"/>
      <c r="P1457" s="237"/>
      <c r="Q1457" s="239"/>
      <c r="R1457" s="239"/>
      <c r="S1457" s="234" t="s">
        <v>105</v>
      </c>
      <c r="T1457" s="381" t="s">
        <v>66</v>
      </c>
      <c r="U1457" s="381" t="s">
        <v>99</v>
      </c>
      <c r="V1457" s="381" t="s">
        <v>1984</v>
      </c>
      <c r="W1457" s="240"/>
      <c r="X1457" s="240"/>
      <c r="Y1457" s="240"/>
      <c r="Z1457" s="240"/>
      <c r="AA1457" s="241">
        <v>99000.0</v>
      </c>
      <c r="AB1457" s="385">
        <v>495000.0</v>
      </c>
      <c r="AC1457" s="382" t="s">
        <v>4003</v>
      </c>
      <c r="AD1457" s="383">
        <v>14668.0</v>
      </c>
      <c r="AE1457" s="239"/>
      <c r="AF1457" s="234" t="str">
        <f t="shared" si="1"/>
        <v>Buenos Aires, Argentina</v>
      </c>
      <c r="AG1457" s="234">
        <f t="shared" si="2"/>
        <v>1</v>
      </c>
      <c r="AH1457" s="242">
        <f t="shared" si="3"/>
        <v>0</v>
      </c>
      <c r="AI1457" s="242">
        <f t="shared" si="4"/>
        <v>0</v>
      </c>
      <c r="AJ1457" s="241">
        <f t="shared" si="5"/>
        <v>594000</v>
      </c>
      <c r="AK1457" s="241">
        <f t="shared" si="6"/>
        <v>594000</v>
      </c>
      <c r="AL1457" s="243"/>
      <c r="AM1457" s="243"/>
    </row>
    <row r="1458">
      <c r="A1458" s="290">
        <v>1457.0</v>
      </c>
      <c r="B1458" s="291">
        <v>45418.0</v>
      </c>
      <c r="C1458" s="195" t="str">
        <f t="shared" si="11"/>
        <v>52024</v>
      </c>
      <c r="D1458" s="386" t="s">
        <v>3669</v>
      </c>
      <c r="E1458" s="290" t="s">
        <v>3670</v>
      </c>
      <c r="F1458" s="292" t="s">
        <v>4004</v>
      </c>
      <c r="G1458" s="290" t="s">
        <v>64</v>
      </c>
      <c r="H1458" s="290" t="s">
        <v>547</v>
      </c>
      <c r="I1458" s="290" t="s">
        <v>643</v>
      </c>
      <c r="J1458" s="98"/>
      <c r="K1458" s="98"/>
      <c r="L1458" s="98"/>
      <c r="M1458" s="98"/>
      <c r="N1458" s="98"/>
      <c r="O1458" s="98"/>
      <c r="P1458" s="98"/>
      <c r="Q1458" s="99"/>
      <c r="R1458" s="99"/>
      <c r="S1458" s="290" t="s">
        <v>89</v>
      </c>
      <c r="T1458" s="353" t="s">
        <v>83</v>
      </c>
      <c r="U1458" s="353" t="s">
        <v>99</v>
      </c>
      <c r="V1458" s="353" t="s">
        <v>1984</v>
      </c>
      <c r="W1458" s="100"/>
      <c r="X1458" s="100"/>
      <c r="Y1458" s="100"/>
      <c r="Z1458" s="100"/>
      <c r="AA1458" s="294">
        <v>0.0</v>
      </c>
      <c r="AB1458" s="294">
        <v>287496.0</v>
      </c>
      <c r="AC1458" s="387" t="s">
        <v>4005</v>
      </c>
      <c r="AD1458" s="94">
        <v>14632.0</v>
      </c>
      <c r="AE1458" s="99"/>
      <c r="AF1458" s="290" t="str">
        <f t="shared" si="1"/>
        <v>Capital Federal, Argentina</v>
      </c>
      <c r="AG1458" s="290">
        <f t="shared" si="2"/>
        <v>0</v>
      </c>
      <c r="AH1458" s="295">
        <f t="shared" si="3"/>
        <v>0</v>
      </c>
      <c r="AI1458" s="295">
        <f t="shared" si="4"/>
        <v>0</v>
      </c>
      <c r="AJ1458" s="294">
        <f t="shared" si="5"/>
        <v>287496</v>
      </c>
      <c r="AK1458" s="294">
        <f t="shared" si="6"/>
        <v>287496</v>
      </c>
      <c r="AL1458" s="103"/>
      <c r="AM1458" s="103"/>
    </row>
    <row r="1459">
      <c r="A1459" s="290">
        <v>1458.0</v>
      </c>
      <c r="B1459" s="291">
        <v>45421.0</v>
      </c>
      <c r="C1459" s="195" t="str">
        <f t="shared" si="11"/>
        <v>52024</v>
      </c>
      <c r="D1459" s="386" t="s">
        <v>4006</v>
      </c>
      <c r="E1459" s="94" t="s">
        <v>4007</v>
      </c>
      <c r="F1459" s="292" t="s">
        <v>3416</v>
      </c>
      <c r="G1459" s="290" t="s">
        <v>40</v>
      </c>
      <c r="H1459" s="290" t="s">
        <v>547</v>
      </c>
      <c r="I1459" s="290" t="s">
        <v>42</v>
      </c>
      <c r="J1459" s="293">
        <v>1.0</v>
      </c>
      <c r="K1459" s="293">
        <v>1.0</v>
      </c>
      <c r="L1459" s="98"/>
      <c r="M1459" s="293">
        <v>1.0</v>
      </c>
      <c r="N1459" s="98"/>
      <c r="O1459" s="98"/>
      <c r="P1459" s="98"/>
      <c r="Q1459" s="99"/>
      <c r="R1459" s="99"/>
      <c r="S1459" s="290" t="s">
        <v>72</v>
      </c>
      <c r="T1459" s="353" t="s">
        <v>83</v>
      </c>
      <c r="U1459" s="353" t="s">
        <v>342</v>
      </c>
      <c r="V1459" s="353" t="s">
        <v>3545</v>
      </c>
      <c r="W1459" s="100"/>
      <c r="X1459" s="100"/>
      <c r="Y1459" s="100"/>
      <c r="Z1459" s="100"/>
      <c r="AA1459" s="294">
        <v>133403.0</v>
      </c>
      <c r="AB1459" s="101">
        <v>600314.0</v>
      </c>
      <c r="AC1459" s="387" t="s">
        <v>4008</v>
      </c>
      <c r="AD1459" s="94">
        <v>14606.0</v>
      </c>
      <c r="AE1459" s="99"/>
      <c r="AF1459" s="290" t="str">
        <f t="shared" si="1"/>
        <v>Capital Federal, Argentina</v>
      </c>
      <c r="AG1459" s="388">
        <f t="shared" si="2"/>
        <v>3</v>
      </c>
      <c r="AH1459" s="389">
        <f t="shared" si="3"/>
        <v>0</v>
      </c>
      <c r="AI1459" s="389">
        <f t="shared" si="4"/>
        <v>0</v>
      </c>
      <c r="AJ1459" s="390">
        <f t="shared" si="5"/>
        <v>733717</v>
      </c>
      <c r="AK1459" s="390">
        <f t="shared" si="6"/>
        <v>733717</v>
      </c>
      <c r="AL1459" s="103"/>
      <c r="AM1459" s="103"/>
    </row>
    <row r="1460">
      <c r="A1460" s="290">
        <v>1459.0</v>
      </c>
      <c r="B1460" s="291">
        <v>45422.0</v>
      </c>
      <c r="C1460" s="195" t="str">
        <f t="shared" si="11"/>
        <v>52024</v>
      </c>
      <c r="D1460" s="386" t="s">
        <v>4009</v>
      </c>
      <c r="E1460" s="94" t="s">
        <v>1928</v>
      </c>
      <c r="F1460" s="292" t="s">
        <v>4010</v>
      </c>
      <c r="G1460" s="290" t="s">
        <v>64</v>
      </c>
      <c r="H1460" s="290" t="s">
        <v>41</v>
      </c>
      <c r="I1460" s="290" t="s">
        <v>42</v>
      </c>
      <c r="J1460" s="293">
        <v>4.0</v>
      </c>
      <c r="K1460" s="98"/>
      <c r="L1460" s="98"/>
      <c r="M1460" s="98"/>
      <c r="N1460" s="98"/>
      <c r="O1460" s="98"/>
      <c r="P1460" s="98"/>
      <c r="Q1460" s="99"/>
      <c r="R1460" s="99"/>
      <c r="S1460" s="290" t="s">
        <v>65</v>
      </c>
      <c r="T1460" s="353" t="s">
        <v>66</v>
      </c>
      <c r="U1460" s="353" t="s">
        <v>342</v>
      </c>
      <c r="V1460" s="353" t="s">
        <v>1984</v>
      </c>
      <c r="W1460" s="100"/>
      <c r="X1460" s="100"/>
      <c r="Y1460" s="100"/>
      <c r="Z1460" s="100"/>
      <c r="AA1460" s="294">
        <v>396000.0</v>
      </c>
      <c r="AB1460" s="101">
        <v>1584000.0</v>
      </c>
      <c r="AC1460" s="387" t="s">
        <v>4011</v>
      </c>
      <c r="AD1460" s="94">
        <v>14438.0</v>
      </c>
      <c r="AE1460" s="99"/>
      <c r="AF1460" s="290" t="str">
        <f t="shared" si="1"/>
        <v>Buenos Aires, Argentina</v>
      </c>
      <c r="AG1460" s="388">
        <f t="shared" si="2"/>
        <v>4</v>
      </c>
      <c r="AH1460" s="389">
        <f t="shared" si="3"/>
        <v>0</v>
      </c>
      <c r="AI1460" s="389">
        <f t="shared" si="4"/>
        <v>0</v>
      </c>
      <c r="AJ1460" s="390">
        <f t="shared" si="5"/>
        <v>1980000</v>
      </c>
      <c r="AK1460" s="390">
        <f t="shared" si="6"/>
        <v>1980000</v>
      </c>
      <c r="AL1460" s="103"/>
      <c r="AM1460" s="103"/>
    </row>
    <row r="1461">
      <c r="A1461" s="290">
        <v>1460.0</v>
      </c>
      <c r="B1461" s="291">
        <v>45425.0</v>
      </c>
      <c r="C1461" s="195" t="str">
        <f t="shared" si="11"/>
        <v>52024</v>
      </c>
      <c r="D1461" s="386" t="s">
        <v>3814</v>
      </c>
      <c r="E1461" s="94" t="s">
        <v>1877</v>
      </c>
      <c r="F1461" s="292" t="s">
        <v>1415</v>
      </c>
      <c r="G1461" s="290" t="s">
        <v>64</v>
      </c>
      <c r="H1461" s="290" t="s">
        <v>41</v>
      </c>
      <c r="I1461" s="290" t="s">
        <v>643</v>
      </c>
      <c r="J1461" s="98"/>
      <c r="K1461" s="293">
        <v>1.0</v>
      </c>
      <c r="L1461" s="98"/>
      <c r="M1461" s="98"/>
      <c r="N1461" s="98"/>
      <c r="O1461" s="98"/>
      <c r="P1461" s="98"/>
      <c r="Q1461" s="99"/>
      <c r="R1461" s="99"/>
      <c r="S1461" s="290" t="s">
        <v>189</v>
      </c>
      <c r="T1461" s="353" t="s">
        <v>66</v>
      </c>
      <c r="U1461" s="353" t="s">
        <v>99</v>
      </c>
      <c r="V1461" s="353" t="s">
        <v>1984</v>
      </c>
      <c r="W1461" s="100"/>
      <c r="X1461" s="100"/>
      <c r="Y1461" s="100"/>
      <c r="Z1461" s="100"/>
      <c r="AA1461" s="294">
        <v>74250.0</v>
      </c>
      <c r="AB1461" s="391">
        <v>259875.0</v>
      </c>
      <c r="AC1461" s="387" t="s">
        <v>4012</v>
      </c>
      <c r="AD1461" s="94">
        <v>14634.0</v>
      </c>
      <c r="AE1461" s="99"/>
      <c r="AF1461" s="290" t="str">
        <f t="shared" si="1"/>
        <v>Buenos Aires, Argentina</v>
      </c>
      <c r="AG1461" s="388">
        <f t="shared" si="2"/>
        <v>1</v>
      </c>
      <c r="AH1461" s="389">
        <f t="shared" si="3"/>
        <v>0</v>
      </c>
      <c r="AI1461" s="389">
        <f t="shared" si="4"/>
        <v>0</v>
      </c>
      <c r="AJ1461" s="390">
        <f t="shared" si="5"/>
        <v>334125</v>
      </c>
      <c r="AK1461" s="390">
        <f t="shared" si="6"/>
        <v>334125</v>
      </c>
      <c r="AL1461" s="103"/>
      <c r="AM1461" s="103"/>
    </row>
    <row r="1462">
      <c r="A1462" s="290">
        <v>1461.0</v>
      </c>
      <c r="B1462" s="291">
        <v>45427.0</v>
      </c>
      <c r="C1462" s="195" t="str">
        <f t="shared" si="11"/>
        <v>52024</v>
      </c>
      <c r="D1462" s="386" t="s">
        <v>729</v>
      </c>
      <c r="E1462" s="392" t="s">
        <v>2452</v>
      </c>
      <c r="F1462" s="292" t="s">
        <v>1423</v>
      </c>
      <c r="G1462" s="290" t="s">
        <v>64</v>
      </c>
      <c r="H1462" s="290" t="s">
        <v>41</v>
      </c>
      <c r="I1462" s="290" t="s">
        <v>643</v>
      </c>
      <c r="J1462" s="293">
        <v>1.0</v>
      </c>
      <c r="K1462" s="98"/>
      <c r="L1462" s="98"/>
      <c r="M1462" s="98"/>
      <c r="N1462" s="98"/>
      <c r="O1462" s="98"/>
      <c r="P1462" s="98"/>
      <c r="Q1462" s="99"/>
      <c r="R1462" s="99"/>
      <c r="S1462" s="290" t="s">
        <v>137</v>
      </c>
      <c r="T1462" s="353" t="s">
        <v>66</v>
      </c>
      <c r="U1462" s="353" t="s">
        <v>99</v>
      </c>
      <c r="V1462" s="353" t="s">
        <v>1984</v>
      </c>
      <c r="W1462" s="100"/>
      <c r="X1462" s="100"/>
      <c r="Y1462" s="100"/>
      <c r="Z1462" s="100"/>
      <c r="AA1462" s="294">
        <v>99000.0</v>
      </c>
      <c r="AB1462" s="101">
        <v>61750.0</v>
      </c>
      <c r="AC1462" s="387" t="s">
        <v>4013</v>
      </c>
      <c r="AD1462" s="94">
        <v>14746.0</v>
      </c>
      <c r="AE1462" s="99"/>
      <c r="AF1462" s="290" t="str">
        <f t="shared" si="1"/>
        <v>Buenos Aires, Argentina</v>
      </c>
      <c r="AG1462" s="388">
        <f t="shared" si="2"/>
        <v>1</v>
      </c>
      <c r="AH1462" s="389">
        <f t="shared" si="3"/>
        <v>0</v>
      </c>
      <c r="AI1462" s="389">
        <f t="shared" si="4"/>
        <v>0</v>
      </c>
      <c r="AJ1462" s="390">
        <f t="shared" si="5"/>
        <v>160750</v>
      </c>
      <c r="AK1462" s="390">
        <f t="shared" si="6"/>
        <v>160750</v>
      </c>
      <c r="AL1462" s="103"/>
      <c r="AM1462" s="103"/>
    </row>
    <row r="1463">
      <c r="A1463" s="290">
        <v>1462.0</v>
      </c>
      <c r="B1463" s="291">
        <v>45433.0</v>
      </c>
      <c r="C1463" s="195" t="str">
        <f t="shared" si="11"/>
        <v>52024</v>
      </c>
      <c r="D1463" s="386" t="s">
        <v>3451</v>
      </c>
      <c r="E1463" s="94" t="s">
        <v>3452</v>
      </c>
      <c r="F1463" s="292" t="s">
        <v>1415</v>
      </c>
      <c r="G1463" s="290" t="s">
        <v>64</v>
      </c>
      <c r="H1463" s="290" t="s">
        <v>41</v>
      </c>
      <c r="I1463" s="290" t="s">
        <v>643</v>
      </c>
      <c r="J1463" s="98"/>
      <c r="K1463" s="293">
        <v>1.0</v>
      </c>
      <c r="L1463" s="98"/>
      <c r="M1463" s="98"/>
      <c r="N1463" s="98"/>
      <c r="O1463" s="98"/>
      <c r="P1463" s="98"/>
      <c r="Q1463" s="99"/>
      <c r="R1463" s="99"/>
      <c r="S1463" s="290" t="s">
        <v>105</v>
      </c>
      <c r="T1463" s="353" t="s">
        <v>73</v>
      </c>
      <c r="U1463" s="353" t="s">
        <v>1259</v>
      </c>
      <c r="V1463" s="353" t="s">
        <v>1984</v>
      </c>
      <c r="W1463" s="100"/>
      <c r="X1463" s="100"/>
      <c r="Y1463" s="100"/>
      <c r="Z1463" s="100"/>
      <c r="AA1463" s="294">
        <v>74250.0</v>
      </c>
      <c r="AB1463" s="101">
        <v>222750.0</v>
      </c>
      <c r="AC1463" s="387" t="s">
        <v>4014</v>
      </c>
      <c r="AD1463" s="94">
        <v>14730.0</v>
      </c>
      <c r="AE1463" s="99"/>
      <c r="AF1463" s="290" t="str">
        <f t="shared" si="1"/>
        <v>Tierra de Fuego, Argentina</v>
      </c>
      <c r="AG1463" s="388">
        <f t="shared" si="2"/>
        <v>1</v>
      </c>
      <c r="AH1463" s="389">
        <f t="shared" si="3"/>
        <v>0</v>
      </c>
      <c r="AI1463" s="389">
        <f t="shared" si="4"/>
        <v>0</v>
      </c>
      <c r="AJ1463" s="390">
        <f t="shared" si="5"/>
        <v>297000</v>
      </c>
      <c r="AK1463" s="390">
        <f t="shared" si="6"/>
        <v>297000</v>
      </c>
      <c r="AL1463" s="103"/>
      <c r="AM1463" s="103"/>
    </row>
    <row r="1464">
      <c r="A1464" s="290">
        <v>1463.0</v>
      </c>
      <c r="B1464" s="291">
        <v>45439.0</v>
      </c>
      <c r="C1464" s="195" t="str">
        <f t="shared" si="11"/>
        <v>52024</v>
      </c>
      <c r="D1464" s="386" t="s">
        <v>795</v>
      </c>
      <c r="E1464" s="94" t="s">
        <v>796</v>
      </c>
      <c r="F1464" s="292" t="s">
        <v>1423</v>
      </c>
      <c r="G1464" s="290" t="s">
        <v>64</v>
      </c>
      <c r="H1464" s="290" t="s">
        <v>41</v>
      </c>
      <c r="I1464" s="290" t="s">
        <v>643</v>
      </c>
      <c r="J1464" s="293">
        <v>1.0</v>
      </c>
      <c r="K1464" s="98"/>
      <c r="L1464" s="98"/>
      <c r="M1464" s="98"/>
      <c r="N1464" s="98"/>
      <c r="O1464" s="98"/>
      <c r="P1464" s="98"/>
      <c r="Q1464" s="99"/>
      <c r="R1464" s="99"/>
      <c r="S1464" s="290" t="s">
        <v>98</v>
      </c>
      <c r="T1464" s="353" t="s">
        <v>66</v>
      </c>
      <c r="U1464" s="353" t="s">
        <v>99</v>
      </c>
      <c r="V1464" s="353" t="s">
        <v>1984</v>
      </c>
      <c r="W1464" s="100"/>
      <c r="X1464" s="100"/>
      <c r="Y1464" s="100"/>
      <c r="Z1464" s="100"/>
      <c r="AA1464" s="294">
        <v>99000.0</v>
      </c>
      <c r="AB1464" s="101">
        <v>479160.0</v>
      </c>
      <c r="AC1464" s="387" t="s">
        <v>4015</v>
      </c>
      <c r="AD1464" s="94">
        <v>14760.0</v>
      </c>
      <c r="AE1464" s="99"/>
      <c r="AF1464" s="290" t="str">
        <f t="shared" si="1"/>
        <v>Buenos Aires, Argentina</v>
      </c>
      <c r="AG1464" s="388">
        <f t="shared" si="2"/>
        <v>1</v>
      </c>
      <c r="AH1464" s="389">
        <f t="shared" si="3"/>
        <v>0</v>
      </c>
      <c r="AI1464" s="389">
        <f t="shared" si="4"/>
        <v>0</v>
      </c>
      <c r="AJ1464" s="390">
        <f t="shared" si="5"/>
        <v>578160</v>
      </c>
      <c r="AK1464" s="390">
        <f t="shared" si="6"/>
        <v>578160</v>
      </c>
      <c r="AL1464" s="103"/>
      <c r="AM1464" s="103"/>
    </row>
    <row r="1465">
      <c r="A1465" s="290">
        <v>1464.0</v>
      </c>
      <c r="B1465" s="291">
        <v>45439.0</v>
      </c>
      <c r="C1465" s="195" t="str">
        <f t="shared" si="11"/>
        <v>52024</v>
      </c>
      <c r="D1465" s="386" t="s">
        <v>4016</v>
      </c>
      <c r="E1465" s="94" t="s">
        <v>3355</v>
      </c>
      <c r="F1465" s="292" t="s">
        <v>1423</v>
      </c>
      <c r="G1465" s="290" t="s">
        <v>64</v>
      </c>
      <c r="H1465" s="290" t="s">
        <v>547</v>
      </c>
      <c r="I1465" s="290" t="s">
        <v>643</v>
      </c>
      <c r="J1465" s="293">
        <v>1.0</v>
      </c>
      <c r="K1465" s="98"/>
      <c r="L1465" s="98"/>
      <c r="M1465" s="98"/>
      <c r="N1465" s="98"/>
      <c r="O1465" s="98"/>
      <c r="P1465" s="98"/>
      <c r="Q1465" s="99"/>
      <c r="R1465" s="99"/>
      <c r="S1465" s="290" t="s">
        <v>51</v>
      </c>
      <c r="T1465" s="353" t="s">
        <v>66</v>
      </c>
      <c r="U1465" s="353" t="s">
        <v>1259</v>
      </c>
      <c r="V1465" s="353" t="s">
        <v>1984</v>
      </c>
      <c r="W1465" s="100"/>
      <c r="X1465" s="100"/>
      <c r="Y1465" s="100"/>
      <c r="Z1465" s="100"/>
      <c r="AA1465" s="294">
        <v>62437.0</v>
      </c>
      <c r="AB1465" s="101">
        <v>39020.0</v>
      </c>
      <c r="AC1465" s="387" t="s">
        <v>4017</v>
      </c>
      <c r="AD1465" s="94">
        <v>14710.0</v>
      </c>
      <c r="AE1465" s="99"/>
      <c r="AF1465" s="290" t="str">
        <f t="shared" si="1"/>
        <v>Buenos Aires, Argentina</v>
      </c>
      <c r="AG1465" s="388">
        <f t="shared" si="2"/>
        <v>1</v>
      </c>
      <c r="AH1465" s="389">
        <f t="shared" si="3"/>
        <v>0</v>
      </c>
      <c r="AI1465" s="389">
        <f t="shared" si="4"/>
        <v>0</v>
      </c>
      <c r="AJ1465" s="390">
        <f t="shared" si="5"/>
        <v>101457</v>
      </c>
      <c r="AK1465" s="390">
        <f t="shared" si="6"/>
        <v>101457</v>
      </c>
      <c r="AL1465" s="103"/>
      <c r="AM1465" s="103"/>
    </row>
    <row r="1466">
      <c r="A1466" s="290">
        <v>1465.0</v>
      </c>
      <c r="B1466" s="291">
        <v>45441.0</v>
      </c>
      <c r="C1466" s="195" t="str">
        <f t="shared" si="11"/>
        <v>52024</v>
      </c>
      <c r="D1466" s="386" t="s">
        <v>4018</v>
      </c>
      <c r="E1466" s="94" t="s">
        <v>4019</v>
      </c>
      <c r="F1466" s="292" t="s">
        <v>1878</v>
      </c>
      <c r="G1466" s="290" t="s">
        <v>64</v>
      </c>
      <c r="H1466" s="290" t="s">
        <v>41</v>
      </c>
      <c r="I1466" s="290" t="s">
        <v>643</v>
      </c>
      <c r="J1466" s="98"/>
      <c r="K1466" s="98"/>
      <c r="L1466" s="98"/>
      <c r="M1466" s="98"/>
      <c r="N1466" s="97">
        <v>1.0</v>
      </c>
      <c r="O1466" s="98"/>
      <c r="P1466" s="98"/>
      <c r="Q1466" s="99"/>
      <c r="R1466" s="99"/>
      <c r="S1466" s="290" t="s">
        <v>276</v>
      </c>
      <c r="T1466" s="353" t="s">
        <v>66</v>
      </c>
      <c r="U1466" s="353" t="s">
        <v>1259</v>
      </c>
      <c r="V1466" s="353" t="s">
        <v>1984</v>
      </c>
      <c r="W1466" s="100"/>
      <c r="X1466" s="100"/>
      <c r="Y1466" s="100"/>
      <c r="Z1466" s="100"/>
      <c r="AA1466" s="294">
        <v>99000.0</v>
      </c>
      <c r="AB1466" s="101">
        <v>346500.0</v>
      </c>
      <c r="AC1466" s="387" t="s">
        <v>4020</v>
      </c>
      <c r="AD1466" s="94">
        <v>14826.0</v>
      </c>
      <c r="AE1466" s="99"/>
      <c r="AF1466" s="290" t="str">
        <f t="shared" si="1"/>
        <v>Buenos Aires, Argentina</v>
      </c>
      <c r="AG1466" s="388">
        <f t="shared" si="2"/>
        <v>1</v>
      </c>
      <c r="AH1466" s="389">
        <f t="shared" si="3"/>
        <v>0</v>
      </c>
      <c r="AI1466" s="389">
        <f t="shared" si="4"/>
        <v>0</v>
      </c>
      <c r="AJ1466" s="390">
        <f t="shared" si="5"/>
        <v>445500</v>
      </c>
      <c r="AK1466" s="390">
        <f t="shared" si="6"/>
        <v>445500</v>
      </c>
      <c r="AL1466" s="103"/>
      <c r="AM1466" s="103"/>
    </row>
    <row r="1467">
      <c r="A1467" s="290">
        <v>1466.0</v>
      </c>
      <c r="B1467" s="291">
        <v>45441.0</v>
      </c>
      <c r="C1467" s="195" t="str">
        <f t="shared" si="11"/>
        <v>52024</v>
      </c>
      <c r="D1467" s="386" t="s">
        <v>4021</v>
      </c>
      <c r="E1467" s="94" t="s">
        <v>4022</v>
      </c>
      <c r="F1467" s="292" t="s">
        <v>3898</v>
      </c>
      <c r="G1467" s="290" t="s">
        <v>40</v>
      </c>
      <c r="H1467" s="290" t="s">
        <v>547</v>
      </c>
      <c r="I1467" s="290" t="s">
        <v>42</v>
      </c>
      <c r="J1467" s="293">
        <v>1.0</v>
      </c>
      <c r="K1467" s="293">
        <v>3.0</v>
      </c>
      <c r="L1467" s="98"/>
      <c r="M1467" s="293">
        <v>1.0</v>
      </c>
      <c r="N1467" s="98"/>
      <c r="O1467" s="98"/>
      <c r="P1467" s="98"/>
      <c r="Q1467" s="99"/>
      <c r="R1467" s="99"/>
      <c r="S1467" s="290" t="s">
        <v>907</v>
      </c>
      <c r="T1467" s="353" t="s">
        <v>73</v>
      </c>
      <c r="U1467" s="353" t="s">
        <v>342</v>
      </c>
      <c r="V1467" s="353" t="s">
        <v>2922</v>
      </c>
      <c r="W1467" s="100"/>
      <c r="X1467" s="100"/>
      <c r="Y1467" s="100"/>
      <c r="Z1467" s="100"/>
      <c r="AA1467" s="294">
        <v>247749.0</v>
      </c>
      <c r="AB1467" s="101">
        <v>1114870.0</v>
      </c>
      <c r="AC1467" s="387" t="s">
        <v>4023</v>
      </c>
      <c r="AD1467" s="94">
        <v>13834.0</v>
      </c>
      <c r="AE1467" s="99"/>
      <c r="AF1467" s="290" t="str">
        <f t="shared" si="1"/>
        <v>Tierra de Fuego, Argentina</v>
      </c>
      <c r="AG1467" s="388">
        <f t="shared" si="2"/>
        <v>5</v>
      </c>
      <c r="AH1467" s="389">
        <f t="shared" si="3"/>
        <v>0</v>
      </c>
      <c r="AI1467" s="389">
        <f t="shared" si="4"/>
        <v>0</v>
      </c>
      <c r="AJ1467" s="390">
        <f t="shared" si="5"/>
        <v>1362619</v>
      </c>
      <c r="AK1467" s="390">
        <f t="shared" si="6"/>
        <v>1362619</v>
      </c>
      <c r="AL1467" s="103"/>
      <c r="AM1467" s="103"/>
    </row>
    <row r="1468">
      <c r="A1468" s="290">
        <v>1467.0</v>
      </c>
      <c r="B1468" s="291">
        <v>45442.0</v>
      </c>
      <c r="C1468" s="195" t="str">
        <f t="shared" si="11"/>
        <v>52024</v>
      </c>
      <c r="D1468" s="386" t="s">
        <v>4024</v>
      </c>
      <c r="E1468" s="94" t="s">
        <v>4025</v>
      </c>
      <c r="F1468" s="292" t="s">
        <v>4026</v>
      </c>
      <c r="G1468" s="290" t="s">
        <v>40</v>
      </c>
      <c r="H1468" s="290" t="s">
        <v>41</v>
      </c>
      <c r="I1468" s="290" t="s">
        <v>42</v>
      </c>
      <c r="J1468" s="293">
        <v>8.0</v>
      </c>
      <c r="K1468" s="293">
        <v>10.0</v>
      </c>
      <c r="L1468" s="98"/>
      <c r="M1468" s="293">
        <v>1.0</v>
      </c>
      <c r="N1468" s="98"/>
      <c r="O1468" s="98"/>
      <c r="P1468" s="98"/>
      <c r="Q1468" s="99"/>
      <c r="R1468" s="99"/>
      <c r="S1468" s="290" t="s">
        <v>114</v>
      </c>
      <c r="T1468" s="353" t="s">
        <v>66</v>
      </c>
      <c r="U1468" s="353" t="s">
        <v>342</v>
      </c>
      <c r="V1468" s="353" t="s">
        <v>2922</v>
      </c>
      <c r="W1468" s="100"/>
      <c r="X1468" s="100"/>
      <c r="Y1468" s="100"/>
      <c r="Z1468" s="100"/>
      <c r="AA1468" s="294">
        <v>1534500.0</v>
      </c>
      <c r="AB1468" s="101">
        <v>5754375.0</v>
      </c>
      <c r="AC1468" s="387" t="s">
        <v>4027</v>
      </c>
      <c r="AD1468" s="94">
        <v>14430.0</v>
      </c>
      <c r="AE1468" s="99"/>
      <c r="AF1468" s="290" t="str">
        <f t="shared" si="1"/>
        <v>Buenos Aires, Argentina</v>
      </c>
      <c r="AG1468" s="388">
        <f t="shared" si="2"/>
        <v>19</v>
      </c>
      <c r="AH1468" s="389">
        <f t="shared" si="3"/>
        <v>0</v>
      </c>
      <c r="AI1468" s="389">
        <f t="shared" si="4"/>
        <v>0</v>
      </c>
      <c r="AJ1468" s="390">
        <f t="shared" si="5"/>
        <v>7288875</v>
      </c>
      <c r="AK1468" s="390">
        <f t="shared" si="6"/>
        <v>7288875</v>
      </c>
      <c r="AL1468" s="103"/>
      <c r="AM1468" s="103"/>
    </row>
    <row r="1469">
      <c r="A1469" s="290">
        <v>1468.0</v>
      </c>
      <c r="B1469" s="291">
        <v>45443.0</v>
      </c>
      <c r="C1469" s="195" t="str">
        <f t="shared" si="11"/>
        <v>52024</v>
      </c>
      <c r="D1469" s="386" t="s">
        <v>2706</v>
      </c>
      <c r="E1469" s="94" t="s">
        <v>2707</v>
      </c>
      <c r="F1469" s="292" t="s">
        <v>4028</v>
      </c>
      <c r="G1469" s="290" t="s">
        <v>64</v>
      </c>
      <c r="H1469" s="290" t="s">
        <v>41</v>
      </c>
      <c r="I1469" s="290" t="s">
        <v>643</v>
      </c>
      <c r="J1469" s="98"/>
      <c r="K1469" s="293">
        <v>1.0</v>
      </c>
      <c r="L1469" s="98"/>
      <c r="M1469" s="98"/>
      <c r="N1469" s="98"/>
      <c r="O1469" s="293">
        <v>2.0</v>
      </c>
      <c r="P1469" s="98"/>
      <c r="Q1469" s="99"/>
      <c r="R1469" s="99"/>
      <c r="S1469" s="290" t="s">
        <v>189</v>
      </c>
      <c r="T1469" s="353" t="s">
        <v>66</v>
      </c>
      <c r="U1469" s="353" t="s">
        <v>99</v>
      </c>
      <c r="V1469" s="353" t="s">
        <v>1984</v>
      </c>
      <c r="W1469" s="100"/>
      <c r="X1469" s="100"/>
      <c r="Y1469" s="100"/>
      <c r="Z1469" s="100"/>
      <c r="AA1469" s="294">
        <v>183150.0</v>
      </c>
      <c r="AB1469" s="101">
        <v>512325.0</v>
      </c>
      <c r="AC1469" s="387" t="s">
        <v>4029</v>
      </c>
      <c r="AD1469" s="94">
        <v>14886.0</v>
      </c>
      <c r="AE1469" s="99"/>
      <c r="AF1469" s="290" t="str">
        <f t="shared" si="1"/>
        <v>Buenos Aires, Argentina</v>
      </c>
      <c r="AG1469" s="388">
        <f t="shared" si="2"/>
        <v>3</v>
      </c>
      <c r="AH1469" s="389">
        <f t="shared" si="3"/>
        <v>0</v>
      </c>
      <c r="AI1469" s="389">
        <f t="shared" si="4"/>
        <v>0</v>
      </c>
      <c r="AJ1469" s="390">
        <f t="shared" si="5"/>
        <v>695475</v>
      </c>
      <c r="AK1469" s="390">
        <f t="shared" si="6"/>
        <v>695475</v>
      </c>
      <c r="AL1469" s="103"/>
      <c r="AM1469" s="103"/>
    </row>
    <row r="1470">
      <c r="A1470" s="290">
        <v>1469.0</v>
      </c>
      <c r="B1470" s="291">
        <v>45443.0</v>
      </c>
      <c r="C1470" s="195" t="str">
        <f t="shared" si="11"/>
        <v>52024</v>
      </c>
      <c r="D1470" s="386" t="s">
        <v>2721</v>
      </c>
      <c r="E1470" s="290" t="s">
        <v>2722</v>
      </c>
      <c r="F1470" s="292" t="s">
        <v>1415</v>
      </c>
      <c r="G1470" s="290" t="s">
        <v>64</v>
      </c>
      <c r="H1470" s="290" t="s">
        <v>41</v>
      </c>
      <c r="I1470" s="290" t="s">
        <v>643</v>
      </c>
      <c r="J1470" s="98"/>
      <c r="K1470" s="293">
        <v>1.0</v>
      </c>
      <c r="L1470" s="98"/>
      <c r="M1470" s="98"/>
      <c r="N1470" s="98"/>
      <c r="O1470" s="98"/>
      <c r="P1470" s="98"/>
      <c r="Q1470" s="99"/>
      <c r="R1470" s="99"/>
      <c r="S1470" s="290" t="s">
        <v>65</v>
      </c>
      <c r="T1470" s="353" t="s">
        <v>66</v>
      </c>
      <c r="U1470" s="353" t="s">
        <v>1259</v>
      </c>
      <c r="V1470" s="353" t="s">
        <v>1984</v>
      </c>
      <c r="W1470" s="100"/>
      <c r="X1470" s="100"/>
      <c r="Y1470" s="100"/>
      <c r="Z1470" s="100"/>
      <c r="AA1470" s="294">
        <v>74250.0</v>
      </c>
      <c r="AB1470" s="101">
        <v>222750.0</v>
      </c>
      <c r="AC1470" s="387" t="s">
        <v>4030</v>
      </c>
      <c r="AD1470" s="94">
        <v>14760.0</v>
      </c>
      <c r="AE1470" s="99"/>
      <c r="AF1470" s="290" t="str">
        <f t="shared" si="1"/>
        <v>Buenos Aires, Argentina</v>
      </c>
      <c r="AG1470" s="388">
        <f t="shared" si="2"/>
        <v>1</v>
      </c>
      <c r="AH1470" s="101">
        <f t="shared" si="3"/>
        <v>0</v>
      </c>
      <c r="AI1470" s="393">
        <f t="shared" si="4"/>
        <v>0</v>
      </c>
      <c r="AJ1470" s="294">
        <f t="shared" si="5"/>
        <v>297000</v>
      </c>
      <c r="AK1470" s="294">
        <f t="shared" si="6"/>
        <v>297000</v>
      </c>
      <c r="AL1470" s="394"/>
      <c r="AM1470" s="394"/>
    </row>
    <row r="1471">
      <c r="A1471" s="290">
        <v>1470.0</v>
      </c>
      <c r="B1471" s="291">
        <v>45443.0</v>
      </c>
      <c r="C1471" s="195" t="str">
        <f t="shared" si="11"/>
        <v>52024</v>
      </c>
      <c r="D1471" s="386" t="s">
        <v>3862</v>
      </c>
      <c r="E1471" s="290" t="s">
        <v>3617</v>
      </c>
      <c r="F1471" s="292" t="s">
        <v>1878</v>
      </c>
      <c r="G1471" s="290" t="s">
        <v>64</v>
      </c>
      <c r="H1471" s="290" t="s">
        <v>41</v>
      </c>
      <c r="I1471" s="290" t="s">
        <v>643</v>
      </c>
      <c r="J1471" s="98"/>
      <c r="K1471" s="98"/>
      <c r="L1471" s="98"/>
      <c r="M1471" s="98"/>
      <c r="N1471" s="97">
        <v>1.0</v>
      </c>
      <c r="O1471" s="98"/>
      <c r="P1471" s="98"/>
      <c r="Q1471" s="99"/>
      <c r="R1471" s="99"/>
      <c r="S1471" s="290" t="s">
        <v>105</v>
      </c>
      <c r="T1471" s="353" t="s">
        <v>66</v>
      </c>
      <c r="U1471" s="353" t="s">
        <v>99</v>
      </c>
      <c r="V1471" s="353" t="s">
        <v>1984</v>
      </c>
      <c r="W1471" s="100"/>
      <c r="X1471" s="100"/>
      <c r="Y1471" s="100"/>
      <c r="Z1471" s="100"/>
      <c r="AA1471" s="294">
        <v>99000.0</v>
      </c>
      <c r="AB1471" s="101">
        <v>495000.0</v>
      </c>
      <c r="AC1471" s="387" t="s">
        <v>4031</v>
      </c>
      <c r="AD1471" s="94">
        <v>14902.0</v>
      </c>
      <c r="AE1471" s="99"/>
      <c r="AF1471" s="290" t="str">
        <f t="shared" si="1"/>
        <v>Buenos Aires, Argentina</v>
      </c>
      <c r="AG1471" s="388">
        <f t="shared" si="2"/>
        <v>1</v>
      </c>
      <c r="AH1471" s="102">
        <f t="shared" si="3"/>
        <v>0</v>
      </c>
      <c r="AI1471" s="395">
        <f t="shared" si="4"/>
        <v>0</v>
      </c>
      <c r="AJ1471" s="294">
        <f t="shared" si="5"/>
        <v>594000</v>
      </c>
      <c r="AK1471" s="294">
        <f t="shared" si="6"/>
        <v>594000</v>
      </c>
      <c r="AL1471" s="103"/>
      <c r="AM1471" s="103"/>
    </row>
    <row r="1472">
      <c r="A1472" s="290">
        <v>1471.0</v>
      </c>
      <c r="B1472" s="291">
        <v>45443.0</v>
      </c>
      <c r="C1472" s="195" t="str">
        <f t="shared" si="11"/>
        <v>52024</v>
      </c>
      <c r="D1472" s="386" t="s">
        <v>3883</v>
      </c>
      <c r="E1472" s="94" t="s">
        <v>3884</v>
      </c>
      <c r="F1472" s="292" t="s">
        <v>4032</v>
      </c>
      <c r="G1472" s="290" t="s">
        <v>64</v>
      </c>
      <c r="H1472" s="290" t="s">
        <v>227</v>
      </c>
      <c r="I1472" s="290" t="s">
        <v>643</v>
      </c>
      <c r="J1472" s="98"/>
      <c r="K1472" s="98"/>
      <c r="L1472" s="98"/>
      <c r="M1472" s="98"/>
      <c r="N1472" s="98"/>
      <c r="O1472" s="98"/>
      <c r="P1472" s="98"/>
      <c r="Q1472" s="99"/>
      <c r="R1472" s="99"/>
      <c r="S1472" s="290" t="s">
        <v>109</v>
      </c>
      <c r="T1472" s="353" t="s">
        <v>83</v>
      </c>
      <c r="U1472" s="353" t="s">
        <v>99</v>
      </c>
      <c r="V1472" s="353" t="s">
        <v>988</v>
      </c>
      <c r="W1472" s="100"/>
      <c r="X1472" s="100"/>
      <c r="Y1472" s="100"/>
      <c r="Z1472" s="100"/>
      <c r="AA1472" s="294">
        <v>0.0</v>
      </c>
      <c r="AB1472" s="294">
        <v>1.0240685E7</v>
      </c>
      <c r="AC1472" s="387" t="s">
        <v>4002</v>
      </c>
      <c r="AD1472" s="94">
        <v>14644.0</v>
      </c>
      <c r="AE1472" s="99"/>
      <c r="AF1472" s="290" t="str">
        <f t="shared" si="1"/>
        <v>Capital Federal, Argentina</v>
      </c>
      <c r="AG1472" s="290">
        <f t="shared" si="2"/>
        <v>0</v>
      </c>
      <c r="AH1472" s="295">
        <f t="shared" si="3"/>
        <v>0</v>
      </c>
      <c r="AI1472" s="295">
        <f t="shared" si="4"/>
        <v>0</v>
      </c>
      <c r="AJ1472" s="294">
        <f t="shared" si="5"/>
        <v>10240685</v>
      </c>
      <c r="AK1472" s="294">
        <f t="shared" si="6"/>
        <v>10240685</v>
      </c>
      <c r="AL1472" s="103"/>
      <c r="AM1472" s="103"/>
    </row>
    <row r="1473">
      <c r="A1473" s="290">
        <v>1472.0</v>
      </c>
      <c r="B1473" s="291">
        <v>45443.0</v>
      </c>
      <c r="C1473" s="195" t="str">
        <f t="shared" si="11"/>
        <v>52024</v>
      </c>
      <c r="D1473" s="396" t="s">
        <v>4033</v>
      </c>
      <c r="E1473" s="94" t="s">
        <v>4034</v>
      </c>
      <c r="F1473" s="292" t="s">
        <v>4035</v>
      </c>
      <c r="G1473" s="290" t="s">
        <v>40</v>
      </c>
      <c r="H1473" s="290" t="s">
        <v>41</v>
      </c>
      <c r="I1473" s="290" t="s">
        <v>643</v>
      </c>
      <c r="J1473" s="293">
        <v>2.0</v>
      </c>
      <c r="K1473" s="293">
        <v>7.0</v>
      </c>
      <c r="L1473" s="98"/>
      <c r="M1473" s="293">
        <v>1.0</v>
      </c>
      <c r="N1473" s="98"/>
      <c r="O1473" s="293">
        <v>1.0</v>
      </c>
      <c r="P1473" s="98"/>
      <c r="Q1473" s="99"/>
      <c r="R1473" s="99"/>
      <c r="S1473" s="290" t="s">
        <v>72</v>
      </c>
      <c r="T1473" s="353" t="s">
        <v>83</v>
      </c>
      <c r="U1473" s="353" t="s">
        <v>45</v>
      </c>
      <c r="V1473" s="353" t="s">
        <v>2935</v>
      </c>
      <c r="W1473" s="100"/>
      <c r="X1473" s="100"/>
      <c r="Y1473" s="100"/>
      <c r="Z1473" s="100"/>
      <c r="AA1473" s="294">
        <v>772200.0</v>
      </c>
      <c r="AB1473" s="294">
        <v>3595680.0</v>
      </c>
      <c r="AC1473" s="387" t="s">
        <v>4036</v>
      </c>
      <c r="AD1473" s="94">
        <v>14686.0</v>
      </c>
      <c r="AE1473" s="99"/>
      <c r="AF1473" s="290" t="str">
        <f t="shared" si="1"/>
        <v>Capital Federal, Argentina</v>
      </c>
      <c r="AG1473" s="388">
        <f t="shared" si="2"/>
        <v>11</v>
      </c>
      <c r="AH1473" s="102">
        <f t="shared" si="3"/>
        <v>0</v>
      </c>
      <c r="AI1473" s="395">
        <f t="shared" si="4"/>
        <v>0</v>
      </c>
      <c r="AJ1473" s="294">
        <f t="shared" si="5"/>
        <v>4367880</v>
      </c>
      <c r="AK1473" s="294">
        <f t="shared" si="6"/>
        <v>4367880</v>
      </c>
      <c r="AL1473" s="103"/>
      <c r="AM1473" s="103"/>
    </row>
    <row r="1474">
      <c r="A1474" s="290">
        <v>1473.0</v>
      </c>
      <c r="B1474" s="291">
        <v>45443.0</v>
      </c>
      <c r="C1474" s="195" t="str">
        <f t="shared" si="11"/>
        <v>52024</v>
      </c>
      <c r="D1474" s="396" t="s">
        <v>4037</v>
      </c>
      <c r="E1474" s="94" t="s">
        <v>4038</v>
      </c>
      <c r="F1474" s="292" t="s">
        <v>2141</v>
      </c>
      <c r="G1474" s="290" t="s">
        <v>40</v>
      </c>
      <c r="H1474" s="290" t="s">
        <v>41</v>
      </c>
      <c r="I1474" s="290" t="s">
        <v>643</v>
      </c>
      <c r="J1474" s="293">
        <v>1.0</v>
      </c>
      <c r="K1474" s="293">
        <v>1.0</v>
      </c>
      <c r="L1474" s="98"/>
      <c r="M1474" s="293">
        <v>1.0</v>
      </c>
      <c r="N1474" s="98"/>
      <c r="O1474" s="98"/>
      <c r="P1474" s="98"/>
      <c r="Q1474" s="99"/>
      <c r="R1474" s="99"/>
      <c r="S1474" s="290" t="s">
        <v>137</v>
      </c>
      <c r="T1474" s="353" t="s">
        <v>83</v>
      </c>
      <c r="U1474" s="353" t="s">
        <v>45</v>
      </c>
      <c r="V1474" s="353" t="s">
        <v>2935</v>
      </c>
      <c r="W1474" s="100"/>
      <c r="X1474" s="100"/>
      <c r="Y1474" s="100"/>
      <c r="Z1474" s="100"/>
      <c r="AA1474" s="294">
        <v>173250.0</v>
      </c>
      <c r="AB1474" s="294">
        <v>693000.0</v>
      </c>
      <c r="AC1474" s="387" t="s">
        <v>4039</v>
      </c>
      <c r="AD1474" s="94">
        <v>14752.0</v>
      </c>
      <c r="AE1474" s="99"/>
      <c r="AF1474" s="290" t="str">
        <f t="shared" si="1"/>
        <v>Capital Federal, Argentina</v>
      </c>
      <c r="AG1474" s="388">
        <f t="shared" si="2"/>
        <v>3</v>
      </c>
      <c r="AH1474" s="102">
        <f t="shared" si="3"/>
        <v>0</v>
      </c>
      <c r="AI1474" s="395">
        <f t="shared" si="4"/>
        <v>0</v>
      </c>
      <c r="AJ1474" s="294">
        <f t="shared" si="5"/>
        <v>866250</v>
      </c>
      <c r="AK1474" s="294">
        <f t="shared" si="6"/>
        <v>866250</v>
      </c>
      <c r="AL1474" s="103"/>
      <c r="AM1474" s="103"/>
    </row>
    <row r="1475">
      <c r="A1475" s="298">
        <v>1474.0</v>
      </c>
      <c r="B1475" s="299">
        <v>45453.0</v>
      </c>
      <c r="C1475" s="195" t="str">
        <f t="shared" si="11"/>
        <v>62024</v>
      </c>
      <c r="D1475" s="397" t="s">
        <v>4040</v>
      </c>
      <c r="E1475" s="398" t="s">
        <v>4041</v>
      </c>
      <c r="F1475" s="300" t="s">
        <v>4042</v>
      </c>
      <c r="G1475" s="298" t="s">
        <v>40</v>
      </c>
      <c r="H1475" s="298" t="s">
        <v>41</v>
      </c>
      <c r="I1475" s="298" t="s">
        <v>42</v>
      </c>
      <c r="J1475" s="307">
        <v>1.0</v>
      </c>
      <c r="K1475" s="307">
        <v>8.0</v>
      </c>
      <c r="L1475" s="301"/>
      <c r="M1475" s="307">
        <v>1.0</v>
      </c>
      <c r="N1475" s="399">
        <v>1.0</v>
      </c>
      <c r="O1475" s="307">
        <v>4.0</v>
      </c>
      <c r="P1475" s="399">
        <v>1.0</v>
      </c>
      <c r="Q1475" s="302"/>
      <c r="R1475" s="302"/>
      <c r="S1475" s="298" t="s">
        <v>98</v>
      </c>
      <c r="T1475" s="400" t="s">
        <v>83</v>
      </c>
      <c r="U1475" s="400" t="s">
        <v>342</v>
      </c>
      <c r="V1475" s="400" t="s">
        <v>2922</v>
      </c>
      <c r="W1475" s="303"/>
      <c r="X1475" s="303"/>
      <c r="Y1475" s="303"/>
      <c r="Z1475" s="303"/>
      <c r="AA1475" s="304">
        <v>1176000.0</v>
      </c>
      <c r="AB1475" s="304">
        <v>5650312.0</v>
      </c>
      <c r="AC1475" s="401" t="s">
        <v>4043</v>
      </c>
      <c r="AD1475" s="398">
        <v>14900.0</v>
      </c>
      <c r="AE1475" s="302"/>
      <c r="AF1475" s="398" t="str">
        <f t="shared" si="1"/>
        <v>Capital Federal, Argentina</v>
      </c>
      <c r="AG1475" s="398">
        <f t="shared" si="2"/>
        <v>16</v>
      </c>
      <c r="AH1475" s="402">
        <f t="shared" si="3"/>
        <v>0</v>
      </c>
      <c r="AI1475" s="403">
        <f t="shared" si="4"/>
        <v>0</v>
      </c>
      <c r="AJ1475" s="404">
        <f t="shared" si="5"/>
        <v>6826312</v>
      </c>
      <c r="AK1475" s="404">
        <f t="shared" si="6"/>
        <v>6826312</v>
      </c>
      <c r="AL1475" s="306"/>
      <c r="AM1475" s="306"/>
    </row>
    <row r="1476">
      <c r="A1476" s="298">
        <v>1475.0</v>
      </c>
      <c r="B1476" s="299">
        <v>45456.0</v>
      </c>
      <c r="C1476" s="195" t="str">
        <f t="shared" si="11"/>
        <v>62024</v>
      </c>
      <c r="D1476" s="397" t="s">
        <v>4044</v>
      </c>
      <c r="E1476" s="398" t="s">
        <v>4045</v>
      </c>
      <c r="F1476" s="300" t="s">
        <v>3792</v>
      </c>
      <c r="G1476" s="298" t="s">
        <v>40</v>
      </c>
      <c r="H1476" s="298" t="s">
        <v>41</v>
      </c>
      <c r="I1476" s="298" t="s">
        <v>42</v>
      </c>
      <c r="J1476" s="307">
        <v>1.0</v>
      </c>
      <c r="K1476" s="307">
        <v>2.0</v>
      </c>
      <c r="L1476" s="301"/>
      <c r="M1476" s="307">
        <v>1.0</v>
      </c>
      <c r="N1476" s="301"/>
      <c r="O1476" s="301"/>
      <c r="P1476" s="301"/>
      <c r="Q1476" s="302"/>
      <c r="R1476" s="302"/>
      <c r="S1476" s="298" t="s">
        <v>43</v>
      </c>
      <c r="T1476" s="400" t="s">
        <v>66</v>
      </c>
      <c r="U1476" s="400" t="s">
        <v>342</v>
      </c>
      <c r="V1476" s="400" t="s">
        <v>2922</v>
      </c>
      <c r="W1476" s="303"/>
      <c r="X1476" s="303"/>
      <c r="Y1476" s="303"/>
      <c r="Z1476" s="303"/>
      <c r="AA1476" s="304">
        <v>262500.0</v>
      </c>
      <c r="AB1476" s="304">
        <v>1050000.0</v>
      </c>
      <c r="AC1476" s="401" t="s">
        <v>4046</v>
      </c>
      <c r="AD1476" s="398">
        <v>14122.0</v>
      </c>
      <c r="AE1476" s="302"/>
      <c r="AF1476" s="398" t="str">
        <f t="shared" si="1"/>
        <v>Buenos Aires, Argentina</v>
      </c>
      <c r="AG1476" s="398">
        <f t="shared" si="2"/>
        <v>4</v>
      </c>
      <c r="AH1476" s="402">
        <f t="shared" si="3"/>
        <v>0</v>
      </c>
      <c r="AI1476" s="403">
        <f t="shared" si="4"/>
        <v>0</v>
      </c>
      <c r="AJ1476" s="404">
        <f t="shared" si="5"/>
        <v>1312500</v>
      </c>
      <c r="AK1476" s="404">
        <f t="shared" si="6"/>
        <v>1312500</v>
      </c>
      <c r="AL1476" s="306"/>
      <c r="AM1476" s="306"/>
    </row>
    <row r="1477">
      <c r="A1477" s="298">
        <v>1476.0</v>
      </c>
      <c r="B1477" s="299">
        <v>45461.0</v>
      </c>
      <c r="C1477" s="195" t="str">
        <f t="shared" si="11"/>
        <v>62024</v>
      </c>
      <c r="D1477" s="397" t="s">
        <v>4047</v>
      </c>
      <c r="E1477" s="398" t="s">
        <v>4048</v>
      </c>
      <c r="F1477" s="300" t="s">
        <v>4049</v>
      </c>
      <c r="G1477" s="298" t="s">
        <v>40</v>
      </c>
      <c r="H1477" s="298" t="s">
        <v>41</v>
      </c>
      <c r="I1477" s="298" t="s">
        <v>42</v>
      </c>
      <c r="J1477" s="307">
        <v>2.0</v>
      </c>
      <c r="K1477" s="307">
        <v>4.0</v>
      </c>
      <c r="L1477" s="301"/>
      <c r="M1477" s="307">
        <v>1.0</v>
      </c>
      <c r="N1477" s="301"/>
      <c r="O1477" s="307">
        <v>1.0</v>
      </c>
      <c r="P1477" s="301"/>
      <c r="Q1477" s="302"/>
      <c r="R1477" s="302"/>
      <c r="S1477" s="298" t="s">
        <v>65</v>
      </c>
      <c r="T1477" s="400" t="s">
        <v>66</v>
      </c>
      <c r="U1477" s="400" t="s">
        <v>342</v>
      </c>
      <c r="V1477" s="400" t="s">
        <v>2922</v>
      </c>
      <c r="W1477" s="303"/>
      <c r="X1477" s="303"/>
      <c r="Y1477" s="303"/>
      <c r="Z1477" s="303"/>
      <c r="AA1477" s="304">
        <v>582750.0</v>
      </c>
      <c r="AB1477" s="304">
        <v>2331000.0</v>
      </c>
      <c r="AC1477" s="401" t="s">
        <v>4050</v>
      </c>
      <c r="AD1477" s="398">
        <v>12028.0</v>
      </c>
      <c r="AE1477" s="302"/>
      <c r="AF1477" s="398" t="str">
        <f t="shared" si="1"/>
        <v>Buenos Aires, Argentina</v>
      </c>
      <c r="AG1477" s="398">
        <f t="shared" si="2"/>
        <v>8</v>
      </c>
      <c r="AH1477" s="402">
        <f t="shared" si="3"/>
        <v>0</v>
      </c>
      <c r="AI1477" s="403">
        <f t="shared" si="4"/>
        <v>0</v>
      </c>
      <c r="AJ1477" s="404">
        <f t="shared" si="5"/>
        <v>2913750</v>
      </c>
      <c r="AK1477" s="404">
        <f t="shared" si="6"/>
        <v>2913750</v>
      </c>
      <c r="AL1477" s="306"/>
      <c r="AM1477" s="306"/>
    </row>
    <row r="1478">
      <c r="A1478" s="298">
        <v>1477.0</v>
      </c>
      <c r="B1478" s="299">
        <v>45461.0</v>
      </c>
      <c r="C1478" s="195" t="str">
        <f t="shared" si="11"/>
        <v>62024</v>
      </c>
      <c r="D1478" s="397" t="s">
        <v>4047</v>
      </c>
      <c r="E1478" s="398" t="s">
        <v>4048</v>
      </c>
      <c r="F1478" s="300" t="s">
        <v>4051</v>
      </c>
      <c r="G1478" s="298" t="s">
        <v>40</v>
      </c>
      <c r="H1478" s="298" t="s">
        <v>41</v>
      </c>
      <c r="I1478" s="298" t="s">
        <v>42</v>
      </c>
      <c r="J1478" s="301"/>
      <c r="K1478" s="301"/>
      <c r="L1478" s="301"/>
      <c r="M1478" s="301"/>
      <c r="N1478" s="301"/>
      <c r="O1478" s="301"/>
      <c r="P1478" s="301"/>
      <c r="Q1478" s="302"/>
      <c r="R1478" s="302"/>
      <c r="S1478" s="298" t="s">
        <v>65</v>
      </c>
      <c r="T1478" s="400" t="s">
        <v>66</v>
      </c>
      <c r="U1478" s="400" t="s">
        <v>342</v>
      </c>
      <c r="V1478" s="400" t="s">
        <v>2922</v>
      </c>
      <c r="W1478" s="303"/>
      <c r="X1478" s="303"/>
      <c r="Y1478" s="303"/>
      <c r="Z1478" s="303"/>
      <c r="AA1478" s="304">
        <v>0.0</v>
      </c>
      <c r="AB1478" s="304">
        <v>672000.0</v>
      </c>
      <c r="AC1478" s="401" t="s">
        <v>4050</v>
      </c>
      <c r="AD1478" s="398">
        <v>12028.0</v>
      </c>
      <c r="AE1478" s="302"/>
      <c r="AF1478" s="398" t="str">
        <f t="shared" si="1"/>
        <v>Buenos Aires, Argentina</v>
      </c>
      <c r="AG1478" s="398">
        <f t="shared" si="2"/>
        <v>0</v>
      </c>
      <c r="AH1478" s="402">
        <f t="shared" si="3"/>
        <v>0</v>
      </c>
      <c r="AI1478" s="403">
        <f t="shared" si="4"/>
        <v>0</v>
      </c>
      <c r="AJ1478" s="404">
        <f t="shared" si="5"/>
        <v>672000</v>
      </c>
      <c r="AK1478" s="404">
        <f t="shared" si="6"/>
        <v>672000</v>
      </c>
      <c r="AL1478" s="306"/>
      <c r="AM1478" s="306"/>
    </row>
    <row r="1479">
      <c r="A1479" s="298">
        <v>1478.0</v>
      </c>
      <c r="B1479" s="299">
        <v>45462.0</v>
      </c>
      <c r="C1479" s="195" t="str">
        <f t="shared" si="11"/>
        <v>62024</v>
      </c>
      <c r="D1479" s="397" t="s">
        <v>4052</v>
      </c>
      <c r="E1479" s="398" t="s">
        <v>3839</v>
      </c>
      <c r="F1479" s="300" t="s">
        <v>1415</v>
      </c>
      <c r="G1479" s="298" t="s">
        <v>64</v>
      </c>
      <c r="H1479" s="298" t="s">
        <v>41</v>
      </c>
      <c r="I1479" s="298" t="s">
        <v>643</v>
      </c>
      <c r="J1479" s="301"/>
      <c r="K1479" s="307">
        <v>1.0</v>
      </c>
      <c r="L1479" s="301"/>
      <c r="M1479" s="301"/>
      <c r="N1479" s="301"/>
      <c r="O1479" s="301"/>
      <c r="P1479" s="301"/>
      <c r="Q1479" s="302"/>
      <c r="R1479" s="302"/>
      <c r="S1479" s="298" t="s">
        <v>189</v>
      </c>
      <c r="T1479" s="400" t="s">
        <v>83</v>
      </c>
      <c r="U1479" s="400" t="s">
        <v>99</v>
      </c>
      <c r="V1479" s="400" t="s">
        <v>1984</v>
      </c>
      <c r="W1479" s="303"/>
      <c r="X1479" s="303"/>
      <c r="Y1479" s="303"/>
      <c r="Z1479" s="303"/>
      <c r="AA1479" s="304">
        <v>78750.0</v>
      </c>
      <c r="AB1479" s="304">
        <v>354375.0</v>
      </c>
      <c r="AC1479" s="401" t="s">
        <v>4053</v>
      </c>
      <c r="AD1479" s="398">
        <v>14996.0</v>
      </c>
      <c r="AE1479" s="302"/>
      <c r="AF1479" s="398" t="str">
        <f t="shared" si="1"/>
        <v>Capital Federal, Argentina</v>
      </c>
      <c r="AG1479" s="398">
        <f t="shared" si="2"/>
        <v>1</v>
      </c>
      <c r="AH1479" s="402">
        <f t="shared" si="3"/>
        <v>0</v>
      </c>
      <c r="AI1479" s="403">
        <f t="shared" si="4"/>
        <v>0</v>
      </c>
      <c r="AJ1479" s="404">
        <f t="shared" si="5"/>
        <v>433125</v>
      </c>
      <c r="AK1479" s="404">
        <f t="shared" si="6"/>
        <v>433125</v>
      </c>
      <c r="AL1479" s="306"/>
      <c r="AM1479" s="306"/>
    </row>
    <row r="1480">
      <c r="A1480" s="298">
        <v>1479.0</v>
      </c>
      <c r="B1480" s="299">
        <v>45462.0</v>
      </c>
      <c r="C1480" s="195" t="str">
        <f t="shared" si="11"/>
        <v>62024</v>
      </c>
      <c r="D1480" s="397" t="s">
        <v>4054</v>
      </c>
      <c r="E1480" s="398" t="s">
        <v>4055</v>
      </c>
      <c r="F1480" s="300" t="s">
        <v>1423</v>
      </c>
      <c r="G1480" s="298" t="s">
        <v>64</v>
      </c>
      <c r="H1480" s="298" t="s">
        <v>41</v>
      </c>
      <c r="I1480" s="298" t="s">
        <v>643</v>
      </c>
      <c r="J1480" s="307">
        <v>1.0</v>
      </c>
      <c r="K1480" s="301"/>
      <c r="L1480" s="301"/>
      <c r="M1480" s="301"/>
      <c r="N1480" s="301"/>
      <c r="O1480" s="301"/>
      <c r="P1480" s="301"/>
      <c r="Q1480" s="302"/>
      <c r="R1480" s="302"/>
      <c r="S1480" s="298" t="s">
        <v>98</v>
      </c>
      <c r="T1480" s="400" t="s">
        <v>83</v>
      </c>
      <c r="U1480" s="400" t="s">
        <v>99</v>
      </c>
      <c r="V1480" s="400" t="s">
        <v>1984</v>
      </c>
      <c r="W1480" s="303"/>
      <c r="X1480" s="303"/>
      <c r="Y1480" s="303"/>
      <c r="Z1480" s="303"/>
      <c r="AA1480" s="304">
        <v>105000.0</v>
      </c>
      <c r="AB1480" s="304">
        <v>0.0</v>
      </c>
      <c r="AC1480" s="401" t="s">
        <v>4056</v>
      </c>
      <c r="AD1480" s="398">
        <v>15020.0</v>
      </c>
      <c r="AE1480" s="302"/>
      <c r="AF1480" s="398" t="str">
        <f t="shared" si="1"/>
        <v>Capital Federal, Argentina</v>
      </c>
      <c r="AG1480" s="398">
        <f t="shared" si="2"/>
        <v>1</v>
      </c>
      <c r="AH1480" s="402">
        <f t="shared" si="3"/>
        <v>0</v>
      </c>
      <c r="AI1480" s="403">
        <f t="shared" si="4"/>
        <v>0</v>
      </c>
      <c r="AJ1480" s="404">
        <f t="shared" si="5"/>
        <v>105000</v>
      </c>
      <c r="AK1480" s="404">
        <f t="shared" si="6"/>
        <v>105000</v>
      </c>
      <c r="AL1480" s="306"/>
      <c r="AM1480" s="306"/>
    </row>
    <row r="1481">
      <c r="A1481" s="298">
        <v>1480.0</v>
      </c>
      <c r="B1481" s="299">
        <v>45462.0</v>
      </c>
      <c r="C1481" s="195" t="str">
        <f t="shared" si="11"/>
        <v>62024</v>
      </c>
      <c r="D1481" s="397" t="s">
        <v>4057</v>
      </c>
      <c r="E1481" s="398" t="s">
        <v>4058</v>
      </c>
      <c r="F1481" s="300" t="s">
        <v>2327</v>
      </c>
      <c r="G1481" s="298" t="s">
        <v>40</v>
      </c>
      <c r="H1481" s="298" t="s">
        <v>41</v>
      </c>
      <c r="I1481" s="298" t="s">
        <v>42</v>
      </c>
      <c r="J1481" s="307">
        <v>1.0</v>
      </c>
      <c r="K1481" s="301"/>
      <c r="L1481" s="301"/>
      <c r="M1481" s="307">
        <v>1.0</v>
      </c>
      <c r="N1481" s="301"/>
      <c r="O1481" s="301"/>
      <c r="P1481" s="301"/>
      <c r="Q1481" s="302"/>
      <c r="R1481" s="302"/>
      <c r="S1481" s="298" t="s">
        <v>105</v>
      </c>
      <c r="T1481" s="400" t="s">
        <v>497</v>
      </c>
      <c r="U1481" s="400" t="s">
        <v>45</v>
      </c>
      <c r="V1481" s="400" t="s">
        <v>2922</v>
      </c>
      <c r="W1481" s="303"/>
      <c r="X1481" s="303"/>
      <c r="Y1481" s="303"/>
      <c r="Z1481" s="303"/>
      <c r="AA1481" s="304">
        <v>105000.0</v>
      </c>
      <c r="AB1481" s="304">
        <v>420000.0</v>
      </c>
      <c r="AC1481" s="401" t="s">
        <v>4059</v>
      </c>
      <c r="AD1481" s="398">
        <v>13532.0</v>
      </c>
      <c r="AE1481" s="302"/>
      <c r="AF1481" s="398" t="str">
        <f t="shared" si="1"/>
        <v>Tucumán, Argentina</v>
      </c>
      <c r="AG1481" s="398">
        <f t="shared" si="2"/>
        <v>2</v>
      </c>
      <c r="AH1481" s="402">
        <f t="shared" si="3"/>
        <v>0</v>
      </c>
      <c r="AI1481" s="403">
        <f t="shared" si="4"/>
        <v>0</v>
      </c>
      <c r="AJ1481" s="404">
        <f t="shared" si="5"/>
        <v>525000</v>
      </c>
      <c r="AK1481" s="404">
        <f t="shared" si="6"/>
        <v>525000</v>
      </c>
      <c r="AL1481" s="306"/>
      <c r="AM1481" s="306"/>
    </row>
    <row r="1482">
      <c r="A1482" s="298">
        <v>1481.0</v>
      </c>
      <c r="B1482" s="299">
        <v>45462.0</v>
      </c>
      <c r="C1482" s="195" t="str">
        <f t="shared" si="11"/>
        <v>62024</v>
      </c>
      <c r="D1482" s="397" t="s">
        <v>4060</v>
      </c>
      <c r="E1482" s="398" t="s">
        <v>4061</v>
      </c>
      <c r="F1482" s="300" t="s">
        <v>4062</v>
      </c>
      <c r="G1482" s="298" t="s">
        <v>40</v>
      </c>
      <c r="H1482" s="298" t="s">
        <v>547</v>
      </c>
      <c r="I1482" s="298" t="s">
        <v>42</v>
      </c>
      <c r="J1482" s="307">
        <v>1.0</v>
      </c>
      <c r="K1482" s="307">
        <v>2.0</v>
      </c>
      <c r="L1482" s="399">
        <v>2.0</v>
      </c>
      <c r="M1482" s="307">
        <v>1.0</v>
      </c>
      <c r="N1482" s="301"/>
      <c r="O1482" s="301"/>
      <c r="P1482" s="301"/>
      <c r="Q1482" s="302"/>
      <c r="R1482" s="302"/>
      <c r="S1482" s="298" t="s">
        <v>98</v>
      </c>
      <c r="T1482" s="400" t="s">
        <v>66</v>
      </c>
      <c r="U1482" s="400" t="s">
        <v>45</v>
      </c>
      <c r="V1482" s="400" t="s">
        <v>2922</v>
      </c>
      <c r="W1482" s="303"/>
      <c r="X1482" s="303"/>
      <c r="Y1482" s="303"/>
      <c r="Z1482" s="303"/>
      <c r="AA1482" s="304">
        <v>258710.0</v>
      </c>
      <c r="AB1482" s="304">
        <v>1164195.0</v>
      </c>
      <c r="AC1482" s="401" t="s">
        <v>4063</v>
      </c>
      <c r="AD1482" s="398">
        <v>15036.0</v>
      </c>
      <c r="AE1482" s="302"/>
      <c r="AF1482" s="398" t="str">
        <f t="shared" si="1"/>
        <v>Buenos Aires, Argentina</v>
      </c>
      <c r="AG1482" s="398">
        <f t="shared" si="2"/>
        <v>6</v>
      </c>
      <c r="AH1482" s="402">
        <f t="shared" si="3"/>
        <v>0</v>
      </c>
      <c r="AI1482" s="403">
        <f t="shared" si="4"/>
        <v>0</v>
      </c>
      <c r="AJ1482" s="404">
        <f t="shared" si="5"/>
        <v>1422905</v>
      </c>
      <c r="AK1482" s="404">
        <f t="shared" si="6"/>
        <v>1422905</v>
      </c>
      <c r="AL1482" s="306"/>
      <c r="AM1482" s="306"/>
    </row>
    <row r="1483">
      <c r="A1483" s="298">
        <v>1482.0</v>
      </c>
      <c r="B1483" s="299">
        <v>45464.0</v>
      </c>
      <c r="C1483" s="195" t="str">
        <f t="shared" si="11"/>
        <v>62024</v>
      </c>
      <c r="D1483" s="397" t="s">
        <v>4064</v>
      </c>
      <c r="E1483" s="398" t="s">
        <v>4065</v>
      </c>
      <c r="F1483" s="300" t="s">
        <v>4066</v>
      </c>
      <c r="G1483" s="298" t="s">
        <v>40</v>
      </c>
      <c r="H1483" s="298" t="s">
        <v>41</v>
      </c>
      <c r="I1483" s="298" t="s">
        <v>42</v>
      </c>
      <c r="J1483" s="307">
        <v>1.0</v>
      </c>
      <c r="K1483" s="307">
        <v>9.0</v>
      </c>
      <c r="L1483" s="301"/>
      <c r="M1483" s="307">
        <v>1.0</v>
      </c>
      <c r="N1483" s="301"/>
      <c r="O1483" s="301"/>
      <c r="P1483" s="301"/>
      <c r="Q1483" s="302"/>
      <c r="R1483" s="302"/>
      <c r="S1483" s="298" t="s">
        <v>51</v>
      </c>
      <c r="T1483" s="400" t="s">
        <v>839</v>
      </c>
      <c r="U1483" s="400" t="s">
        <v>45</v>
      </c>
      <c r="V1483" s="400" t="s">
        <v>2922</v>
      </c>
      <c r="W1483" s="303"/>
      <c r="X1483" s="303"/>
      <c r="Y1483" s="303"/>
      <c r="Z1483" s="303"/>
      <c r="AA1483" s="304">
        <v>813750.0</v>
      </c>
      <c r="AB1483" s="304">
        <v>3255000.0</v>
      </c>
      <c r="AC1483" s="401" t="s">
        <v>4067</v>
      </c>
      <c r="AD1483" s="398">
        <v>14828.0</v>
      </c>
      <c r="AE1483" s="302"/>
      <c r="AF1483" s="398" t="str">
        <f t="shared" si="1"/>
        <v>Neuquén, Argentina</v>
      </c>
      <c r="AG1483" s="398">
        <f t="shared" si="2"/>
        <v>11</v>
      </c>
      <c r="AH1483" s="402">
        <f t="shared" si="3"/>
        <v>0</v>
      </c>
      <c r="AI1483" s="403">
        <f t="shared" si="4"/>
        <v>0</v>
      </c>
      <c r="AJ1483" s="404">
        <f t="shared" si="5"/>
        <v>4068750</v>
      </c>
      <c r="AK1483" s="404">
        <f t="shared" si="6"/>
        <v>4068750</v>
      </c>
      <c r="AL1483" s="306"/>
      <c r="AM1483" s="306"/>
    </row>
    <row r="1484">
      <c r="A1484" s="298">
        <v>1483.0</v>
      </c>
      <c r="B1484" s="299">
        <v>45467.0</v>
      </c>
      <c r="C1484" s="195" t="str">
        <f t="shared" si="11"/>
        <v>62024</v>
      </c>
      <c r="D1484" s="397" t="s">
        <v>3405</v>
      </c>
      <c r="E1484" s="398" t="s">
        <v>2099</v>
      </c>
      <c r="F1484" s="300" t="s">
        <v>4068</v>
      </c>
      <c r="G1484" s="298" t="s">
        <v>64</v>
      </c>
      <c r="H1484" s="298" t="s">
        <v>41</v>
      </c>
      <c r="I1484" s="298" t="s">
        <v>643</v>
      </c>
      <c r="J1484" s="301"/>
      <c r="K1484" s="307">
        <v>2.0</v>
      </c>
      <c r="L1484" s="301"/>
      <c r="M1484" s="301"/>
      <c r="N1484" s="301"/>
      <c r="O1484" s="301"/>
      <c r="P1484" s="301"/>
      <c r="Q1484" s="302"/>
      <c r="R1484" s="302"/>
      <c r="S1484" s="298" t="s">
        <v>89</v>
      </c>
      <c r="T1484" s="400" t="s">
        <v>66</v>
      </c>
      <c r="U1484" s="400" t="s">
        <v>99</v>
      </c>
      <c r="V1484" s="400" t="s">
        <v>1984</v>
      </c>
      <c r="W1484" s="303"/>
      <c r="X1484" s="303"/>
      <c r="Y1484" s="303"/>
      <c r="Z1484" s="303"/>
      <c r="AA1484" s="304">
        <v>157500.0</v>
      </c>
      <c r="AB1484" s="304">
        <v>708750.0</v>
      </c>
      <c r="AC1484" s="401" t="s">
        <v>4069</v>
      </c>
      <c r="AD1484" s="398">
        <v>14802.0</v>
      </c>
      <c r="AE1484" s="302"/>
      <c r="AF1484" s="398" t="str">
        <f t="shared" si="1"/>
        <v>Buenos Aires, Argentina</v>
      </c>
      <c r="AG1484" s="398">
        <f t="shared" si="2"/>
        <v>2</v>
      </c>
      <c r="AH1484" s="402">
        <f t="shared" si="3"/>
        <v>0</v>
      </c>
      <c r="AI1484" s="403">
        <f t="shared" si="4"/>
        <v>0</v>
      </c>
      <c r="AJ1484" s="404">
        <f t="shared" si="5"/>
        <v>866250</v>
      </c>
      <c r="AK1484" s="404">
        <f t="shared" si="6"/>
        <v>866250</v>
      </c>
      <c r="AL1484" s="306"/>
      <c r="AM1484" s="306"/>
    </row>
    <row r="1485">
      <c r="A1485" s="298">
        <v>1484.0</v>
      </c>
      <c r="B1485" s="299">
        <v>45467.0</v>
      </c>
      <c r="C1485" s="195" t="str">
        <f t="shared" si="11"/>
        <v>62024</v>
      </c>
      <c r="D1485" s="397" t="s">
        <v>3725</v>
      </c>
      <c r="E1485" s="398" t="s">
        <v>3522</v>
      </c>
      <c r="F1485" s="300" t="s">
        <v>4070</v>
      </c>
      <c r="G1485" s="298" t="s">
        <v>64</v>
      </c>
      <c r="H1485" s="298" t="s">
        <v>41</v>
      </c>
      <c r="I1485" s="298" t="s">
        <v>643</v>
      </c>
      <c r="J1485" s="307">
        <v>1.0</v>
      </c>
      <c r="K1485" s="301"/>
      <c r="L1485" s="301"/>
      <c r="M1485" s="301"/>
      <c r="N1485" s="301"/>
      <c r="O1485" s="307">
        <v>7.0</v>
      </c>
      <c r="P1485" s="301"/>
      <c r="Q1485" s="302"/>
      <c r="R1485" s="302"/>
      <c r="S1485" s="298" t="s">
        <v>105</v>
      </c>
      <c r="T1485" s="400" t="s">
        <v>73</v>
      </c>
      <c r="U1485" s="400" t="s">
        <v>99</v>
      </c>
      <c r="V1485" s="400" t="s">
        <v>1984</v>
      </c>
      <c r="W1485" s="303"/>
      <c r="X1485" s="303"/>
      <c r="Y1485" s="303"/>
      <c r="Z1485" s="303"/>
      <c r="AA1485" s="304">
        <v>509250.0</v>
      </c>
      <c r="AB1485" s="304">
        <v>0.0</v>
      </c>
      <c r="AC1485" s="401" t="s">
        <v>4071</v>
      </c>
      <c r="AD1485" s="398">
        <v>14930.0</v>
      </c>
      <c r="AE1485" s="302"/>
      <c r="AF1485" s="398" t="str">
        <f t="shared" si="1"/>
        <v>Tierra de Fuego, Argentina</v>
      </c>
      <c r="AG1485" s="398">
        <f t="shared" si="2"/>
        <v>8</v>
      </c>
      <c r="AH1485" s="402">
        <f t="shared" si="3"/>
        <v>0</v>
      </c>
      <c r="AI1485" s="403">
        <f t="shared" si="4"/>
        <v>0</v>
      </c>
      <c r="AJ1485" s="404">
        <f t="shared" si="5"/>
        <v>509250</v>
      </c>
      <c r="AK1485" s="404">
        <f t="shared" si="6"/>
        <v>509250</v>
      </c>
      <c r="AL1485" s="306"/>
      <c r="AM1485" s="306"/>
    </row>
    <row r="1486">
      <c r="A1486" s="298">
        <v>1485.0</v>
      </c>
      <c r="B1486" s="299">
        <v>45469.0</v>
      </c>
      <c r="C1486" s="195" t="str">
        <f t="shared" si="11"/>
        <v>62024</v>
      </c>
      <c r="D1486" s="397" t="s">
        <v>4072</v>
      </c>
      <c r="E1486" s="398" t="s">
        <v>4073</v>
      </c>
      <c r="F1486" s="300" t="s">
        <v>1427</v>
      </c>
      <c r="G1486" s="298" t="s">
        <v>64</v>
      </c>
      <c r="H1486" s="298" t="s">
        <v>41</v>
      </c>
      <c r="I1486" s="298" t="s">
        <v>643</v>
      </c>
      <c r="J1486" s="301"/>
      <c r="K1486" s="307">
        <v>2.0</v>
      </c>
      <c r="L1486" s="301"/>
      <c r="M1486" s="301"/>
      <c r="N1486" s="301"/>
      <c r="O1486" s="301"/>
      <c r="P1486" s="301"/>
      <c r="Q1486" s="302"/>
      <c r="R1486" s="302"/>
      <c r="S1486" s="298" t="s">
        <v>65</v>
      </c>
      <c r="T1486" s="400" t="s">
        <v>58</v>
      </c>
      <c r="U1486" s="400" t="s">
        <v>99</v>
      </c>
      <c r="V1486" s="400" t="s">
        <v>1984</v>
      </c>
      <c r="W1486" s="303"/>
      <c r="X1486" s="303"/>
      <c r="Y1486" s="303"/>
      <c r="Z1486" s="303"/>
      <c r="AA1486" s="304">
        <v>157500.0</v>
      </c>
      <c r="AB1486" s="304">
        <v>472500.0</v>
      </c>
      <c r="AC1486" s="401" t="s">
        <v>4074</v>
      </c>
      <c r="AD1486" s="398">
        <v>14674.0</v>
      </c>
      <c r="AE1486" s="302"/>
      <c r="AF1486" s="398" t="str">
        <f t="shared" si="1"/>
        <v>Córdoba, Argentina</v>
      </c>
      <c r="AG1486" s="398">
        <f t="shared" si="2"/>
        <v>2</v>
      </c>
      <c r="AH1486" s="402">
        <f t="shared" si="3"/>
        <v>0</v>
      </c>
      <c r="AI1486" s="403">
        <f t="shared" si="4"/>
        <v>0</v>
      </c>
      <c r="AJ1486" s="404">
        <f t="shared" si="5"/>
        <v>630000</v>
      </c>
      <c r="AK1486" s="404">
        <f t="shared" si="6"/>
        <v>630000</v>
      </c>
      <c r="AL1486" s="306"/>
      <c r="AM1486" s="306"/>
    </row>
    <row r="1487">
      <c r="A1487" s="298">
        <v>1486.0</v>
      </c>
      <c r="B1487" s="299">
        <v>45469.0</v>
      </c>
      <c r="C1487" s="195" t="str">
        <f t="shared" si="11"/>
        <v>62024</v>
      </c>
      <c r="D1487" s="397" t="s">
        <v>3168</v>
      </c>
      <c r="E1487" s="398" t="s">
        <v>3169</v>
      </c>
      <c r="F1487" s="300" t="s">
        <v>4075</v>
      </c>
      <c r="G1487" s="298" t="s">
        <v>64</v>
      </c>
      <c r="H1487" s="298" t="s">
        <v>41</v>
      </c>
      <c r="I1487" s="298" t="s">
        <v>643</v>
      </c>
      <c r="J1487" s="307">
        <v>1.0</v>
      </c>
      <c r="K1487" s="307">
        <v>1.0</v>
      </c>
      <c r="L1487" s="301"/>
      <c r="M1487" s="301"/>
      <c r="N1487" s="301"/>
      <c r="O1487" s="301"/>
      <c r="P1487" s="301"/>
      <c r="Q1487" s="302"/>
      <c r="R1487" s="302"/>
      <c r="S1487" s="298" t="s">
        <v>65</v>
      </c>
      <c r="T1487" s="400" t="s">
        <v>66</v>
      </c>
      <c r="U1487" s="400" t="s">
        <v>99</v>
      </c>
      <c r="V1487" s="400" t="s">
        <v>1984</v>
      </c>
      <c r="W1487" s="303"/>
      <c r="X1487" s="303"/>
      <c r="Y1487" s="303"/>
      <c r="Z1487" s="303"/>
      <c r="AA1487" s="304">
        <v>183750.0</v>
      </c>
      <c r="AB1487" s="304">
        <v>735000.0</v>
      </c>
      <c r="AC1487" s="401" t="s">
        <v>4076</v>
      </c>
      <c r="AD1487" s="398">
        <v>15050.0</v>
      </c>
      <c r="AE1487" s="302"/>
      <c r="AF1487" s="398" t="str">
        <f t="shared" si="1"/>
        <v>Buenos Aires, Argentina</v>
      </c>
      <c r="AG1487" s="398">
        <f t="shared" si="2"/>
        <v>2</v>
      </c>
      <c r="AH1487" s="402">
        <f t="shared" si="3"/>
        <v>0</v>
      </c>
      <c r="AI1487" s="403">
        <f t="shared" si="4"/>
        <v>0</v>
      </c>
      <c r="AJ1487" s="404">
        <f t="shared" si="5"/>
        <v>918750</v>
      </c>
      <c r="AK1487" s="404">
        <f t="shared" si="6"/>
        <v>918750</v>
      </c>
      <c r="AL1487" s="306"/>
      <c r="AM1487" s="306"/>
    </row>
    <row r="1488">
      <c r="A1488" s="298">
        <v>1487.0</v>
      </c>
      <c r="B1488" s="299">
        <v>45471.0</v>
      </c>
      <c r="C1488" s="195" t="str">
        <f t="shared" si="11"/>
        <v>62024</v>
      </c>
      <c r="D1488" s="397" t="s">
        <v>3439</v>
      </c>
      <c r="E1488" s="398" t="s">
        <v>3440</v>
      </c>
      <c r="F1488" s="300" t="s">
        <v>1415</v>
      </c>
      <c r="G1488" s="298" t="s">
        <v>64</v>
      </c>
      <c r="H1488" s="298" t="s">
        <v>41</v>
      </c>
      <c r="I1488" s="298" t="s">
        <v>643</v>
      </c>
      <c r="J1488" s="301"/>
      <c r="K1488" s="307">
        <v>1.0</v>
      </c>
      <c r="L1488" s="301"/>
      <c r="M1488" s="301"/>
      <c r="N1488" s="301"/>
      <c r="O1488" s="301"/>
      <c r="P1488" s="301"/>
      <c r="Q1488" s="302"/>
      <c r="R1488" s="302"/>
      <c r="S1488" s="298" t="s">
        <v>114</v>
      </c>
      <c r="T1488" s="400" t="s">
        <v>655</v>
      </c>
      <c r="U1488" s="400" t="s">
        <v>99</v>
      </c>
      <c r="V1488" s="400" t="s">
        <v>1984</v>
      </c>
      <c r="W1488" s="303"/>
      <c r="X1488" s="303"/>
      <c r="Y1488" s="303"/>
      <c r="Z1488" s="303"/>
      <c r="AA1488" s="304">
        <v>78750.0</v>
      </c>
      <c r="AB1488" s="304">
        <v>315000.0</v>
      </c>
      <c r="AC1488" s="401" t="s">
        <v>4077</v>
      </c>
      <c r="AD1488" s="398">
        <v>15118.0</v>
      </c>
      <c r="AE1488" s="302"/>
      <c r="AF1488" s="398" t="str">
        <f t="shared" si="1"/>
        <v>La Pampa, Argentina</v>
      </c>
      <c r="AG1488" s="398">
        <f t="shared" si="2"/>
        <v>1</v>
      </c>
      <c r="AH1488" s="402">
        <f t="shared" si="3"/>
        <v>0</v>
      </c>
      <c r="AI1488" s="403">
        <f t="shared" si="4"/>
        <v>0</v>
      </c>
      <c r="AJ1488" s="404">
        <f t="shared" si="5"/>
        <v>393750</v>
      </c>
      <c r="AK1488" s="404">
        <f t="shared" si="6"/>
        <v>393750</v>
      </c>
      <c r="AL1488" s="306"/>
      <c r="AM1488" s="306"/>
    </row>
    <row r="1489">
      <c r="A1489" s="298">
        <v>1488.0</v>
      </c>
      <c r="B1489" s="299">
        <v>45471.0</v>
      </c>
      <c r="C1489" s="195" t="str">
        <f t="shared" si="11"/>
        <v>62024</v>
      </c>
      <c r="D1489" s="397" t="s">
        <v>4078</v>
      </c>
      <c r="E1489" s="398" t="s">
        <v>2707</v>
      </c>
      <c r="F1489" s="300" t="s">
        <v>1415</v>
      </c>
      <c r="G1489" s="298" t="s">
        <v>64</v>
      </c>
      <c r="H1489" s="298" t="s">
        <v>41</v>
      </c>
      <c r="I1489" s="298" t="s">
        <v>643</v>
      </c>
      <c r="J1489" s="301"/>
      <c r="K1489" s="307">
        <v>1.0</v>
      </c>
      <c r="L1489" s="301"/>
      <c r="M1489" s="301"/>
      <c r="N1489" s="301"/>
      <c r="O1489" s="301"/>
      <c r="P1489" s="301"/>
      <c r="Q1489" s="302"/>
      <c r="R1489" s="302"/>
      <c r="S1489" s="298" t="s">
        <v>189</v>
      </c>
      <c r="T1489" s="400" t="s">
        <v>73</v>
      </c>
      <c r="U1489" s="400" t="s">
        <v>99</v>
      </c>
      <c r="V1489" s="400" t="s">
        <v>1984</v>
      </c>
      <c r="W1489" s="303"/>
      <c r="X1489" s="303"/>
      <c r="Y1489" s="303"/>
      <c r="Z1489" s="303"/>
      <c r="AA1489" s="304">
        <v>78750.0</v>
      </c>
      <c r="AB1489" s="304">
        <v>189000.0</v>
      </c>
      <c r="AC1489" s="401" t="s">
        <v>4079</v>
      </c>
      <c r="AD1489" s="398">
        <v>15122.0</v>
      </c>
      <c r="AE1489" s="302"/>
      <c r="AF1489" s="398" t="str">
        <f t="shared" si="1"/>
        <v>Tierra de Fuego, Argentina</v>
      </c>
      <c r="AG1489" s="398">
        <f t="shared" si="2"/>
        <v>1</v>
      </c>
      <c r="AH1489" s="402">
        <f t="shared" si="3"/>
        <v>0</v>
      </c>
      <c r="AI1489" s="403">
        <f t="shared" si="4"/>
        <v>0</v>
      </c>
      <c r="AJ1489" s="404">
        <f t="shared" si="5"/>
        <v>267750</v>
      </c>
      <c r="AK1489" s="404">
        <f t="shared" si="6"/>
        <v>267750</v>
      </c>
      <c r="AL1489" s="306"/>
      <c r="AM1489" s="306"/>
    </row>
    <row r="1490">
      <c r="A1490" s="298">
        <v>1489.0</v>
      </c>
      <c r="B1490" s="299">
        <v>45471.0</v>
      </c>
      <c r="C1490" s="195" t="str">
        <f t="shared" si="11"/>
        <v>62024</v>
      </c>
      <c r="D1490" s="397" t="s">
        <v>2048</v>
      </c>
      <c r="E1490" s="398" t="s">
        <v>2049</v>
      </c>
      <c r="F1490" s="300" t="s">
        <v>4080</v>
      </c>
      <c r="G1490" s="298" t="s">
        <v>64</v>
      </c>
      <c r="H1490" s="298" t="s">
        <v>41</v>
      </c>
      <c r="I1490" s="298" t="s">
        <v>643</v>
      </c>
      <c r="J1490" s="307">
        <v>1.0</v>
      </c>
      <c r="K1490" s="307">
        <v>2.0</v>
      </c>
      <c r="L1490" s="399">
        <v>2.0</v>
      </c>
      <c r="M1490" s="301"/>
      <c r="N1490" s="301"/>
      <c r="O1490" s="301"/>
      <c r="P1490" s="301"/>
      <c r="Q1490" s="302"/>
      <c r="R1490" s="302"/>
      <c r="S1490" s="298" t="s">
        <v>98</v>
      </c>
      <c r="T1490" s="400" t="s">
        <v>58</v>
      </c>
      <c r="U1490" s="400" t="s">
        <v>99</v>
      </c>
      <c r="V1490" s="400" t="s">
        <v>1984</v>
      </c>
      <c r="W1490" s="303"/>
      <c r="X1490" s="303"/>
      <c r="Y1490" s="303"/>
      <c r="Z1490" s="303"/>
      <c r="AA1490" s="304">
        <v>336000.0</v>
      </c>
      <c r="AB1490" s="304">
        <v>1344000.0</v>
      </c>
      <c r="AC1490" s="401" t="s">
        <v>4081</v>
      </c>
      <c r="AD1490" s="398">
        <v>15140.0</v>
      </c>
      <c r="AE1490" s="302"/>
      <c r="AF1490" s="398" t="str">
        <f t="shared" si="1"/>
        <v>Córdoba, Argentina</v>
      </c>
      <c r="AG1490" s="398">
        <f t="shared" si="2"/>
        <v>5</v>
      </c>
      <c r="AH1490" s="402">
        <f t="shared" si="3"/>
        <v>0</v>
      </c>
      <c r="AI1490" s="403">
        <f t="shared" si="4"/>
        <v>0</v>
      </c>
      <c r="AJ1490" s="404">
        <f t="shared" si="5"/>
        <v>1680000</v>
      </c>
      <c r="AK1490" s="404">
        <f t="shared" si="6"/>
        <v>1680000</v>
      </c>
      <c r="AL1490" s="306"/>
      <c r="AM1490" s="306"/>
    </row>
    <row r="1491">
      <c r="A1491" s="298">
        <v>1490.0</v>
      </c>
      <c r="B1491" s="299">
        <v>45473.0</v>
      </c>
      <c r="C1491" s="195" t="str">
        <f t="shared" si="11"/>
        <v>62024</v>
      </c>
      <c r="D1491" s="397" t="s">
        <v>4037</v>
      </c>
      <c r="E1491" s="398" t="s">
        <v>4038</v>
      </c>
      <c r="F1491" s="300" t="s">
        <v>1423</v>
      </c>
      <c r="G1491" s="298" t="s">
        <v>64</v>
      </c>
      <c r="H1491" s="298" t="s">
        <v>41</v>
      </c>
      <c r="I1491" s="298" t="s">
        <v>643</v>
      </c>
      <c r="J1491" s="307">
        <v>1.0</v>
      </c>
      <c r="K1491" s="301"/>
      <c r="L1491" s="301"/>
      <c r="M1491" s="301"/>
      <c r="N1491" s="301"/>
      <c r="O1491" s="301"/>
      <c r="P1491" s="301"/>
      <c r="Q1491" s="302"/>
      <c r="R1491" s="302"/>
      <c r="S1491" s="298" t="s">
        <v>137</v>
      </c>
      <c r="T1491" s="400" t="s">
        <v>66</v>
      </c>
      <c r="U1491" s="400" t="s">
        <v>99</v>
      </c>
      <c r="V1491" s="400" t="s">
        <v>1984</v>
      </c>
      <c r="W1491" s="303"/>
      <c r="X1491" s="303"/>
      <c r="Y1491" s="303"/>
      <c r="Z1491" s="303"/>
      <c r="AA1491" s="304">
        <v>99000.0</v>
      </c>
      <c r="AB1491" s="304">
        <v>105000.0</v>
      </c>
      <c r="AC1491" s="401" t="s">
        <v>4082</v>
      </c>
      <c r="AD1491" s="398">
        <v>15148.0</v>
      </c>
      <c r="AE1491" s="302"/>
      <c r="AF1491" s="398" t="str">
        <f t="shared" si="1"/>
        <v>Buenos Aires, Argentina</v>
      </c>
      <c r="AG1491" s="398">
        <f t="shared" si="2"/>
        <v>1</v>
      </c>
      <c r="AH1491" s="402">
        <f t="shared" si="3"/>
        <v>0</v>
      </c>
      <c r="AI1491" s="403">
        <f t="shared" si="4"/>
        <v>0</v>
      </c>
      <c r="AJ1491" s="404">
        <f t="shared" si="5"/>
        <v>204000</v>
      </c>
      <c r="AK1491" s="404">
        <f t="shared" si="6"/>
        <v>204000</v>
      </c>
      <c r="AL1491" s="306"/>
      <c r="AM1491" s="306"/>
    </row>
    <row r="1492">
      <c r="A1492" s="298">
        <v>1491.0</v>
      </c>
      <c r="B1492" s="299">
        <v>45473.0</v>
      </c>
      <c r="C1492" s="195" t="str">
        <f t="shared" si="11"/>
        <v>62024</v>
      </c>
      <c r="D1492" s="397" t="s">
        <v>2576</v>
      </c>
      <c r="E1492" s="398" t="s">
        <v>2577</v>
      </c>
      <c r="F1492" s="300" t="s">
        <v>1415</v>
      </c>
      <c r="G1492" s="298" t="s">
        <v>64</v>
      </c>
      <c r="H1492" s="298" t="s">
        <v>41</v>
      </c>
      <c r="I1492" s="298" t="s">
        <v>643</v>
      </c>
      <c r="J1492" s="301"/>
      <c r="K1492" s="307">
        <v>1.0</v>
      </c>
      <c r="L1492" s="301"/>
      <c r="M1492" s="301"/>
      <c r="N1492" s="301"/>
      <c r="O1492" s="301"/>
      <c r="P1492" s="301"/>
      <c r="Q1492" s="302"/>
      <c r="R1492" s="302"/>
      <c r="S1492" s="298" t="s">
        <v>98</v>
      </c>
      <c r="T1492" s="400" t="s">
        <v>66</v>
      </c>
      <c r="U1492" s="400" t="s">
        <v>99</v>
      </c>
      <c r="V1492" s="400" t="s">
        <v>1984</v>
      </c>
      <c r="W1492" s="303"/>
      <c r="X1492" s="303"/>
      <c r="Y1492" s="303"/>
      <c r="Z1492" s="303"/>
      <c r="AA1492" s="304">
        <v>78750.0</v>
      </c>
      <c r="AB1492" s="304">
        <v>236250.0</v>
      </c>
      <c r="AC1492" s="401" t="s">
        <v>4083</v>
      </c>
      <c r="AD1492" s="398">
        <v>15130.0</v>
      </c>
      <c r="AE1492" s="302"/>
      <c r="AF1492" s="398" t="str">
        <f t="shared" si="1"/>
        <v>Buenos Aires, Argentina</v>
      </c>
      <c r="AG1492" s="398">
        <f t="shared" si="2"/>
        <v>1</v>
      </c>
      <c r="AH1492" s="402">
        <f t="shared" si="3"/>
        <v>0</v>
      </c>
      <c r="AI1492" s="403">
        <f t="shared" si="4"/>
        <v>0</v>
      </c>
      <c r="AJ1492" s="404">
        <f t="shared" si="5"/>
        <v>315000</v>
      </c>
      <c r="AK1492" s="404">
        <f t="shared" si="6"/>
        <v>315000</v>
      </c>
      <c r="AL1492" s="306"/>
      <c r="AM1492" s="306"/>
    </row>
    <row r="1493">
      <c r="A1493" s="298">
        <v>1492.0</v>
      </c>
      <c r="B1493" s="299">
        <v>45473.0</v>
      </c>
      <c r="C1493" s="195" t="str">
        <f t="shared" si="11"/>
        <v>62024</v>
      </c>
      <c r="D1493" s="397" t="s">
        <v>4084</v>
      </c>
      <c r="E1493" s="398" t="s">
        <v>4085</v>
      </c>
      <c r="F1493" s="300" t="s">
        <v>3416</v>
      </c>
      <c r="G1493" s="298" t="s">
        <v>40</v>
      </c>
      <c r="H1493" s="298" t="s">
        <v>547</v>
      </c>
      <c r="I1493" s="298" t="s">
        <v>42</v>
      </c>
      <c r="J1493" s="307">
        <v>1.0</v>
      </c>
      <c r="K1493" s="307">
        <v>1.0</v>
      </c>
      <c r="L1493" s="301"/>
      <c r="M1493" s="307">
        <v>1.0</v>
      </c>
      <c r="N1493" s="301"/>
      <c r="O1493" s="301"/>
      <c r="P1493" s="301"/>
      <c r="Q1493" s="302"/>
      <c r="R1493" s="302"/>
      <c r="S1493" s="298" t="s">
        <v>114</v>
      </c>
      <c r="T1493" s="400" t="s">
        <v>66</v>
      </c>
      <c r="U1493" s="400" t="s">
        <v>99</v>
      </c>
      <c r="V1493" s="400" t="s">
        <v>2922</v>
      </c>
      <c r="W1493" s="303"/>
      <c r="X1493" s="303"/>
      <c r="Y1493" s="303"/>
      <c r="Z1493" s="303"/>
      <c r="AA1493" s="304">
        <v>141488.0</v>
      </c>
      <c r="AB1493" s="304">
        <v>636696.0</v>
      </c>
      <c r="AC1493" s="401" t="s">
        <v>4086</v>
      </c>
      <c r="AD1493" s="398">
        <v>14874.0</v>
      </c>
      <c r="AE1493" s="302"/>
      <c r="AF1493" s="398" t="str">
        <f t="shared" si="1"/>
        <v>Buenos Aires, Argentina</v>
      </c>
      <c r="AG1493" s="398">
        <f t="shared" si="2"/>
        <v>3</v>
      </c>
      <c r="AH1493" s="402">
        <f t="shared" si="3"/>
        <v>0</v>
      </c>
      <c r="AI1493" s="403">
        <f t="shared" si="4"/>
        <v>0</v>
      </c>
      <c r="AJ1493" s="404">
        <f t="shared" si="5"/>
        <v>778184</v>
      </c>
      <c r="AK1493" s="404">
        <f t="shared" si="6"/>
        <v>778184</v>
      </c>
      <c r="AL1493" s="306"/>
      <c r="AM1493" s="306"/>
    </row>
    <row r="1494">
      <c r="A1494" s="298">
        <v>1493.0</v>
      </c>
      <c r="B1494" s="299">
        <v>45473.0</v>
      </c>
      <c r="C1494" s="195" t="str">
        <f t="shared" si="11"/>
        <v>62024</v>
      </c>
      <c r="D1494" s="397" t="s">
        <v>4087</v>
      </c>
      <c r="E1494" s="398" t="s">
        <v>4088</v>
      </c>
      <c r="F1494" s="300" t="s">
        <v>2327</v>
      </c>
      <c r="G1494" s="298" t="s">
        <v>40</v>
      </c>
      <c r="H1494" s="298" t="s">
        <v>41</v>
      </c>
      <c r="I1494" s="298" t="s">
        <v>643</v>
      </c>
      <c r="J1494" s="307">
        <v>1.0</v>
      </c>
      <c r="K1494" s="301"/>
      <c r="L1494" s="301"/>
      <c r="M1494" s="307">
        <v>1.0</v>
      </c>
      <c r="N1494" s="301"/>
      <c r="O1494" s="301"/>
      <c r="P1494" s="301"/>
      <c r="Q1494" s="302"/>
      <c r="R1494" s="302"/>
      <c r="S1494" s="298" t="s">
        <v>114</v>
      </c>
      <c r="T1494" s="400" t="s">
        <v>66</v>
      </c>
      <c r="U1494" s="400" t="s">
        <v>99</v>
      </c>
      <c r="V1494" s="400" t="s">
        <v>1984</v>
      </c>
      <c r="W1494" s="303"/>
      <c r="X1494" s="303"/>
      <c r="Y1494" s="303"/>
      <c r="Z1494" s="303"/>
      <c r="AA1494" s="304">
        <v>105000.0</v>
      </c>
      <c r="AB1494" s="304">
        <v>472500.0</v>
      </c>
      <c r="AC1494" s="401" t="s">
        <v>4089</v>
      </c>
      <c r="AD1494" s="398">
        <v>15192.0</v>
      </c>
      <c r="AE1494" s="302"/>
      <c r="AF1494" s="398" t="str">
        <f t="shared" si="1"/>
        <v>Buenos Aires, Argentina</v>
      </c>
      <c r="AG1494" s="398">
        <f t="shared" si="2"/>
        <v>2</v>
      </c>
      <c r="AH1494" s="402">
        <f t="shared" si="3"/>
        <v>0</v>
      </c>
      <c r="AI1494" s="403">
        <f t="shared" si="4"/>
        <v>0</v>
      </c>
      <c r="AJ1494" s="404">
        <f t="shared" si="5"/>
        <v>577500</v>
      </c>
      <c r="AK1494" s="404">
        <f t="shared" si="6"/>
        <v>577500</v>
      </c>
      <c r="AL1494" s="306"/>
      <c r="AM1494" s="306"/>
    </row>
    <row r="1495">
      <c r="A1495" s="338">
        <v>1494.0</v>
      </c>
      <c r="B1495" s="339">
        <v>45483.0</v>
      </c>
      <c r="C1495" s="195" t="str">
        <f t="shared" si="11"/>
        <v>72024</v>
      </c>
      <c r="D1495" s="405" t="s">
        <v>4090</v>
      </c>
      <c r="E1495" s="61" t="s">
        <v>3522</v>
      </c>
      <c r="F1495" s="340" t="s">
        <v>4091</v>
      </c>
      <c r="G1495" s="338" t="s">
        <v>64</v>
      </c>
      <c r="H1495" s="338" t="s">
        <v>41</v>
      </c>
      <c r="I1495" s="338" t="s">
        <v>643</v>
      </c>
      <c r="J1495" s="65"/>
      <c r="K1495" s="65"/>
      <c r="L1495" s="65"/>
      <c r="M1495" s="65"/>
      <c r="N1495" s="65"/>
      <c r="O1495" s="65"/>
      <c r="P1495" s="65"/>
      <c r="Q1495" s="66"/>
      <c r="R1495" s="66"/>
      <c r="S1495" s="338" t="s">
        <v>105</v>
      </c>
      <c r="T1495" s="406" t="s">
        <v>73</v>
      </c>
      <c r="U1495" s="406" t="s">
        <v>99</v>
      </c>
      <c r="V1495" s="406" t="s">
        <v>1984</v>
      </c>
      <c r="W1495" s="67"/>
      <c r="X1495" s="67"/>
      <c r="Y1495" s="67"/>
      <c r="Z1495" s="67"/>
      <c r="AA1495" s="342">
        <v>0.0</v>
      </c>
      <c r="AB1495" s="342">
        <v>3402000.0</v>
      </c>
      <c r="AC1495" s="407" t="s">
        <v>4092</v>
      </c>
      <c r="AD1495" s="61">
        <v>14476.0</v>
      </c>
      <c r="AE1495" s="66"/>
      <c r="AF1495" s="338" t="str">
        <f t="shared" si="1"/>
        <v>Tierra de Fuego, Argentina</v>
      </c>
      <c r="AG1495" s="61">
        <f t="shared" si="2"/>
        <v>0</v>
      </c>
      <c r="AH1495" s="68">
        <f t="shared" si="3"/>
        <v>0</v>
      </c>
      <c r="AI1495" s="69">
        <f t="shared" si="4"/>
        <v>0</v>
      </c>
      <c r="AJ1495" s="408">
        <f t="shared" si="5"/>
        <v>3402000</v>
      </c>
      <c r="AK1495" s="408">
        <f t="shared" si="6"/>
        <v>3402000</v>
      </c>
      <c r="AL1495" s="70"/>
      <c r="AM1495" s="70"/>
    </row>
    <row r="1496">
      <c r="A1496" s="338">
        <v>1495.0</v>
      </c>
      <c r="B1496" s="339">
        <v>45484.0</v>
      </c>
      <c r="C1496" s="195" t="str">
        <f t="shared" si="11"/>
        <v>72024</v>
      </c>
      <c r="D1496" s="405" t="s">
        <v>4093</v>
      </c>
      <c r="E1496" s="61" t="s">
        <v>4094</v>
      </c>
      <c r="F1496" s="340" t="s">
        <v>4095</v>
      </c>
      <c r="G1496" s="338" t="s">
        <v>40</v>
      </c>
      <c r="H1496" s="338" t="s">
        <v>41</v>
      </c>
      <c r="I1496" s="338" t="s">
        <v>643</v>
      </c>
      <c r="J1496" s="341">
        <v>6.0</v>
      </c>
      <c r="K1496" s="65"/>
      <c r="L1496" s="65"/>
      <c r="M1496" s="341">
        <v>1.0</v>
      </c>
      <c r="N1496" s="65"/>
      <c r="O1496" s="65"/>
      <c r="P1496" s="65"/>
      <c r="Q1496" s="66"/>
      <c r="R1496" s="66"/>
      <c r="S1496" s="338" t="s">
        <v>114</v>
      </c>
      <c r="T1496" s="406" t="s">
        <v>66</v>
      </c>
      <c r="U1496" s="406" t="s">
        <v>342</v>
      </c>
      <c r="V1496" s="406" t="s">
        <v>1984</v>
      </c>
      <c r="W1496" s="67"/>
      <c r="X1496" s="67"/>
      <c r="Y1496" s="67"/>
      <c r="Z1496" s="67"/>
      <c r="AA1496" s="342">
        <v>770000.0</v>
      </c>
      <c r="AB1496" s="342">
        <v>3465000.0</v>
      </c>
      <c r="AC1496" s="407" t="s">
        <v>4096</v>
      </c>
      <c r="AD1496" s="61">
        <v>15160.0</v>
      </c>
      <c r="AE1496" s="66"/>
      <c r="AF1496" s="338" t="str">
        <f t="shared" si="1"/>
        <v>Buenos Aires, Argentina</v>
      </c>
      <c r="AG1496" s="61">
        <f t="shared" si="2"/>
        <v>7</v>
      </c>
      <c r="AH1496" s="68">
        <f t="shared" si="3"/>
        <v>0</v>
      </c>
      <c r="AI1496" s="69">
        <f t="shared" si="4"/>
        <v>0</v>
      </c>
      <c r="AJ1496" s="408">
        <f t="shared" si="5"/>
        <v>4235000</v>
      </c>
      <c r="AK1496" s="408">
        <f t="shared" si="6"/>
        <v>4235000</v>
      </c>
      <c r="AL1496" s="70"/>
      <c r="AM1496" s="70"/>
    </row>
    <row r="1497">
      <c r="A1497" s="338">
        <v>1496.0</v>
      </c>
      <c r="B1497" s="339">
        <v>45484.0</v>
      </c>
      <c r="C1497" s="195" t="str">
        <f t="shared" si="11"/>
        <v>72024</v>
      </c>
      <c r="D1497" s="405" t="s">
        <v>4093</v>
      </c>
      <c r="E1497" s="61" t="s">
        <v>4094</v>
      </c>
      <c r="F1497" s="340" t="s">
        <v>4097</v>
      </c>
      <c r="G1497" s="338" t="s">
        <v>40</v>
      </c>
      <c r="H1497" s="338" t="s">
        <v>41</v>
      </c>
      <c r="I1497" s="338" t="s">
        <v>643</v>
      </c>
      <c r="J1497" s="65"/>
      <c r="K1497" s="65"/>
      <c r="L1497" s="65"/>
      <c r="M1497" s="65"/>
      <c r="N1497" s="65"/>
      <c r="O1497" s="65"/>
      <c r="P1497" s="65"/>
      <c r="Q1497" s="66"/>
      <c r="R1497" s="66"/>
      <c r="S1497" s="338" t="s">
        <v>114</v>
      </c>
      <c r="T1497" s="406" t="s">
        <v>66</v>
      </c>
      <c r="U1497" s="406" t="s">
        <v>342</v>
      </c>
      <c r="V1497" s="406" t="s">
        <v>1984</v>
      </c>
      <c r="W1497" s="67"/>
      <c r="X1497" s="67"/>
      <c r="Y1497" s="67"/>
      <c r="Z1497" s="67"/>
      <c r="AA1497" s="342">
        <v>0.0</v>
      </c>
      <c r="AB1497" s="342">
        <v>1188000.0</v>
      </c>
      <c r="AC1497" s="407" t="s">
        <v>4096</v>
      </c>
      <c r="AD1497" s="61">
        <v>15160.0</v>
      </c>
      <c r="AE1497" s="66"/>
      <c r="AF1497" s="338" t="str">
        <f t="shared" si="1"/>
        <v>Buenos Aires, Argentina</v>
      </c>
      <c r="AG1497" s="61">
        <f t="shared" si="2"/>
        <v>0</v>
      </c>
      <c r="AH1497" s="68">
        <f t="shared" si="3"/>
        <v>0</v>
      </c>
      <c r="AI1497" s="69">
        <f t="shared" si="4"/>
        <v>0</v>
      </c>
      <c r="AJ1497" s="408">
        <f t="shared" si="5"/>
        <v>1188000</v>
      </c>
      <c r="AK1497" s="408">
        <f t="shared" si="6"/>
        <v>1188000</v>
      </c>
      <c r="AL1497" s="70"/>
      <c r="AM1497" s="70"/>
    </row>
    <row r="1498">
      <c r="A1498" s="338">
        <v>1497.0</v>
      </c>
      <c r="B1498" s="339">
        <v>45488.0</v>
      </c>
      <c r="C1498" s="195" t="str">
        <f t="shared" si="11"/>
        <v>72024</v>
      </c>
      <c r="D1498" s="405" t="s">
        <v>4098</v>
      </c>
      <c r="E1498" s="61" t="s">
        <v>4099</v>
      </c>
      <c r="F1498" s="340" t="s">
        <v>4100</v>
      </c>
      <c r="G1498" s="338" t="s">
        <v>40</v>
      </c>
      <c r="H1498" s="338" t="s">
        <v>41</v>
      </c>
      <c r="I1498" s="338" t="s">
        <v>42</v>
      </c>
      <c r="J1498" s="341">
        <v>4.0</v>
      </c>
      <c r="K1498" s="341">
        <v>9.0</v>
      </c>
      <c r="L1498" s="65"/>
      <c r="M1498" s="341">
        <v>1.0</v>
      </c>
      <c r="N1498" s="65"/>
      <c r="O1498" s="65"/>
      <c r="P1498" s="65"/>
      <c r="Q1498" s="66"/>
      <c r="R1498" s="66"/>
      <c r="S1498" s="338" t="s">
        <v>189</v>
      </c>
      <c r="T1498" s="406" t="s">
        <v>66</v>
      </c>
      <c r="U1498" s="406" t="s">
        <v>53</v>
      </c>
      <c r="V1498" s="406" t="s">
        <v>2922</v>
      </c>
      <c r="W1498" s="67"/>
      <c r="X1498" s="67"/>
      <c r="Y1498" s="67"/>
      <c r="Z1498" s="67"/>
      <c r="AA1498" s="342">
        <v>1182500.0</v>
      </c>
      <c r="AB1498" s="342">
        <v>4434375.0</v>
      </c>
      <c r="AC1498" s="407" t="s">
        <v>4101</v>
      </c>
      <c r="AD1498" s="61">
        <v>14978.0</v>
      </c>
      <c r="AE1498" s="66"/>
      <c r="AF1498" s="338" t="str">
        <f t="shared" si="1"/>
        <v>Buenos Aires, Argentina</v>
      </c>
      <c r="AG1498" s="61">
        <f t="shared" si="2"/>
        <v>14</v>
      </c>
      <c r="AH1498" s="68">
        <f t="shared" si="3"/>
        <v>0</v>
      </c>
      <c r="AI1498" s="69">
        <f t="shared" si="4"/>
        <v>0</v>
      </c>
      <c r="AJ1498" s="408">
        <f t="shared" si="5"/>
        <v>5616875</v>
      </c>
      <c r="AK1498" s="408">
        <f t="shared" si="6"/>
        <v>5616875</v>
      </c>
      <c r="AL1498" s="70"/>
      <c r="AM1498" s="70"/>
    </row>
    <row r="1499">
      <c r="A1499" s="338">
        <v>1498.0</v>
      </c>
      <c r="B1499" s="339">
        <v>45489.0</v>
      </c>
      <c r="C1499" s="195" t="str">
        <f t="shared" si="11"/>
        <v>72024</v>
      </c>
      <c r="D1499" s="405" t="s">
        <v>2487</v>
      </c>
      <c r="E1499" s="61" t="s">
        <v>2488</v>
      </c>
      <c r="F1499" s="340" t="s">
        <v>2528</v>
      </c>
      <c r="G1499" s="338" t="s">
        <v>64</v>
      </c>
      <c r="H1499" s="338" t="s">
        <v>41</v>
      </c>
      <c r="I1499" s="338" t="s">
        <v>643</v>
      </c>
      <c r="J1499" s="65"/>
      <c r="K1499" s="65"/>
      <c r="L1499" s="65"/>
      <c r="M1499" s="341">
        <v>1.0</v>
      </c>
      <c r="N1499" s="65"/>
      <c r="O1499" s="65"/>
      <c r="P1499" s="65"/>
      <c r="Q1499" s="66"/>
      <c r="R1499" s="66"/>
      <c r="S1499" s="338" t="s">
        <v>109</v>
      </c>
      <c r="T1499" s="406" t="s">
        <v>66</v>
      </c>
      <c r="U1499" s="406" t="s">
        <v>99</v>
      </c>
      <c r="V1499" s="406" t="s">
        <v>1984</v>
      </c>
      <c r="W1499" s="67"/>
      <c r="X1499" s="67"/>
      <c r="Y1499" s="67"/>
      <c r="Z1499" s="67"/>
      <c r="AA1499" s="342">
        <v>110000.0</v>
      </c>
      <c r="AB1499" s="342">
        <v>0.0</v>
      </c>
      <c r="AC1499" s="407" t="s">
        <v>4102</v>
      </c>
      <c r="AD1499" s="61">
        <v>15330.0</v>
      </c>
      <c r="AE1499" s="66"/>
      <c r="AF1499" s="338" t="str">
        <f t="shared" si="1"/>
        <v>Buenos Aires, Argentina</v>
      </c>
      <c r="AG1499" s="61">
        <f t="shared" si="2"/>
        <v>1</v>
      </c>
      <c r="AH1499" s="68">
        <f t="shared" si="3"/>
        <v>0</v>
      </c>
      <c r="AI1499" s="69">
        <f t="shared" si="4"/>
        <v>0</v>
      </c>
      <c r="AJ1499" s="408">
        <f t="shared" si="5"/>
        <v>110000</v>
      </c>
      <c r="AK1499" s="408">
        <f t="shared" si="6"/>
        <v>110000</v>
      </c>
      <c r="AL1499" s="70"/>
      <c r="AM1499" s="70"/>
    </row>
    <row r="1500">
      <c r="A1500" s="338">
        <v>1499.0</v>
      </c>
      <c r="B1500" s="339">
        <v>45490.0</v>
      </c>
      <c r="C1500" s="195" t="str">
        <f t="shared" si="11"/>
        <v>72024</v>
      </c>
      <c r="D1500" s="405" t="s">
        <v>4103</v>
      </c>
      <c r="E1500" s="61" t="s">
        <v>4104</v>
      </c>
      <c r="F1500" s="340" t="s">
        <v>2327</v>
      </c>
      <c r="G1500" s="338" t="s">
        <v>40</v>
      </c>
      <c r="H1500" s="338" t="s">
        <v>547</v>
      </c>
      <c r="I1500" s="338" t="s">
        <v>42</v>
      </c>
      <c r="J1500" s="341">
        <v>1.0</v>
      </c>
      <c r="K1500" s="65"/>
      <c r="L1500" s="65"/>
      <c r="M1500" s="341">
        <v>1.0</v>
      </c>
      <c r="N1500" s="65"/>
      <c r="O1500" s="65"/>
      <c r="P1500" s="65"/>
      <c r="Q1500" s="66"/>
      <c r="R1500" s="66"/>
      <c r="S1500" s="338" t="s">
        <v>114</v>
      </c>
      <c r="T1500" s="406" t="s">
        <v>638</v>
      </c>
      <c r="U1500" s="406" t="s">
        <v>45</v>
      </c>
      <c r="V1500" s="406" t="s">
        <v>2922</v>
      </c>
      <c r="W1500" s="67"/>
      <c r="X1500" s="67"/>
      <c r="Y1500" s="67"/>
      <c r="Z1500" s="67"/>
      <c r="AA1500" s="342">
        <v>84700.0</v>
      </c>
      <c r="AB1500" s="342">
        <v>338800.0</v>
      </c>
      <c r="AC1500" s="407" t="s">
        <v>4105</v>
      </c>
      <c r="AD1500" s="61">
        <v>15210.0</v>
      </c>
      <c r="AE1500" s="66"/>
      <c r="AF1500" s="338" t="str">
        <f t="shared" si="1"/>
        <v>Chaco, Argentina</v>
      </c>
      <c r="AG1500" s="61">
        <f t="shared" si="2"/>
        <v>2</v>
      </c>
      <c r="AH1500" s="68">
        <f t="shared" si="3"/>
        <v>0</v>
      </c>
      <c r="AI1500" s="69">
        <f t="shared" si="4"/>
        <v>0</v>
      </c>
      <c r="AJ1500" s="408">
        <f t="shared" si="5"/>
        <v>423500</v>
      </c>
      <c r="AK1500" s="408">
        <f t="shared" si="6"/>
        <v>423500</v>
      </c>
      <c r="AL1500" s="70"/>
      <c r="AM1500" s="70"/>
    </row>
    <row r="1501">
      <c r="A1501" s="338">
        <v>1500.0</v>
      </c>
      <c r="B1501" s="339">
        <v>45490.0</v>
      </c>
      <c r="C1501" s="195" t="str">
        <f t="shared" si="11"/>
        <v>72024</v>
      </c>
      <c r="D1501" s="405" t="s">
        <v>4106</v>
      </c>
      <c r="E1501" s="61" t="s">
        <v>1965</v>
      </c>
      <c r="F1501" s="340" t="s">
        <v>2528</v>
      </c>
      <c r="G1501" s="338" t="s">
        <v>64</v>
      </c>
      <c r="H1501" s="338" t="s">
        <v>41</v>
      </c>
      <c r="I1501" s="338" t="s">
        <v>643</v>
      </c>
      <c r="J1501" s="65"/>
      <c r="K1501" s="65"/>
      <c r="L1501" s="65"/>
      <c r="M1501" s="341">
        <v>1.0</v>
      </c>
      <c r="N1501" s="65"/>
      <c r="O1501" s="65"/>
      <c r="P1501" s="65"/>
      <c r="Q1501" s="66"/>
      <c r="R1501" s="66"/>
      <c r="S1501" s="338" t="s">
        <v>98</v>
      </c>
      <c r="T1501" s="406" t="s">
        <v>73</v>
      </c>
      <c r="U1501" s="406" t="s">
        <v>99</v>
      </c>
      <c r="V1501" s="406" t="s">
        <v>1984</v>
      </c>
      <c r="W1501" s="67"/>
      <c r="X1501" s="67"/>
      <c r="Y1501" s="67"/>
      <c r="Z1501" s="67"/>
      <c r="AA1501" s="342">
        <v>110000.0</v>
      </c>
      <c r="AB1501" s="342">
        <v>0.0</v>
      </c>
      <c r="AC1501" s="407" t="s">
        <v>4107</v>
      </c>
      <c r="AD1501" s="61">
        <v>15348.0</v>
      </c>
      <c r="AE1501" s="66"/>
      <c r="AF1501" s="338" t="str">
        <f t="shared" si="1"/>
        <v>Tierra de Fuego, Argentina</v>
      </c>
      <c r="AG1501" s="61">
        <f t="shared" si="2"/>
        <v>1</v>
      </c>
      <c r="AH1501" s="68">
        <f t="shared" si="3"/>
        <v>0</v>
      </c>
      <c r="AI1501" s="69">
        <f t="shared" si="4"/>
        <v>0</v>
      </c>
      <c r="AJ1501" s="408">
        <f t="shared" si="5"/>
        <v>110000</v>
      </c>
      <c r="AK1501" s="408">
        <f t="shared" si="6"/>
        <v>110000</v>
      </c>
      <c r="AL1501" s="70"/>
      <c r="AM1501" s="70"/>
    </row>
    <row r="1502">
      <c r="A1502" s="338">
        <v>1501.0</v>
      </c>
      <c r="B1502" s="339">
        <v>45490.0</v>
      </c>
      <c r="C1502" s="195" t="str">
        <f t="shared" si="11"/>
        <v>72024</v>
      </c>
      <c r="D1502" s="405" t="s">
        <v>4108</v>
      </c>
      <c r="E1502" s="61" t="s">
        <v>4109</v>
      </c>
      <c r="F1502" s="340" t="s">
        <v>2327</v>
      </c>
      <c r="G1502" s="338" t="s">
        <v>40</v>
      </c>
      <c r="H1502" s="338" t="s">
        <v>41</v>
      </c>
      <c r="I1502" s="338" t="s">
        <v>42</v>
      </c>
      <c r="J1502" s="341">
        <v>1.0</v>
      </c>
      <c r="K1502" s="65"/>
      <c r="L1502" s="65"/>
      <c r="M1502" s="341">
        <v>1.0</v>
      </c>
      <c r="N1502" s="65"/>
      <c r="O1502" s="65"/>
      <c r="P1502" s="65"/>
      <c r="Q1502" s="66"/>
      <c r="R1502" s="66"/>
      <c r="S1502" s="338" t="s">
        <v>189</v>
      </c>
      <c r="T1502" s="406" t="s">
        <v>83</v>
      </c>
      <c r="U1502" s="406" t="s">
        <v>45</v>
      </c>
      <c r="V1502" s="406" t="s">
        <v>2922</v>
      </c>
      <c r="W1502" s="67"/>
      <c r="X1502" s="67"/>
      <c r="Y1502" s="67"/>
      <c r="Z1502" s="67"/>
      <c r="AA1502" s="342">
        <v>110000.0</v>
      </c>
      <c r="AB1502" s="342">
        <v>412500.0</v>
      </c>
      <c r="AC1502" s="407" t="s">
        <v>4110</v>
      </c>
      <c r="AD1502" s="61">
        <v>15294.0</v>
      </c>
      <c r="AE1502" s="66"/>
      <c r="AF1502" s="338" t="str">
        <f t="shared" si="1"/>
        <v>Capital Federal, Argentina</v>
      </c>
      <c r="AG1502" s="61">
        <f t="shared" si="2"/>
        <v>2</v>
      </c>
      <c r="AH1502" s="68">
        <f t="shared" si="3"/>
        <v>0</v>
      </c>
      <c r="AI1502" s="69">
        <f t="shared" si="4"/>
        <v>0</v>
      </c>
      <c r="AJ1502" s="408">
        <f t="shared" si="5"/>
        <v>522500</v>
      </c>
      <c r="AK1502" s="408">
        <f t="shared" si="6"/>
        <v>522500</v>
      </c>
      <c r="AL1502" s="70"/>
      <c r="AM1502" s="70"/>
    </row>
    <row r="1503">
      <c r="A1503" s="338">
        <v>1502.0</v>
      </c>
      <c r="B1503" s="339">
        <v>45491.0</v>
      </c>
      <c r="C1503" s="195" t="str">
        <f t="shared" si="11"/>
        <v>72024</v>
      </c>
      <c r="D1503" s="405" t="s">
        <v>4037</v>
      </c>
      <c r="E1503" s="61" t="s">
        <v>4038</v>
      </c>
      <c r="F1503" s="340" t="s">
        <v>1423</v>
      </c>
      <c r="G1503" s="338" t="s">
        <v>64</v>
      </c>
      <c r="H1503" s="338" t="s">
        <v>41</v>
      </c>
      <c r="I1503" s="338" t="s">
        <v>643</v>
      </c>
      <c r="J1503" s="341">
        <v>1.0</v>
      </c>
      <c r="K1503" s="65"/>
      <c r="L1503" s="65"/>
      <c r="M1503" s="65"/>
      <c r="N1503" s="65"/>
      <c r="O1503" s="65"/>
      <c r="P1503" s="65"/>
      <c r="Q1503" s="66"/>
      <c r="R1503" s="66"/>
      <c r="S1503" s="338" t="s">
        <v>137</v>
      </c>
      <c r="T1503" s="406" t="s">
        <v>83</v>
      </c>
      <c r="U1503" s="406" t="s">
        <v>99</v>
      </c>
      <c r="V1503" s="406" t="s">
        <v>1984</v>
      </c>
      <c r="W1503" s="67"/>
      <c r="X1503" s="67"/>
      <c r="Y1503" s="67"/>
      <c r="Z1503" s="67"/>
      <c r="AA1503" s="342">
        <v>110000.0</v>
      </c>
      <c r="AB1503" s="342">
        <v>440000.0</v>
      </c>
      <c r="AC1503" s="407" t="s">
        <v>4111</v>
      </c>
      <c r="AD1503" s="61">
        <v>15162.0</v>
      </c>
      <c r="AE1503" s="66"/>
      <c r="AF1503" s="338" t="str">
        <f t="shared" si="1"/>
        <v>Capital Federal, Argentina</v>
      </c>
      <c r="AG1503" s="61">
        <f t="shared" si="2"/>
        <v>1</v>
      </c>
      <c r="AH1503" s="68">
        <f t="shared" si="3"/>
        <v>0</v>
      </c>
      <c r="AI1503" s="69">
        <f t="shared" si="4"/>
        <v>0</v>
      </c>
      <c r="AJ1503" s="408">
        <f t="shared" si="5"/>
        <v>550000</v>
      </c>
      <c r="AK1503" s="408">
        <f t="shared" si="6"/>
        <v>550000</v>
      </c>
      <c r="AL1503" s="70"/>
      <c r="AM1503" s="70"/>
    </row>
    <row r="1504">
      <c r="A1504" s="338">
        <v>1503.0</v>
      </c>
      <c r="B1504" s="339">
        <v>45491.0</v>
      </c>
      <c r="C1504" s="195" t="str">
        <f t="shared" si="11"/>
        <v>72024</v>
      </c>
      <c r="D1504" s="405" t="s">
        <v>4037</v>
      </c>
      <c r="E1504" s="61" t="s">
        <v>4038</v>
      </c>
      <c r="F1504" s="340" t="s">
        <v>4112</v>
      </c>
      <c r="G1504" s="338" t="s">
        <v>64</v>
      </c>
      <c r="H1504" s="338" t="s">
        <v>41</v>
      </c>
      <c r="I1504" s="338" t="s">
        <v>643</v>
      </c>
      <c r="J1504" s="65"/>
      <c r="K1504" s="65"/>
      <c r="L1504" s="65"/>
      <c r="M1504" s="65"/>
      <c r="N1504" s="65"/>
      <c r="O1504" s="65"/>
      <c r="P1504" s="65"/>
      <c r="Q1504" s="66"/>
      <c r="R1504" s="66"/>
      <c r="S1504" s="338" t="s">
        <v>137</v>
      </c>
      <c r="T1504" s="406" t="s">
        <v>83</v>
      </c>
      <c r="U1504" s="406" t="s">
        <v>99</v>
      </c>
      <c r="V1504" s="406" t="s">
        <v>1984</v>
      </c>
      <c r="W1504" s="67"/>
      <c r="X1504" s="67"/>
      <c r="Y1504" s="67"/>
      <c r="Z1504" s="67"/>
      <c r="AA1504" s="342">
        <v>0.0</v>
      </c>
      <c r="AB1504" s="342">
        <v>176000.0</v>
      </c>
      <c r="AC1504" s="407" t="s">
        <v>4111</v>
      </c>
      <c r="AD1504" s="61">
        <v>15162.0</v>
      </c>
      <c r="AE1504" s="66"/>
      <c r="AF1504" s="338" t="str">
        <f t="shared" si="1"/>
        <v>Capital Federal, Argentina</v>
      </c>
      <c r="AG1504" s="61">
        <f t="shared" si="2"/>
        <v>0</v>
      </c>
      <c r="AH1504" s="68">
        <f t="shared" si="3"/>
        <v>0</v>
      </c>
      <c r="AI1504" s="69">
        <f t="shared" si="4"/>
        <v>0</v>
      </c>
      <c r="AJ1504" s="408">
        <f t="shared" si="5"/>
        <v>176000</v>
      </c>
      <c r="AK1504" s="408">
        <f t="shared" si="6"/>
        <v>176000</v>
      </c>
      <c r="AL1504" s="70"/>
      <c r="AM1504" s="70"/>
    </row>
    <row r="1505">
      <c r="A1505" s="338">
        <v>1504.0</v>
      </c>
      <c r="B1505" s="339">
        <v>45491.0</v>
      </c>
      <c r="C1505" s="195" t="str">
        <f t="shared" si="11"/>
        <v>72024</v>
      </c>
      <c r="D1505" s="405" t="s">
        <v>4113</v>
      </c>
      <c r="E1505" s="61" t="s">
        <v>2689</v>
      </c>
      <c r="F1505" s="340" t="s">
        <v>4114</v>
      </c>
      <c r="G1505" s="338" t="s">
        <v>64</v>
      </c>
      <c r="H1505" s="338" t="s">
        <v>41</v>
      </c>
      <c r="I1505" s="338" t="s">
        <v>643</v>
      </c>
      <c r="J1505" s="65"/>
      <c r="K1505" s="65"/>
      <c r="L1505" s="65"/>
      <c r="M1505" s="65"/>
      <c r="N1505" s="65"/>
      <c r="O1505" s="65"/>
      <c r="P1505" s="65"/>
      <c r="Q1505" s="66"/>
      <c r="R1505" s="66"/>
      <c r="S1505" s="338" t="s">
        <v>65</v>
      </c>
      <c r="T1505" s="406" t="s">
        <v>254</v>
      </c>
      <c r="U1505" s="406" t="s">
        <v>99</v>
      </c>
      <c r="V1505" s="406" t="s">
        <v>1984</v>
      </c>
      <c r="W1505" s="67"/>
      <c r="X1505" s="67"/>
      <c r="Y1505" s="67"/>
      <c r="Z1505" s="67"/>
      <c r="AA1505" s="342">
        <v>0.0</v>
      </c>
      <c r="AB1505" s="342">
        <v>133100.0</v>
      </c>
      <c r="AC1505" s="407" t="s">
        <v>4115</v>
      </c>
      <c r="AD1505" s="61">
        <v>15196.0</v>
      </c>
      <c r="AE1505" s="66"/>
      <c r="AF1505" s="61" t="str">
        <f t="shared" si="1"/>
        <v>La Rioja, Argentina</v>
      </c>
      <c r="AG1505" s="61">
        <f t="shared" si="2"/>
        <v>0</v>
      </c>
      <c r="AH1505" s="68">
        <f t="shared" si="3"/>
        <v>0</v>
      </c>
      <c r="AI1505" s="69">
        <f t="shared" si="4"/>
        <v>0</v>
      </c>
      <c r="AJ1505" s="408">
        <f t="shared" si="5"/>
        <v>133100</v>
      </c>
      <c r="AK1505" s="408">
        <f t="shared" si="6"/>
        <v>133100</v>
      </c>
      <c r="AL1505" s="70"/>
      <c r="AM1505" s="70"/>
    </row>
    <row r="1506">
      <c r="A1506" s="338">
        <v>1505.0</v>
      </c>
      <c r="B1506" s="339">
        <v>45496.0</v>
      </c>
      <c r="C1506" s="195" t="str">
        <f t="shared" si="11"/>
        <v>72024</v>
      </c>
      <c r="D1506" s="405" t="s">
        <v>4116</v>
      </c>
      <c r="E1506" s="61" t="s">
        <v>4117</v>
      </c>
      <c r="F1506" s="340" t="s">
        <v>2528</v>
      </c>
      <c r="G1506" s="338" t="s">
        <v>64</v>
      </c>
      <c r="H1506" s="338" t="s">
        <v>41</v>
      </c>
      <c r="I1506" s="338" t="s">
        <v>643</v>
      </c>
      <c r="J1506" s="65"/>
      <c r="K1506" s="65"/>
      <c r="L1506" s="65"/>
      <c r="M1506" s="341">
        <v>1.0</v>
      </c>
      <c r="N1506" s="65"/>
      <c r="O1506" s="65"/>
      <c r="P1506" s="65"/>
      <c r="Q1506" s="66"/>
      <c r="R1506" s="66"/>
      <c r="S1506" s="338" t="s">
        <v>82</v>
      </c>
      <c r="T1506" s="406" t="s">
        <v>66</v>
      </c>
      <c r="U1506" s="406" t="s">
        <v>99</v>
      </c>
      <c r="V1506" s="406" t="s">
        <v>1984</v>
      </c>
      <c r="W1506" s="67"/>
      <c r="X1506" s="67"/>
      <c r="Y1506" s="67"/>
      <c r="Z1506" s="67"/>
      <c r="AA1506" s="342">
        <v>110000.0</v>
      </c>
      <c r="AB1506" s="342">
        <v>0.0</v>
      </c>
      <c r="AC1506" s="407" t="s">
        <v>4118</v>
      </c>
      <c r="AD1506" s="61">
        <v>15390.0</v>
      </c>
      <c r="AE1506" s="66"/>
      <c r="AF1506" s="338" t="str">
        <f t="shared" si="1"/>
        <v>Buenos Aires, Argentina</v>
      </c>
      <c r="AG1506" s="61">
        <f t="shared" si="2"/>
        <v>1</v>
      </c>
      <c r="AH1506" s="68">
        <f t="shared" si="3"/>
        <v>0</v>
      </c>
      <c r="AI1506" s="409">
        <v>0.0</v>
      </c>
      <c r="AJ1506" s="408">
        <f t="shared" si="5"/>
        <v>110000</v>
      </c>
      <c r="AK1506" s="408">
        <f t="shared" si="6"/>
        <v>110000</v>
      </c>
      <c r="AL1506" s="70"/>
      <c r="AM1506" s="70"/>
    </row>
    <row r="1507">
      <c r="A1507" s="338">
        <v>1506.0</v>
      </c>
      <c r="B1507" s="339">
        <v>45498.0</v>
      </c>
      <c r="C1507" s="195" t="str">
        <f t="shared" si="11"/>
        <v>72024</v>
      </c>
      <c r="D1507" s="405" t="s">
        <v>4119</v>
      </c>
      <c r="E1507" s="61" t="s">
        <v>4120</v>
      </c>
      <c r="F1507" s="340" t="s">
        <v>2528</v>
      </c>
      <c r="G1507" s="338" t="s">
        <v>64</v>
      </c>
      <c r="H1507" s="338" t="s">
        <v>41</v>
      </c>
      <c r="I1507" s="338" t="s">
        <v>643</v>
      </c>
      <c r="J1507" s="65"/>
      <c r="K1507" s="65"/>
      <c r="L1507" s="65"/>
      <c r="M1507" s="341">
        <v>1.0</v>
      </c>
      <c r="N1507" s="65"/>
      <c r="O1507" s="65"/>
      <c r="P1507" s="65"/>
      <c r="Q1507" s="66"/>
      <c r="R1507" s="66"/>
      <c r="S1507" s="338" t="s">
        <v>189</v>
      </c>
      <c r="T1507" s="406" t="s">
        <v>73</v>
      </c>
      <c r="U1507" s="406" t="s">
        <v>99</v>
      </c>
      <c r="V1507" s="406" t="s">
        <v>1984</v>
      </c>
      <c r="W1507" s="67"/>
      <c r="X1507" s="67"/>
      <c r="Y1507" s="67"/>
      <c r="Z1507" s="67"/>
      <c r="AA1507" s="342">
        <v>110000.0</v>
      </c>
      <c r="AB1507" s="342">
        <v>0.0</v>
      </c>
      <c r="AC1507" s="407" t="s">
        <v>4121</v>
      </c>
      <c r="AD1507" s="61">
        <v>15402.0</v>
      </c>
      <c r="AE1507" s="66"/>
      <c r="AF1507" s="338" t="str">
        <f t="shared" si="1"/>
        <v>Tierra de Fuego, Argentina</v>
      </c>
      <c r="AG1507" s="61">
        <f t="shared" si="2"/>
        <v>1</v>
      </c>
      <c r="AH1507" s="68">
        <f t="shared" si="3"/>
        <v>0</v>
      </c>
      <c r="AI1507" s="409">
        <v>0.0</v>
      </c>
      <c r="AJ1507" s="408">
        <f t="shared" si="5"/>
        <v>110000</v>
      </c>
      <c r="AK1507" s="408">
        <f t="shared" si="6"/>
        <v>110000</v>
      </c>
      <c r="AL1507" s="70"/>
      <c r="AM1507" s="70"/>
    </row>
    <row r="1508">
      <c r="A1508" s="338">
        <v>1507.0</v>
      </c>
      <c r="B1508" s="339">
        <v>45502.0</v>
      </c>
      <c r="C1508" s="195" t="str">
        <f t="shared" si="11"/>
        <v>72024</v>
      </c>
      <c r="D1508" s="405" t="s">
        <v>4122</v>
      </c>
      <c r="E1508" s="61" t="s">
        <v>3424</v>
      </c>
      <c r="F1508" s="340" t="s">
        <v>1423</v>
      </c>
      <c r="G1508" s="338" t="s">
        <v>64</v>
      </c>
      <c r="H1508" s="338" t="s">
        <v>41</v>
      </c>
      <c r="I1508" s="338" t="s">
        <v>643</v>
      </c>
      <c r="J1508" s="341">
        <v>1.0</v>
      </c>
      <c r="K1508" s="65"/>
      <c r="L1508" s="65"/>
      <c r="M1508" s="65"/>
      <c r="N1508" s="65"/>
      <c r="O1508" s="65"/>
      <c r="P1508" s="65"/>
      <c r="Q1508" s="66"/>
      <c r="R1508" s="66"/>
      <c r="S1508" s="338" t="s">
        <v>963</v>
      </c>
      <c r="T1508" s="406" t="s">
        <v>66</v>
      </c>
      <c r="U1508" s="406" t="s">
        <v>99</v>
      </c>
      <c r="V1508" s="406" t="s">
        <v>1984</v>
      </c>
      <c r="W1508" s="67"/>
      <c r="X1508" s="67"/>
      <c r="Y1508" s="67"/>
      <c r="Z1508" s="67"/>
      <c r="AA1508" s="342">
        <v>110000.0</v>
      </c>
      <c r="AB1508" s="342">
        <v>440000.0</v>
      </c>
      <c r="AC1508" s="407" t="s">
        <v>4123</v>
      </c>
      <c r="AD1508" s="61">
        <v>15384.0</v>
      </c>
      <c r="AE1508" s="66"/>
      <c r="AF1508" s="338" t="str">
        <f t="shared" si="1"/>
        <v>Buenos Aires, Argentina</v>
      </c>
      <c r="AG1508" s="61">
        <f t="shared" si="2"/>
        <v>1</v>
      </c>
      <c r="AH1508" s="68">
        <f t="shared" si="3"/>
        <v>0</v>
      </c>
      <c r="AI1508" s="409">
        <v>0.0</v>
      </c>
      <c r="AJ1508" s="408">
        <f t="shared" si="5"/>
        <v>550000</v>
      </c>
      <c r="AK1508" s="408">
        <f t="shared" si="6"/>
        <v>550000</v>
      </c>
      <c r="AL1508" s="70"/>
      <c r="AM1508" s="70"/>
    </row>
    <row r="1509">
      <c r="A1509" s="338">
        <v>1508.0</v>
      </c>
      <c r="B1509" s="339">
        <v>45502.0</v>
      </c>
      <c r="C1509" s="195" t="str">
        <f t="shared" si="11"/>
        <v>72024</v>
      </c>
      <c r="D1509" s="405" t="s">
        <v>2852</v>
      </c>
      <c r="E1509" s="61" t="s">
        <v>2853</v>
      </c>
      <c r="F1509" s="340" t="s">
        <v>1415</v>
      </c>
      <c r="G1509" s="338" t="s">
        <v>64</v>
      </c>
      <c r="H1509" s="338" t="s">
        <v>41</v>
      </c>
      <c r="I1509" s="338" t="s">
        <v>643</v>
      </c>
      <c r="J1509" s="65"/>
      <c r="K1509" s="341">
        <v>1.0</v>
      </c>
      <c r="L1509" s="65"/>
      <c r="M1509" s="65"/>
      <c r="N1509" s="65"/>
      <c r="O1509" s="65"/>
      <c r="P1509" s="65"/>
      <c r="Q1509" s="66"/>
      <c r="R1509" s="66"/>
      <c r="S1509" s="338" t="s">
        <v>137</v>
      </c>
      <c r="T1509" s="406" t="s">
        <v>66</v>
      </c>
      <c r="U1509" s="406" t="s">
        <v>99</v>
      </c>
      <c r="V1509" s="406" t="s">
        <v>1984</v>
      </c>
      <c r="W1509" s="67"/>
      <c r="X1509" s="67"/>
      <c r="Y1509" s="67"/>
      <c r="Z1509" s="67"/>
      <c r="AA1509" s="342">
        <v>54868.0</v>
      </c>
      <c r="AB1509" s="342">
        <v>298757.0</v>
      </c>
      <c r="AC1509" s="407" t="s">
        <v>4124</v>
      </c>
      <c r="AD1509" s="61">
        <v>15272.0</v>
      </c>
      <c r="AE1509" s="66"/>
      <c r="AF1509" s="338" t="str">
        <f t="shared" si="1"/>
        <v>Buenos Aires, Argentina</v>
      </c>
      <c r="AG1509" s="61">
        <f t="shared" si="2"/>
        <v>1</v>
      </c>
      <c r="AH1509" s="68">
        <f t="shared" si="3"/>
        <v>0</v>
      </c>
      <c r="AI1509" s="409">
        <v>0.0</v>
      </c>
      <c r="AJ1509" s="408">
        <f t="shared" si="5"/>
        <v>353625</v>
      </c>
      <c r="AK1509" s="408">
        <f t="shared" si="6"/>
        <v>353625</v>
      </c>
      <c r="AL1509" s="70"/>
      <c r="AM1509" s="70"/>
    </row>
    <row r="1510">
      <c r="A1510" s="338">
        <v>1509.0</v>
      </c>
      <c r="B1510" s="339">
        <v>45504.0</v>
      </c>
      <c r="C1510" s="195" t="str">
        <f t="shared" si="11"/>
        <v>72024</v>
      </c>
      <c r="D1510" s="405" t="s">
        <v>2487</v>
      </c>
      <c r="E1510" s="61" t="s">
        <v>2488</v>
      </c>
      <c r="F1510" s="340" t="s">
        <v>4125</v>
      </c>
      <c r="G1510" s="338" t="s">
        <v>64</v>
      </c>
      <c r="H1510" s="338" t="s">
        <v>41</v>
      </c>
      <c r="I1510" s="338" t="s">
        <v>643</v>
      </c>
      <c r="J1510" s="65"/>
      <c r="K1510" s="65"/>
      <c r="L1510" s="65"/>
      <c r="M1510" s="65"/>
      <c r="N1510" s="65"/>
      <c r="O1510" s="65"/>
      <c r="P1510" s="65"/>
      <c r="Q1510" s="66"/>
      <c r="R1510" s="66"/>
      <c r="S1510" s="338" t="s">
        <v>109</v>
      </c>
      <c r="T1510" s="406" t="s">
        <v>66</v>
      </c>
      <c r="U1510" s="406" t="s">
        <v>99</v>
      </c>
      <c r="V1510" s="406" t="s">
        <v>1984</v>
      </c>
      <c r="W1510" s="67"/>
      <c r="X1510" s="67"/>
      <c r="Y1510" s="67"/>
      <c r="Z1510" s="67"/>
      <c r="AA1510" s="342">
        <v>0.0</v>
      </c>
      <c r="AB1510" s="342">
        <v>0.0</v>
      </c>
      <c r="AC1510" s="407" t="s">
        <v>4126</v>
      </c>
      <c r="AD1510" s="61">
        <v>15454.0</v>
      </c>
      <c r="AE1510" s="66"/>
      <c r="AF1510" s="338" t="str">
        <f t="shared" si="1"/>
        <v>Buenos Aires, Argentina</v>
      </c>
      <c r="AG1510" s="61">
        <f t="shared" si="2"/>
        <v>0</v>
      </c>
      <c r="AH1510" s="68">
        <f t="shared" si="3"/>
        <v>0</v>
      </c>
      <c r="AI1510" s="409">
        <v>0.0</v>
      </c>
      <c r="AJ1510" s="408">
        <f t="shared" si="5"/>
        <v>0</v>
      </c>
      <c r="AK1510" s="408">
        <f t="shared" si="6"/>
        <v>0</v>
      </c>
      <c r="AL1510" s="70"/>
      <c r="AM1510" s="70"/>
    </row>
    <row r="1511">
      <c r="A1511" s="338">
        <v>1510.0</v>
      </c>
      <c r="B1511" s="339">
        <v>45504.0</v>
      </c>
      <c r="C1511" s="195" t="str">
        <f t="shared" si="11"/>
        <v>72024</v>
      </c>
      <c r="D1511" s="405" t="s">
        <v>4127</v>
      </c>
      <c r="E1511" s="61" t="s">
        <v>2183</v>
      </c>
      <c r="F1511" s="340" t="s">
        <v>4128</v>
      </c>
      <c r="G1511" s="338" t="s">
        <v>64</v>
      </c>
      <c r="H1511" s="338" t="s">
        <v>41</v>
      </c>
      <c r="I1511" s="338" t="s">
        <v>643</v>
      </c>
      <c r="J1511" s="65"/>
      <c r="K1511" s="341">
        <v>2.0</v>
      </c>
      <c r="L1511" s="65"/>
      <c r="M1511" s="65"/>
      <c r="N1511" s="65"/>
      <c r="O1511" s="65"/>
      <c r="P1511" s="65"/>
      <c r="Q1511" s="66"/>
      <c r="R1511" s="66"/>
      <c r="S1511" s="338" t="s">
        <v>189</v>
      </c>
      <c r="T1511" s="406" t="s">
        <v>83</v>
      </c>
      <c r="U1511" s="406" t="s">
        <v>99</v>
      </c>
      <c r="V1511" s="406" t="s">
        <v>1984</v>
      </c>
      <c r="W1511" s="67"/>
      <c r="X1511" s="67"/>
      <c r="Y1511" s="67"/>
      <c r="Z1511" s="67"/>
      <c r="AA1511" s="342">
        <v>165000.0</v>
      </c>
      <c r="AB1511" s="342">
        <v>660000.0</v>
      </c>
      <c r="AC1511" s="407" t="s">
        <v>4129</v>
      </c>
      <c r="AD1511" s="61">
        <v>15306.0</v>
      </c>
      <c r="AE1511" s="66"/>
      <c r="AF1511" s="338" t="str">
        <f t="shared" si="1"/>
        <v>Capital Federal, Argentina</v>
      </c>
      <c r="AG1511" s="61">
        <f t="shared" si="2"/>
        <v>2</v>
      </c>
      <c r="AH1511" s="68">
        <f t="shared" si="3"/>
        <v>0</v>
      </c>
      <c r="AI1511" s="409">
        <v>0.0</v>
      </c>
      <c r="AJ1511" s="408">
        <f t="shared" si="5"/>
        <v>825000</v>
      </c>
      <c r="AK1511" s="408">
        <f t="shared" si="6"/>
        <v>825000</v>
      </c>
      <c r="AL1511" s="70"/>
      <c r="AM1511" s="70"/>
    </row>
    <row r="1512">
      <c r="A1512" s="338">
        <v>1511.0</v>
      </c>
      <c r="B1512" s="339">
        <v>45504.0</v>
      </c>
      <c r="C1512" s="195" t="str">
        <f t="shared" si="11"/>
        <v>72024</v>
      </c>
      <c r="D1512" s="405" t="s">
        <v>3971</v>
      </c>
      <c r="E1512" s="61" t="s">
        <v>3972</v>
      </c>
      <c r="F1512" s="340" t="s">
        <v>3490</v>
      </c>
      <c r="G1512" s="338" t="s">
        <v>64</v>
      </c>
      <c r="H1512" s="338" t="s">
        <v>41</v>
      </c>
      <c r="I1512" s="338" t="s">
        <v>643</v>
      </c>
      <c r="J1512" s="65"/>
      <c r="K1512" s="65"/>
      <c r="L1512" s="65"/>
      <c r="M1512" s="65"/>
      <c r="N1512" s="65"/>
      <c r="O1512" s="65"/>
      <c r="P1512" s="64">
        <v>1.0</v>
      </c>
      <c r="Q1512" s="66"/>
      <c r="R1512" s="66"/>
      <c r="S1512" s="338" t="s">
        <v>65</v>
      </c>
      <c r="T1512" s="406" t="s">
        <v>83</v>
      </c>
      <c r="U1512" s="406" t="s">
        <v>99</v>
      </c>
      <c r="V1512" s="406" t="s">
        <v>1984</v>
      </c>
      <c r="W1512" s="67"/>
      <c r="X1512" s="67"/>
      <c r="Y1512" s="67"/>
      <c r="Z1512" s="67"/>
      <c r="AA1512" s="342">
        <v>110000.0</v>
      </c>
      <c r="AB1512" s="342">
        <v>532400.0</v>
      </c>
      <c r="AC1512" s="407" t="s">
        <v>4130</v>
      </c>
      <c r="AD1512" s="61">
        <v>15478.0</v>
      </c>
      <c r="AE1512" s="66"/>
      <c r="AF1512" s="338" t="str">
        <f t="shared" si="1"/>
        <v>Capital Federal, Argentina</v>
      </c>
      <c r="AG1512" s="61">
        <f t="shared" si="2"/>
        <v>1</v>
      </c>
      <c r="AH1512" s="68">
        <f t="shared" si="3"/>
        <v>0</v>
      </c>
      <c r="AI1512" s="409">
        <v>0.0</v>
      </c>
      <c r="AJ1512" s="408">
        <f t="shared" si="5"/>
        <v>642400</v>
      </c>
      <c r="AK1512" s="408">
        <f t="shared" si="6"/>
        <v>642400</v>
      </c>
      <c r="AL1512" s="70"/>
      <c r="AM1512" s="70"/>
    </row>
    <row r="1513">
      <c r="A1513" s="338">
        <v>1512.0</v>
      </c>
      <c r="B1513" s="339">
        <v>45504.0</v>
      </c>
      <c r="C1513" s="195" t="str">
        <f t="shared" si="11"/>
        <v>72024</v>
      </c>
      <c r="D1513" s="405" t="s">
        <v>3971</v>
      </c>
      <c r="E1513" s="61" t="s">
        <v>3972</v>
      </c>
      <c r="F1513" s="340" t="s">
        <v>4131</v>
      </c>
      <c r="G1513" s="338" t="s">
        <v>64</v>
      </c>
      <c r="H1513" s="338" t="s">
        <v>41</v>
      </c>
      <c r="I1513" s="338" t="s">
        <v>643</v>
      </c>
      <c r="J1513" s="65"/>
      <c r="K1513" s="65"/>
      <c r="L1513" s="65"/>
      <c r="M1513" s="65"/>
      <c r="N1513" s="65"/>
      <c r="O1513" s="65"/>
      <c r="P1513" s="65"/>
      <c r="Q1513" s="66"/>
      <c r="R1513" s="66"/>
      <c r="S1513" s="338" t="s">
        <v>65</v>
      </c>
      <c r="T1513" s="406" t="s">
        <v>83</v>
      </c>
      <c r="U1513" s="406" t="s">
        <v>99</v>
      </c>
      <c r="V1513" s="406" t="s">
        <v>1984</v>
      </c>
      <c r="W1513" s="68">
        <v>110084.0</v>
      </c>
      <c r="X1513" s="68">
        <v>495378.0</v>
      </c>
      <c r="Y1513" s="67"/>
      <c r="Z1513" s="67"/>
      <c r="AA1513" s="342">
        <v>0.0</v>
      </c>
      <c r="AB1513" s="342">
        <v>0.0</v>
      </c>
      <c r="AC1513" s="407" t="s">
        <v>4132</v>
      </c>
      <c r="AD1513" s="61">
        <v>15456.0</v>
      </c>
      <c r="AE1513" s="66"/>
      <c r="AF1513" s="338" t="str">
        <f t="shared" si="1"/>
        <v>Capital Federal, Argentina</v>
      </c>
      <c r="AG1513" s="61">
        <f t="shared" si="2"/>
        <v>0</v>
      </c>
      <c r="AH1513" s="68">
        <f t="shared" si="3"/>
        <v>605462</v>
      </c>
      <c r="AI1513" s="409">
        <v>0.0</v>
      </c>
      <c r="AJ1513" s="408">
        <f t="shared" si="5"/>
        <v>0</v>
      </c>
      <c r="AK1513" s="408">
        <f t="shared" si="6"/>
        <v>605462</v>
      </c>
      <c r="AL1513" s="70"/>
      <c r="AM1513" s="70"/>
    </row>
    <row r="1514">
      <c r="A1514" s="338">
        <v>1513.0</v>
      </c>
      <c r="B1514" s="339">
        <v>45504.0</v>
      </c>
      <c r="C1514" s="195" t="str">
        <f t="shared" si="11"/>
        <v>72024</v>
      </c>
      <c r="D1514" s="405" t="s">
        <v>2495</v>
      </c>
      <c r="E1514" s="61" t="s">
        <v>2281</v>
      </c>
      <c r="F1514" s="340" t="s">
        <v>4133</v>
      </c>
      <c r="G1514" s="338" t="s">
        <v>64</v>
      </c>
      <c r="H1514" s="338" t="s">
        <v>41</v>
      </c>
      <c r="I1514" s="338" t="s">
        <v>643</v>
      </c>
      <c r="J1514" s="65"/>
      <c r="K1514" s="65"/>
      <c r="L1514" s="65"/>
      <c r="M1514" s="65"/>
      <c r="N1514" s="65"/>
      <c r="O1514" s="65"/>
      <c r="P1514" s="65"/>
      <c r="Q1514" s="66"/>
      <c r="R1514" s="66"/>
      <c r="S1514" s="338" t="s">
        <v>114</v>
      </c>
      <c r="T1514" s="406" t="s">
        <v>66</v>
      </c>
      <c r="U1514" s="406" t="s">
        <v>99</v>
      </c>
      <c r="V1514" s="406" t="s">
        <v>1984</v>
      </c>
      <c r="W1514" s="67"/>
      <c r="X1514" s="67"/>
      <c r="Y1514" s="67"/>
      <c r="Z1514" s="67"/>
      <c r="AA1514" s="342">
        <v>0.0</v>
      </c>
      <c r="AB1514" s="342">
        <v>88000.0</v>
      </c>
      <c r="AC1514" s="407" t="s">
        <v>4134</v>
      </c>
      <c r="AD1514" s="61">
        <v>15424.0</v>
      </c>
      <c r="AE1514" s="66"/>
      <c r="AF1514" s="338" t="str">
        <f t="shared" si="1"/>
        <v>Buenos Aires, Argentina</v>
      </c>
      <c r="AG1514" s="61">
        <f t="shared" si="2"/>
        <v>0</v>
      </c>
      <c r="AH1514" s="68">
        <f t="shared" si="3"/>
        <v>0</v>
      </c>
      <c r="AI1514" s="409">
        <v>0.0</v>
      </c>
      <c r="AJ1514" s="408">
        <f t="shared" si="5"/>
        <v>88000</v>
      </c>
      <c r="AK1514" s="410">
        <v>88000.0</v>
      </c>
      <c r="AL1514" s="70"/>
      <c r="AM1514" s="70"/>
    </row>
    <row r="1515">
      <c r="A1515" s="338">
        <v>1514.0</v>
      </c>
      <c r="B1515" s="339">
        <v>45504.0</v>
      </c>
      <c r="C1515" s="195" t="str">
        <f t="shared" si="11"/>
        <v>72024</v>
      </c>
      <c r="D1515" s="405" t="s">
        <v>4135</v>
      </c>
      <c r="E1515" s="61" t="s">
        <v>4136</v>
      </c>
      <c r="F1515" s="340" t="s">
        <v>2528</v>
      </c>
      <c r="G1515" s="338" t="s">
        <v>64</v>
      </c>
      <c r="H1515" s="338" t="s">
        <v>41</v>
      </c>
      <c r="I1515" s="338" t="s">
        <v>643</v>
      </c>
      <c r="J1515" s="65"/>
      <c r="K1515" s="65"/>
      <c r="L1515" s="65"/>
      <c r="M1515" s="341">
        <v>1.0</v>
      </c>
      <c r="N1515" s="65"/>
      <c r="O1515" s="65"/>
      <c r="P1515" s="65"/>
      <c r="Q1515" s="66"/>
      <c r="R1515" s="66"/>
      <c r="S1515" s="338" t="s">
        <v>89</v>
      </c>
      <c r="T1515" s="406" t="s">
        <v>58</v>
      </c>
      <c r="U1515" s="406" t="s">
        <v>99</v>
      </c>
      <c r="V1515" s="406" t="s">
        <v>1984</v>
      </c>
      <c r="W1515" s="67"/>
      <c r="X1515" s="67"/>
      <c r="Y1515" s="67"/>
      <c r="Z1515" s="67"/>
      <c r="AA1515" s="342">
        <v>110000.0</v>
      </c>
      <c r="AB1515" s="342">
        <v>0.0</v>
      </c>
      <c r="AC1515" s="407" t="s">
        <v>4137</v>
      </c>
      <c r="AD1515" s="61">
        <v>15424.0</v>
      </c>
      <c r="AE1515" s="66"/>
      <c r="AF1515" s="338" t="str">
        <f t="shared" si="1"/>
        <v>Córdoba, Argentina</v>
      </c>
      <c r="AG1515" s="61">
        <f t="shared" si="2"/>
        <v>1</v>
      </c>
      <c r="AH1515" s="68">
        <f t="shared" si="3"/>
        <v>0</v>
      </c>
      <c r="AI1515" s="409">
        <v>0.0</v>
      </c>
      <c r="AJ1515" s="408">
        <f t="shared" si="5"/>
        <v>110000</v>
      </c>
      <c r="AK1515" s="410">
        <v>110000.0</v>
      </c>
      <c r="AL1515" s="70"/>
      <c r="AM1515" s="70"/>
    </row>
    <row r="1516">
      <c r="A1516" s="338">
        <v>1515.0</v>
      </c>
      <c r="B1516" s="339">
        <v>45504.0</v>
      </c>
      <c r="C1516" s="195" t="str">
        <f t="shared" si="11"/>
        <v>72024</v>
      </c>
      <c r="D1516" s="405" t="s">
        <v>4138</v>
      </c>
      <c r="E1516" s="61" t="s">
        <v>2605</v>
      </c>
      <c r="F1516" s="340" t="s">
        <v>4075</v>
      </c>
      <c r="G1516" s="338" t="s">
        <v>64</v>
      </c>
      <c r="H1516" s="338" t="s">
        <v>41</v>
      </c>
      <c r="I1516" s="338" t="s">
        <v>643</v>
      </c>
      <c r="J1516" s="341">
        <v>1.0</v>
      </c>
      <c r="K1516" s="341">
        <v>1.0</v>
      </c>
      <c r="L1516" s="65"/>
      <c r="M1516" s="65"/>
      <c r="N1516" s="65"/>
      <c r="O1516" s="65"/>
      <c r="P1516" s="65"/>
      <c r="Q1516" s="66"/>
      <c r="R1516" s="66"/>
      <c r="S1516" s="338" t="s">
        <v>65</v>
      </c>
      <c r="T1516" s="406" t="s">
        <v>83</v>
      </c>
      <c r="U1516" s="406" t="s">
        <v>99</v>
      </c>
      <c r="V1516" s="406" t="s">
        <v>1984</v>
      </c>
      <c r="W1516" s="67"/>
      <c r="X1516" s="67"/>
      <c r="Y1516" s="67"/>
      <c r="Z1516" s="67"/>
      <c r="AA1516" s="342">
        <v>192500.0</v>
      </c>
      <c r="AB1516" s="342">
        <v>770000.0</v>
      </c>
      <c r="AC1516" s="407" t="s">
        <v>4139</v>
      </c>
      <c r="AD1516" s="61">
        <v>15522.0</v>
      </c>
      <c r="AE1516" s="66"/>
      <c r="AF1516" s="338" t="str">
        <f t="shared" si="1"/>
        <v>Capital Federal, Argentina</v>
      </c>
      <c r="AG1516" s="61">
        <f t="shared" si="2"/>
        <v>2</v>
      </c>
      <c r="AH1516" s="68">
        <f t="shared" si="3"/>
        <v>0</v>
      </c>
      <c r="AI1516" s="409">
        <v>0.0</v>
      </c>
      <c r="AJ1516" s="408">
        <f t="shared" si="5"/>
        <v>962500</v>
      </c>
      <c r="AK1516" s="410">
        <v>962500.0</v>
      </c>
      <c r="AL1516" s="70"/>
      <c r="AM1516" s="70"/>
    </row>
    <row r="1517">
      <c r="A1517" s="338">
        <v>1516.0</v>
      </c>
      <c r="B1517" s="339">
        <v>45504.0</v>
      </c>
      <c r="C1517" s="195" t="str">
        <f t="shared" si="11"/>
        <v>72024</v>
      </c>
      <c r="D1517" s="405" t="s">
        <v>4037</v>
      </c>
      <c r="E1517" s="61" t="s">
        <v>4038</v>
      </c>
      <c r="F1517" s="340" t="s">
        <v>1412</v>
      </c>
      <c r="G1517" s="338" t="s">
        <v>64</v>
      </c>
      <c r="H1517" s="338" t="s">
        <v>41</v>
      </c>
      <c r="I1517" s="338" t="s">
        <v>643</v>
      </c>
      <c r="J1517" s="341">
        <v>2.0</v>
      </c>
      <c r="K1517" s="65"/>
      <c r="L1517" s="65"/>
      <c r="M1517" s="65"/>
      <c r="N1517" s="65"/>
      <c r="O1517" s="65"/>
      <c r="P1517" s="65"/>
      <c r="Q1517" s="66"/>
      <c r="R1517" s="66"/>
      <c r="S1517" s="338" t="s">
        <v>137</v>
      </c>
      <c r="T1517" s="406" t="s">
        <v>83</v>
      </c>
      <c r="U1517" s="406" t="s">
        <v>99</v>
      </c>
      <c r="V1517" s="406" t="s">
        <v>1984</v>
      </c>
      <c r="W1517" s="67"/>
      <c r="X1517" s="67"/>
      <c r="Y1517" s="67"/>
      <c r="Z1517" s="67"/>
      <c r="AA1517" s="342">
        <v>220000.0</v>
      </c>
      <c r="AB1517" s="342">
        <v>880000.0</v>
      </c>
      <c r="AC1517" s="407" t="s">
        <v>4140</v>
      </c>
      <c r="AD1517" s="61">
        <v>15536.0</v>
      </c>
      <c r="AE1517" s="66"/>
      <c r="AF1517" s="338" t="str">
        <f t="shared" si="1"/>
        <v>Capital Federal, Argentina</v>
      </c>
      <c r="AG1517" s="61">
        <f t="shared" si="2"/>
        <v>2</v>
      </c>
      <c r="AH1517" s="68">
        <f t="shared" si="3"/>
        <v>0</v>
      </c>
      <c r="AI1517" s="409">
        <v>0.0</v>
      </c>
      <c r="AJ1517" s="408">
        <f t="shared" si="5"/>
        <v>1100000</v>
      </c>
      <c r="AK1517" s="410">
        <v>1100000.0</v>
      </c>
      <c r="AL1517" s="70"/>
      <c r="AM1517" s="70"/>
    </row>
    <row r="1518">
      <c r="A1518" s="338">
        <v>1517.0</v>
      </c>
      <c r="B1518" s="339">
        <v>45504.0</v>
      </c>
      <c r="C1518" s="195" t="str">
        <f t="shared" si="11"/>
        <v>72024</v>
      </c>
      <c r="D1518" s="405" t="s">
        <v>4037</v>
      </c>
      <c r="E1518" s="61" t="s">
        <v>4038</v>
      </c>
      <c r="F1518" s="340" t="s">
        <v>4141</v>
      </c>
      <c r="G1518" s="338" t="s">
        <v>64</v>
      </c>
      <c r="H1518" s="338" t="s">
        <v>41</v>
      </c>
      <c r="I1518" s="338" t="s">
        <v>643</v>
      </c>
      <c r="J1518" s="65"/>
      <c r="K1518" s="65"/>
      <c r="L1518" s="65"/>
      <c r="M1518" s="65"/>
      <c r="N1518" s="65"/>
      <c r="O1518" s="65"/>
      <c r="P1518" s="65"/>
      <c r="Q1518" s="66"/>
      <c r="R1518" s="66"/>
      <c r="S1518" s="338" t="s">
        <v>137</v>
      </c>
      <c r="T1518" s="406" t="s">
        <v>83</v>
      </c>
      <c r="U1518" s="406" t="s">
        <v>99</v>
      </c>
      <c r="V1518" s="406" t="s">
        <v>1984</v>
      </c>
      <c r="W1518" s="67"/>
      <c r="X1518" s="67"/>
      <c r="Y1518" s="67"/>
      <c r="Z1518" s="67"/>
      <c r="AA1518" s="342">
        <v>0.0</v>
      </c>
      <c r="AB1518" s="342">
        <v>352000.0</v>
      </c>
      <c r="AC1518" s="407" t="s">
        <v>4140</v>
      </c>
      <c r="AD1518" s="61">
        <v>15537.0</v>
      </c>
      <c r="AE1518" s="66"/>
      <c r="AF1518" s="338" t="str">
        <f t="shared" si="1"/>
        <v>Capital Federal, Argentina</v>
      </c>
      <c r="AG1518" s="61">
        <f t="shared" si="2"/>
        <v>0</v>
      </c>
      <c r="AH1518" s="68">
        <f t="shared" si="3"/>
        <v>0</v>
      </c>
      <c r="AI1518" s="409">
        <v>0.0</v>
      </c>
      <c r="AJ1518" s="408">
        <f t="shared" si="5"/>
        <v>352000</v>
      </c>
      <c r="AK1518" s="410">
        <v>352000.0</v>
      </c>
      <c r="AL1518" s="70"/>
      <c r="AM1518" s="70"/>
    </row>
    <row r="1519">
      <c r="A1519" s="338">
        <v>1518.0</v>
      </c>
      <c r="B1519" s="339">
        <v>45504.0</v>
      </c>
      <c r="C1519" s="195" t="str">
        <f t="shared" si="11"/>
        <v>72024</v>
      </c>
      <c r="D1519" s="405" t="s">
        <v>3794</v>
      </c>
      <c r="E1519" s="61" t="s">
        <v>3043</v>
      </c>
      <c r="F1519" s="340" t="s">
        <v>1415</v>
      </c>
      <c r="G1519" s="338" t="s">
        <v>64</v>
      </c>
      <c r="H1519" s="338" t="s">
        <v>41</v>
      </c>
      <c r="I1519" s="338" t="s">
        <v>643</v>
      </c>
      <c r="J1519" s="65"/>
      <c r="K1519" s="341">
        <v>1.0</v>
      </c>
      <c r="L1519" s="65"/>
      <c r="M1519" s="65"/>
      <c r="N1519" s="65"/>
      <c r="O1519" s="65"/>
      <c r="P1519" s="65"/>
      <c r="Q1519" s="66"/>
      <c r="R1519" s="66"/>
      <c r="S1519" s="338" t="s">
        <v>105</v>
      </c>
      <c r="T1519" s="406" t="s">
        <v>66</v>
      </c>
      <c r="U1519" s="406" t="s">
        <v>99</v>
      </c>
      <c r="V1519" s="406" t="s">
        <v>1984</v>
      </c>
      <c r="W1519" s="67"/>
      <c r="X1519" s="67"/>
      <c r="Y1519" s="67"/>
      <c r="Z1519" s="67"/>
      <c r="AA1519" s="342">
        <v>82500.0</v>
      </c>
      <c r="AB1519" s="342">
        <v>371250.0</v>
      </c>
      <c r="AC1519" s="407" t="s">
        <v>4142</v>
      </c>
      <c r="AD1519" s="61">
        <v>15400.0</v>
      </c>
      <c r="AE1519" s="66"/>
      <c r="AF1519" s="338" t="str">
        <f t="shared" si="1"/>
        <v>Buenos Aires, Argentina</v>
      </c>
      <c r="AG1519" s="61">
        <f t="shared" si="2"/>
        <v>1</v>
      </c>
      <c r="AH1519" s="68">
        <f t="shared" si="3"/>
        <v>0</v>
      </c>
      <c r="AI1519" s="409">
        <v>0.0</v>
      </c>
      <c r="AJ1519" s="408">
        <f t="shared" si="5"/>
        <v>453750</v>
      </c>
      <c r="AK1519" s="410">
        <v>453750.0</v>
      </c>
      <c r="AL1519" s="70"/>
      <c r="AM1519" s="70"/>
    </row>
    <row r="1520">
      <c r="A1520" s="338">
        <v>1519.0</v>
      </c>
      <c r="B1520" s="339">
        <v>45504.0</v>
      </c>
      <c r="C1520" s="195" t="str">
        <f t="shared" si="11"/>
        <v>72024</v>
      </c>
      <c r="D1520" s="340" t="s">
        <v>2766</v>
      </c>
      <c r="E1520" s="338" t="s">
        <v>2767</v>
      </c>
      <c r="F1520" s="340" t="s">
        <v>3549</v>
      </c>
      <c r="G1520" s="338" t="s">
        <v>64</v>
      </c>
      <c r="H1520" s="338" t="s">
        <v>41</v>
      </c>
      <c r="I1520" s="338" t="s">
        <v>643</v>
      </c>
      <c r="J1520" s="65"/>
      <c r="K1520" s="65"/>
      <c r="L1520" s="65"/>
      <c r="M1520" s="65"/>
      <c r="N1520" s="65"/>
      <c r="O1520" s="65"/>
      <c r="P1520" s="65"/>
      <c r="Q1520" s="66"/>
      <c r="R1520" s="66"/>
      <c r="S1520" s="338" t="s">
        <v>276</v>
      </c>
      <c r="T1520" s="338" t="s">
        <v>83</v>
      </c>
      <c r="U1520" s="338" t="s">
        <v>99</v>
      </c>
      <c r="V1520" s="338" t="s">
        <v>2935</v>
      </c>
      <c r="W1520" s="342">
        <v>490464.0</v>
      </c>
      <c r="X1520" s="67"/>
      <c r="Y1520" s="67"/>
      <c r="Z1520" s="67"/>
      <c r="AA1520" s="342">
        <v>0.0</v>
      </c>
      <c r="AB1520" s="342">
        <v>0.0</v>
      </c>
      <c r="AC1520" s="407" t="s">
        <v>3550</v>
      </c>
      <c r="AD1520" s="338">
        <v>10174.0</v>
      </c>
      <c r="AE1520" s="66"/>
      <c r="AF1520" s="338" t="str">
        <f t="shared" si="1"/>
        <v>Capital Federal, Argentina</v>
      </c>
      <c r="AG1520" s="338">
        <f t="shared" si="2"/>
        <v>0</v>
      </c>
      <c r="AH1520" s="343">
        <f t="shared" si="3"/>
        <v>490464</v>
      </c>
      <c r="AI1520" s="343">
        <f t="shared" ref="AI1520:AI2016" si="12">Y1520+Z1520</f>
        <v>0</v>
      </c>
      <c r="AJ1520" s="342">
        <f t="shared" si="5"/>
        <v>0</v>
      </c>
      <c r="AK1520" s="342">
        <f t="shared" ref="AK1520:AK1528" si="13">SUM(AH1520:AJ1520)</f>
        <v>490464</v>
      </c>
      <c r="AL1520" s="70"/>
      <c r="AM1520" s="70"/>
    </row>
    <row r="1521">
      <c r="A1521" s="411">
        <v>1520.0</v>
      </c>
      <c r="B1521" s="412">
        <v>45509.0</v>
      </c>
      <c r="C1521" s="195" t="str">
        <f t="shared" si="11"/>
        <v>82024</v>
      </c>
      <c r="D1521" s="413" t="s">
        <v>4143</v>
      </c>
      <c r="E1521" s="39" t="s">
        <v>4144</v>
      </c>
      <c r="F1521" s="414" t="s">
        <v>2327</v>
      </c>
      <c r="G1521" s="411" t="s">
        <v>40</v>
      </c>
      <c r="H1521" s="411" t="s">
        <v>547</v>
      </c>
      <c r="I1521" s="411" t="s">
        <v>42</v>
      </c>
      <c r="J1521" s="415">
        <v>1.0</v>
      </c>
      <c r="K1521" s="43"/>
      <c r="L1521" s="43"/>
      <c r="M1521" s="415">
        <v>1.0</v>
      </c>
      <c r="N1521" s="43"/>
      <c r="O1521" s="43"/>
      <c r="P1521" s="43"/>
      <c r="Q1521" s="44"/>
      <c r="R1521" s="44"/>
      <c r="S1521" s="411" t="s">
        <v>137</v>
      </c>
      <c r="T1521" s="416" t="s">
        <v>66</v>
      </c>
      <c r="U1521" s="416" t="s">
        <v>342</v>
      </c>
      <c r="V1521" s="416" t="s">
        <v>2922</v>
      </c>
      <c r="W1521" s="45"/>
      <c r="X1521" s="45"/>
      <c r="Y1521" s="45"/>
      <c r="Z1521" s="45"/>
      <c r="AA1521" s="417">
        <v>88550.0</v>
      </c>
      <c r="AB1521" s="417">
        <v>354200.0</v>
      </c>
      <c r="AC1521" s="418" t="s">
        <v>4145</v>
      </c>
      <c r="AD1521" s="39">
        <v>15516.0</v>
      </c>
      <c r="AE1521" s="44"/>
      <c r="AF1521" s="411" t="str">
        <f t="shared" si="1"/>
        <v>Buenos Aires, Argentina</v>
      </c>
      <c r="AG1521" s="419">
        <f t="shared" si="2"/>
        <v>2</v>
      </c>
      <c r="AH1521" s="420">
        <f t="shared" si="3"/>
        <v>0</v>
      </c>
      <c r="AI1521" s="421">
        <f t="shared" si="12"/>
        <v>0</v>
      </c>
      <c r="AJ1521" s="422">
        <f t="shared" si="5"/>
        <v>442750</v>
      </c>
      <c r="AK1521" s="417">
        <f t="shared" si="13"/>
        <v>442750</v>
      </c>
      <c r="AL1521" s="48"/>
      <c r="AM1521" s="48"/>
    </row>
    <row r="1522">
      <c r="A1522" s="411">
        <v>1521.0</v>
      </c>
      <c r="B1522" s="412">
        <v>45511.0</v>
      </c>
      <c r="C1522" s="38"/>
      <c r="D1522" s="413" t="s">
        <v>1440</v>
      </c>
      <c r="E1522" s="39" t="s">
        <v>3157</v>
      </c>
      <c r="F1522" s="414" t="s">
        <v>1423</v>
      </c>
      <c r="G1522" s="411" t="s">
        <v>64</v>
      </c>
      <c r="H1522" s="411" t="s">
        <v>41</v>
      </c>
      <c r="I1522" s="411" t="s">
        <v>643</v>
      </c>
      <c r="J1522" s="415">
        <v>1.0</v>
      </c>
      <c r="K1522" s="43"/>
      <c r="L1522" s="43"/>
      <c r="M1522" s="43"/>
      <c r="N1522" s="43"/>
      <c r="O1522" s="43"/>
      <c r="P1522" s="43"/>
      <c r="Q1522" s="44"/>
      <c r="R1522" s="44"/>
      <c r="S1522" s="411" t="s">
        <v>72</v>
      </c>
      <c r="T1522" s="416" t="s">
        <v>66</v>
      </c>
      <c r="U1522" s="416" t="s">
        <v>99</v>
      </c>
      <c r="V1522" s="416" t="s">
        <v>1984</v>
      </c>
      <c r="W1522" s="45"/>
      <c r="X1522" s="45"/>
      <c r="Y1522" s="45"/>
      <c r="Z1522" s="45"/>
      <c r="AA1522" s="417">
        <v>115000.0</v>
      </c>
      <c r="AB1522" s="417">
        <v>460000.0</v>
      </c>
      <c r="AC1522" s="418" t="s">
        <v>4146</v>
      </c>
      <c r="AD1522" s="39">
        <v>15576.0</v>
      </c>
      <c r="AE1522" s="44"/>
      <c r="AF1522" s="411" t="str">
        <f t="shared" si="1"/>
        <v>Buenos Aires, Argentina</v>
      </c>
      <c r="AG1522" s="419">
        <f t="shared" si="2"/>
        <v>1</v>
      </c>
      <c r="AH1522" s="420">
        <f t="shared" si="3"/>
        <v>0</v>
      </c>
      <c r="AI1522" s="421">
        <f t="shared" si="12"/>
        <v>0</v>
      </c>
      <c r="AJ1522" s="422">
        <f t="shared" si="5"/>
        <v>575000</v>
      </c>
      <c r="AK1522" s="417">
        <f t="shared" si="13"/>
        <v>575000</v>
      </c>
      <c r="AL1522" s="48"/>
      <c r="AM1522" s="48"/>
    </row>
    <row r="1523">
      <c r="A1523" s="411">
        <v>1522.0</v>
      </c>
      <c r="B1523" s="412">
        <v>45517.0</v>
      </c>
      <c r="C1523" s="38"/>
      <c r="D1523" s="413" t="s">
        <v>4024</v>
      </c>
      <c r="E1523" s="39" t="s">
        <v>4025</v>
      </c>
      <c r="F1523" s="414" t="s">
        <v>1415</v>
      </c>
      <c r="G1523" s="411" t="s">
        <v>64</v>
      </c>
      <c r="H1523" s="411" t="s">
        <v>41</v>
      </c>
      <c r="I1523" s="411" t="s">
        <v>42</v>
      </c>
      <c r="J1523" s="43"/>
      <c r="K1523" s="415">
        <v>1.0</v>
      </c>
      <c r="L1523" s="43"/>
      <c r="M1523" s="43"/>
      <c r="N1523" s="43"/>
      <c r="O1523" s="43"/>
      <c r="P1523" s="43"/>
      <c r="Q1523" s="44"/>
      <c r="R1523" s="44"/>
      <c r="S1523" s="411" t="s">
        <v>114</v>
      </c>
      <c r="T1523" s="416" t="s">
        <v>66</v>
      </c>
      <c r="U1523" s="416" t="s">
        <v>99</v>
      </c>
      <c r="V1523" s="416" t="s">
        <v>2922</v>
      </c>
      <c r="W1523" s="45"/>
      <c r="X1523" s="45"/>
      <c r="Y1523" s="45"/>
      <c r="Z1523" s="45"/>
      <c r="AA1523" s="417">
        <v>86250.0</v>
      </c>
      <c r="AB1523" s="417">
        <v>323437.0</v>
      </c>
      <c r="AC1523" s="418" t="s">
        <v>4147</v>
      </c>
      <c r="AD1523" s="39">
        <v>15590.0</v>
      </c>
      <c r="AE1523" s="44"/>
      <c r="AF1523" s="411" t="str">
        <f t="shared" si="1"/>
        <v>Buenos Aires, Argentina</v>
      </c>
      <c r="AG1523" s="419">
        <f t="shared" si="2"/>
        <v>1</v>
      </c>
      <c r="AH1523" s="420">
        <v>0.0</v>
      </c>
      <c r="AI1523" s="421">
        <f t="shared" si="12"/>
        <v>0</v>
      </c>
      <c r="AJ1523" s="422">
        <f t="shared" si="5"/>
        <v>409687</v>
      </c>
      <c r="AK1523" s="417">
        <f t="shared" si="13"/>
        <v>409687</v>
      </c>
      <c r="AL1523" s="48"/>
      <c r="AM1523" s="48"/>
    </row>
    <row r="1524">
      <c r="A1524" s="411">
        <v>1523.0</v>
      </c>
      <c r="B1524" s="412">
        <v>45518.0</v>
      </c>
      <c r="C1524" s="38"/>
      <c r="D1524" s="413" t="s">
        <v>3996</v>
      </c>
      <c r="E1524" s="39" t="s">
        <v>3997</v>
      </c>
      <c r="F1524" s="414" t="s">
        <v>4148</v>
      </c>
      <c r="G1524" s="411" t="s">
        <v>64</v>
      </c>
      <c r="H1524" s="411" t="s">
        <v>41</v>
      </c>
      <c r="I1524" s="411" t="s">
        <v>643</v>
      </c>
      <c r="J1524" s="43"/>
      <c r="K1524" s="43"/>
      <c r="L1524" s="43"/>
      <c r="M1524" s="43"/>
      <c r="N1524" s="43"/>
      <c r="O1524" s="43"/>
      <c r="P1524" s="43"/>
      <c r="Q1524" s="44"/>
      <c r="R1524" s="44"/>
      <c r="S1524" s="411" t="s">
        <v>43</v>
      </c>
      <c r="T1524" s="416" t="s">
        <v>83</v>
      </c>
      <c r="U1524" s="416" t="s">
        <v>99</v>
      </c>
      <c r="V1524" s="416" t="s">
        <v>1984</v>
      </c>
      <c r="W1524" s="45"/>
      <c r="X1524" s="45"/>
      <c r="Y1524" s="45"/>
      <c r="Z1524" s="45"/>
      <c r="AA1524" s="417">
        <v>0.0</v>
      </c>
      <c r="AB1524" s="417">
        <v>103000.0</v>
      </c>
      <c r="AC1524" s="418" t="s">
        <v>4149</v>
      </c>
      <c r="AD1524" s="39">
        <v>15606.0</v>
      </c>
      <c r="AE1524" s="44"/>
      <c r="AF1524" s="411" t="str">
        <f t="shared" si="1"/>
        <v>Capital Federal, Argentina</v>
      </c>
      <c r="AG1524" s="419">
        <f t="shared" si="2"/>
        <v>0</v>
      </c>
      <c r="AH1524" s="420">
        <v>0.0</v>
      </c>
      <c r="AI1524" s="421">
        <f t="shared" si="12"/>
        <v>0</v>
      </c>
      <c r="AJ1524" s="422">
        <f t="shared" si="5"/>
        <v>103000</v>
      </c>
      <c r="AK1524" s="417">
        <f t="shared" si="13"/>
        <v>103000</v>
      </c>
      <c r="AL1524" s="48"/>
      <c r="AM1524" s="48"/>
    </row>
    <row r="1525">
      <c r="A1525" s="411">
        <v>1524.0</v>
      </c>
      <c r="B1525" s="412">
        <v>45525.0</v>
      </c>
      <c r="C1525" s="38"/>
      <c r="D1525" s="413" t="s">
        <v>4150</v>
      </c>
      <c r="E1525" s="39" t="s">
        <v>4151</v>
      </c>
      <c r="F1525" s="414" t="s">
        <v>1423</v>
      </c>
      <c r="G1525" s="411" t="s">
        <v>64</v>
      </c>
      <c r="H1525" s="411" t="s">
        <v>41</v>
      </c>
      <c r="I1525" s="411" t="s">
        <v>643</v>
      </c>
      <c r="J1525" s="415">
        <v>1.0</v>
      </c>
      <c r="K1525" s="43"/>
      <c r="L1525" s="43"/>
      <c r="M1525" s="43"/>
      <c r="N1525" s="43"/>
      <c r="O1525" s="43"/>
      <c r="P1525" s="43"/>
      <c r="Q1525" s="44"/>
      <c r="R1525" s="44"/>
      <c r="S1525" s="411" t="s">
        <v>137</v>
      </c>
      <c r="T1525" s="416" t="s">
        <v>66</v>
      </c>
      <c r="U1525" s="416" t="s">
        <v>99</v>
      </c>
      <c r="V1525" s="416" t="s">
        <v>1984</v>
      </c>
      <c r="W1525" s="45"/>
      <c r="X1525" s="45"/>
      <c r="Y1525" s="45"/>
      <c r="Z1525" s="45"/>
      <c r="AA1525" s="417">
        <v>115000.0</v>
      </c>
      <c r="AB1525" s="417">
        <v>575000.0</v>
      </c>
      <c r="AC1525" s="418" t="s">
        <v>4152</v>
      </c>
      <c r="AD1525" s="39">
        <v>15568.0</v>
      </c>
      <c r="AE1525" s="44"/>
      <c r="AF1525" s="411" t="str">
        <f t="shared" si="1"/>
        <v>Buenos Aires, Argentina</v>
      </c>
      <c r="AG1525" s="419">
        <f t="shared" si="2"/>
        <v>1</v>
      </c>
      <c r="AH1525" s="420">
        <v>0.0</v>
      </c>
      <c r="AI1525" s="421">
        <f t="shared" si="12"/>
        <v>0</v>
      </c>
      <c r="AJ1525" s="422">
        <f t="shared" si="5"/>
        <v>690000</v>
      </c>
      <c r="AK1525" s="417">
        <f t="shared" si="13"/>
        <v>690000</v>
      </c>
      <c r="AL1525" s="48"/>
      <c r="AM1525" s="48"/>
    </row>
    <row r="1526">
      <c r="A1526" s="411">
        <v>1525.0</v>
      </c>
      <c r="B1526" s="412">
        <v>45525.0</v>
      </c>
      <c r="C1526" s="38"/>
      <c r="D1526" s="413" t="s">
        <v>4150</v>
      </c>
      <c r="E1526" s="39" t="s">
        <v>4153</v>
      </c>
      <c r="F1526" s="414" t="s">
        <v>4154</v>
      </c>
      <c r="G1526" s="411" t="s">
        <v>64</v>
      </c>
      <c r="H1526" s="411" t="s">
        <v>41</v>
      </c>
      <c r="I1526" s="411" t="s">
        <v>643</v>
      </c>
      <c r="J1526" s="43"/>
      <c r="K1526" s="43"/>
      <c r="L1526" s="43"/>
      <c r="M1526" s="43"/>
      <c r="N1526" s="43"/>
      <c r="O1526" s="43"/>
      <c r="P1526" s="43"/>
      <c r="Q1526" s="44"/>
      <c r="R1526" s="44"/>
      <c r="S1526" s="411" t="s">
        <v>137</v>
      </c>
      <c r="T1526" s="416" t="s">
        <v>66</v>
      </c>
      <c r="U1526" s="416" t="s">
        <v>99</v>
      </c>
      <c r="V1526" s="416" t="s">
        <v>1984</v>
      </c>
      <c r="W1526" s="45"/>
      <c r="X1526" s="45"/>
      <c r="Y1526" s="45"/>
      <c r="Z1526" s="45"/>
      <c r="AA1526" s="417">
        <v>0.0</v>
      </c>
      <c r="AB1526" s="417">
        <v>230000.0</v>
      </c>
      <c r="AC1526" s="418" t="s">
        <v>4152</v>
      </c>
      <c r="AD1526" s="39">
        <v>15568.0</v>
      </c>
      <c r="AE1526" s="44"/>
      <c r="AF1526" s="411" t="str">
        <f t="shared" si="1"/>
        <v>Buenos Aires, Argentina</v>
      </c>
      <c r="AG1526" s="419">
        <f t="shared" si="2"/>
        <v>0</v>
      </c>
      <c r="AH1526" s="420">
        <v>0.0</v>
      </c>
      <c r="AI1526" s="421">
        <f t="shared" si="12"/>
        <v>0</v>
      </c>
      <c r="AJ1526" s="422">
        <f t="shared" si="5"/>
        <v>230000</v>
      </c>
      <c r="AK1526" s="417">
        <f t="shared" si="13"/>
        <v>230000</v>
      </c>
      <c r="AL1526" s="48"/>
      <c r="AM1526" s="48"/>
    </row>
    <row r="1527">
      <c r="A1527" s="411">
        <v>1526.0</v>
      </c>
      <c r="B1527" s="412">
        <v>45525.0</v>
      </c>
      <c r="C1527" s="38"/>
      <c r="D1527" s="413" t="s">
        <v>2365</v>
      </c>
      <c r="E1527" s="39" t="s">
        <v>4155</v>
      </c>
      <c r="F1527" s="414" t="s">
        <v>1415</v>
      </c>
      <c r="G1527" s="411" t="s">
        <v>64</v>
      </c>
      <c r="H1527" s="411" t="s">
        <v>41</v>
      </c>
      <c r="I1527" s="411" t="s">
        <v>643</v>
      </c>
      <c r="J1527" s="43"/>
      <c r="K1527" s="415">
        <v>1.0</v>
      </c>
      <c r="L1527" s="43"/>
      <c r="M1527" s="43"/>
      <c r="N1527" s="43"/>
      <c r="O1527" s="43"/>
      <c r="P1527" s="43"/>
      <c r="Q1527" s="44"/>
      <c r="R1527" s="44"/>
      <c r="S1527" s="411" t="s">
        <v>65</v>
      </c>
      <c r="T1527" s="416" t="s">
        <v>83</v>
      </c>
      <c r="U1527" s="416" t="s">
        <v>99</v>
      </c>
      <c r="V1527" s="416" t="s">
        <v>1984</v>
      </c>
      <c r="W1527" s="45"/>
      <c r="X1527" s="45"/>
      <c r="Y1527" s="45"/>
      <c r="Z1527" s="45"/>
      <c r="AA1527" s="417">
        <v>86250.0</v>
      </c>
      <c r="AB1527" s="417">
        <v>345000.0</v>
      </c>
      <c r="AC1527" s="418" t="s">
        <v>4156</v>
      </c>
      <c r="AD1527" s="39">
        <v>15678.0</v>
      </c>
      <c r="AE1527" s="44"/>
      <c r="AF1527" s="411" t="str">
        <f t="shared" si="1"/>
        <v>Capital Federal, Argentina</v>
      </c>
      <c r="AG1527" s="419">
        <f t="shared" si="2"/>
        <v>1</v>
      </c>
      <c r="AH1527" s="420">
        <v>0.0</v>
      </c>
      <c r="AI1527" s="421">
        <f t="shared" si="12"/>
        <v>0</v>
      </c>
      <c r="AJ1527" s="422">
        <f t="shared" si="5"/>
        <v>431250</v>
      </c>
      <c r="AK1527" s="417">
        <f t="shared" si="13"/>
        <v>431250</v>
      </c>
      <c r="AL1527" s="48"/>
      <c r="AM1527" s="48"/>
    </row>
    <row r="1528">
      <c r="A1528" s="411">
        <v>1527.0</v>
      </c>
      <c r="B1528" s="412">
        <v>45525.0</v>
      </c>
      <c r="C1528" s="38"/>
      <c r="D1528" s="413" t="s">
        <v>3894</v>
      </c>
      <c r="E1528" s="39" t="s">
        <v>4157</v>
      </c>
      <c r="F1528" s="414" t="s">
        <v>1423</v>
      </c>
      <c r="G1528" s="411" t="s">
        <v>64</v>
      </c>
      <c r="H1528" s="411" t="s">
        <v>41</v>
      </c>
      <c r="I1528" s="411" t="s">
        <v>643</v>
      </c>
      <c r="J1528" s="415">
        <v>1.0</v>
      </c>
      <c r="K1528" s="43"/>
      <c r="L1528" s="43"/>
      <c r="M1528" s="43"/>
      <c r="N1528" s="43"/>
      <c r="O1528" s="43"/>
      <c r="P1528" s="43"/>
      <c r="Q1528" s="44"/>
      <c r="R1528" s="44"/>
      <c r="S1528" s="411" t="s">
        <v>189</v>
      </c>
      <c r="T1528" s="416" t="s">
        <v>66</v>
      </c>
      <c r="U1528" s="416" t="s">
        <v>99</v>
      </c>
      <c r="V1528" s="416" t="s">
        <v>1984</v>
      </c>
      <c r="W1528" s="45"/>
      <c r="X1528" s="45"/>
      <c r="Y1528" s="45"/>
      <c r="Z1528" s="45"/>
      <c r="AA1528" s="417">
        <v>115000.0</v>
      </c>
      <c r="AB1528" s="417">
        <v>115000.0</v>
      </c>
      <c r="AC1528" s="418" t="s">
        <v>4158</v>
      </c>
      <c r="AD1528" s="39">
        <v>15578.0</v>
      </c>
      <c r="AE1528" s="44"/>
      <c r="AF1528" s="411" t="str">
        <f t="shared" si="1"/>
        <v>Buenos Aires, Argentina</v>
      </c>
      <c r="AG1528" s="419">
        <f t="shared" si="2"/>
        <v>1</v>
      </c>
      <c r="AH1528" s="420">
        <v>0.0</v>
      </c>
      <c r="AI1528" s="421">
        <f t="shared" si="12"/>
        <v>0</v>
      </c>
      <c r="AJ1528" s="422">
        <f t="shared" si="5"/>
        <v>230000</v>
      </c>
      <c r="AK1528" s="417">
        <f t="shared" si="13"/>
        <v>230000</v>
      </c>
      <c r="AL1528" s="48"/>
      <c r="AM1528" s="48"/>
    </row>
    <row r="1529">
      <c r="A1529" s="411">
        <v>1528.0</v>
      </c>
      <c r="B1529" s="412">
        <v>45530.0</v>
      </c>
      <c r="C1529" s="38"/>
      <c r="D1529" s="413" t="s">
        <v>4159</v>
      </c>
      <c r="E1529" s="39" t="s">
        <v>4160</v>
      </c>
      <c r="F1529" s="414" t="s">
        <v>4161</v>
      </c>
      <c r="G1529" s="411" t="s">
        <v>64</v>
      </c>
      <c r="H1529" s="411" t="s">
        <v>41</v>
      </c>
      <c r="I1529" s="411" t="s">
        <v>643</v>
      </c>
      <c r="J1529" s="43"/>
      <c r="K1529" s="43"/>
      <c r="L1529" s="43"/>
      <c r="M1529" s="43"/>
      <c r="N1529" s="43"/>
      <c r="O1529" s="43"/>
      <c r="P1529" s="43"/>
      <c r="Q1529" s="44"/>
      <c r="R1529" s="44"/>
      <c r="S1529" s="411" t="s">
        <v>65</v>
      </c>
      <c r="T1529" s="416" t="s">
        <v>254</v>
      </c>
      <c r="U1529" s="416" t="s">
        <v>99</v>
      </c>
      <c r="V1529" s="416" t="s">
        <v>1984</v>
      </c>
      <c r="W1529" s="45"/>
      <c r="X1529" s="45"/>
      <c r="Y1529" s="45"/>
      <c r="Z1529" s="45"/>
      <c r="AA1529" s="417">
        <v>0.0</v>
      </c>
      <c r="AB1529" s="417">
        <v>931500.0</v>
      </c>
      <c r="AC1529" s="418" t="s">
        <v>4162</v>
      </c>
      <c r="AD1529" s="39">
        <v>15672.0</v>
      </c>
      <c r="AE1529" s="44"/>
      <c r="AF1529" s="419" t="str">
        <f t="shared" si="1"/>
        <v>La Rioja, Argentina</v>
      </c>
      <c r="AG1529" s="419">
        <f t="shared" si="2"/>
        <v>0</v>
      </c>
      <c r="AH1529" s="420">
        <v>0.0</v>
      </c>
      <c r="AI1529" s="421">
        <f t="shared" si="12"/>
        <v>0</v>
      </c>
      <c r="AJ1529" s="422">
        <f t="shared" si="5"/>
        <v>931500</v>
      </c>
      <c r="AK1529" s="417">
        <f t="shared" ref="AK1529:AK1531" si="14">SUM(AA1529+AB1529)</f>
        <v>931500</v>
      </c>
      <c r="AL1529" s="48"/>
      <c r="AM1529" s="48"/>
    </row>
    <row r="1530">
      <c r="A1530" s="411">
        <v>1529.0</v>
      </c>
      <c r="B1530" s="412">
        <v>45531.0</v>
      </c>
      <c r="C1530" s="38"/>
      <c r="D1530" s="413" t="s">
        <v>4072</v>
      </c>
      <c r="E1530" s="39" t="s">
        <v>4163</v>
      </c>
      <c r="F1530" s="414" t="s">
        <v>4164</v>
      </c>
      <c r="G1530" s="411" t="s">
        <v>64</v>
      </c>
      <c r="H1530" s="411" t="s">
        <v>41</v>
      </c>
      <c r="I1530" s="411" t="s">
        <v>643</v>
      </c>
      <c r="J1530" s="43"/>
      <c r="K1530" s="43"/>
      <c r="L1530" s="43"/>
      <c r="M1530" s="43"/>
      <c r="N1530" s="43"/>
      <c r="O1530" s="43"/>
      <c r="P1530" s="43"/>
      <c r="Q1530" s="44"/>
      <c r="R1530" s="44"/>
      <c r="S1530" s="411" t="s">
        <v>65</v>
      </c>
      <c r="T1530" s="416" t="s">
        <v>58</v>
      </c>
      <c r="U1530" s="416" t="s">
        <v>99</v>
      </c>
      <c r="V1530" s="416" t="s">
        <v>1984</v>
      </c>
      <c r="W1530" s="45"/>
      <c r="X1530" s="45"/>
      <c r="Y1530" s="45"/>
      <c r="Z1530" s="45"/>
      <c r="AA1530" s="417">
        <v>0.0</v>
      </c>
      <c r="AB1530" s="417">
        <v>276000.0</v>
      </c>
      <c r="AC1530" s="418" t="s">
        <v>4165</v>
      </c>
      <c r="AD1530" s="39">
        <v>15328.0</v>
      </c>
      <c r="AE1530" s="44"/>
      <c r="AF1530" s="411" t="str">
        <f t="shared" si="1"/>
        <v>Córdoba, Argentina</v>
      </c>
      <c r="AG1530" s="419">
        <f t="shared" si="2"/>
        <v>0</v>
      </c>
      <c r="AH1530" s="420">
        <v>0.0</v>
      </c>
      <c r="AI1530" s="421">
        <f t="shared" si="12"/>
        <v>0</v>
      </c>
      <c r="AJ1530" s="422">
        <f t="shared" si="5"/>
        <v>276000</v>
      </c>
      <c r="AK1530" s="417">
        <f t="shared" si="14"/>
        <v>276000</v>
      </c>
      <c r="AL1530" s="48"/>
      <c r="AM1530" s="48"/>
    </row>
    <row r="1531">
      <c r="A1531" s="411">
        <v>1530.0</v>
      </c>
      <c r="B1531" s="412">
        <v>45534.0</v>
      </c>
      <c r="C1531" s="38"/>
      <c r="D1531" s="413" t="s">
        <v>4166</v>
      </c>
      <c r="E1531" s="39" t="s">
        <v>3375</v>
      </c>
      <c r="F1531" s="414" t="s">
        <v>1415</v>
      </c>
      <c r="G1531" s="411" t="s">
        <v>64</v>
      </c>
      <c r="H1531" s="411" t="s">
        <v>41</v>
      </c>
      <c r="I1531" s="411" t="s">
        <v>643</v>
      </c>
      <c r="J1531" s="43"/>
      <c r="K1531" s="415">
        <v>1.0</v>
      </c>
      <c r="L1531" s="43"/>
      <c r="M1531" s="43"/>
      <c r="N1531" s="43"/>
      <c r="O1531" s="43"/>
      <c r="P1531" s="43"/>
      <c r="Q1531" s="44"/>
      <c r="R1531" s="44"/>
      <c r="S1531" s="411" t="s">
        <v>98</v>
      </c>
      <c r="T1531" s="416" t="s">
        <v>83</v>
      </c>
      <c r="U1531" s="416" t="s">
        <v>99</v>
      </c>
      <c r="V1531" s="416" t="s">
        <v>1984</v>
      </c>
      <c r="W1531" s="45"/>
      <c r="X1531" s="45"/>
      <c r="Y1531" s="45"/>
      <c r="Z1531" s="45"/>
      <c r="AA1531" s="417">
        <v>86250.0</v>
      </c>
      <c r="AB1531" s="417">
        <v>345000.0</v>
      </c>
      <c r="AC1531" s="418" t="s">
        <v>4167</v>
      </c>
      <c r="AD1531" s="39">
        <v>15626.0</v>
      </c>
      <c r="AE1531" s="44"/>
      <c r="AF1531" s="411" t="str">
        <f t="shared" si="1"/>
        <v>Capital Federal, Argentina</v>
      </c>
      <c r="AG1531" s="419">
        <f t="shared" si="2"/>
        <v>1</v>
      </c>
      <c r="AH1531" s="420">
        <v>0.0</v>
      </c>
      <c r="AI1531" s="421">
        <f t="shared" si="12"/>
        <v>0</v>
      </c>
      <c r="AJ1531" s="422">
        <f t="shared" si="5"/>
        <v>431250</v>
      </c>
      <c r="AK1531" s="422">
        <f t="shared" si="14"/>
        <v>431250</v>
      </c>
      <c r="AL1531" s="48"/>
      <c r="AM1531" s="48"/>
    </row>
    <row r="1532">
      <c r="A1532" s="411">
        <v>1531.0</v>
      </c>
      <c r="B1532" s="412">
        <v>45534.0</v>
      </c>
      <c r="C1532" s="38"/>
      <c r="D1532" s="413" t="s">
        <v>4168</v>
      </c>
      <c r="E1532" s="39" t="s">
        <v>2972</v>
      </c>
      <c r="F1532" s="414" t="s">
        <v>4131</v>
      </c>
      <c r="G1532" s="411" t="s">
        <v>64</v>
      </c>
      <c r="H1532" s="411" t="s">
        <v>41</v>
      </c>
      <c r="I1532" s="411" t="s">
        <v>643</v>
      </c>
      <c r="J1532" s="43"/>
      <c r="K1532" s="43"/>
      <c r="L1532" s="43"/>
      <c r="M1532" s="43"/>
      <c r="N1532" s="43"/>
      <c r="O1532" s="43"/>
      <c r="P1532" s="43"/>
      <c r="Q1532" s="44"/>
      <c r="R1532" s="44"/>
      <c r="S1532" s="411" t="s">
        <v>89</v>
      </c>
      <c r="T1532" s="416" t="s">
        <v>66</v>
      </c>
      <c r="U1532" s="416" t="s">
        <v>99</v>
      </c>
      <c r="V1532" s="416" t="s">
        <v>1984</v>
      </c>
      <c r="W1532" s="46">
        <v>88761.0</v>
      </c>
      <c r="X1532" s="46" t="s">
        <v>4169</v>
      </c>
      <c r="Y1532" s="45"/>
      <c r="Z1532" s="45"/>
      <c r="AA1532" s="417">
        <v>0.0</v>
      </c>
      <c r="AB1532" s="417">
        <v>0.0</v>
      </c>
      <c r="AC1532" s="418" t="s">
        <v>4170</v>
      </c>
      <c r="AD1532" s="39">
        <v>15642.0</v>
      </c>
      <c r="AE1532" s="44"/>
      <c r="AF1532" s="411" t="str">
        <f t="shared" si="1"/>
        <v>Buenos Aires, Argentina</v>
      </c>
      <c r="AG1532" s="419">
        <f t="shared" si="2"/>
        <v>0</v>
      </c>
      <c r="AH1532" s="420">
        <v>487735.0</v>
      </c>
      <c r="AI1532" s="421">
        <f t="shared" si="12"/>
        <v>0</v>
      </c>
      <c r="AJ1532" s="422">
        <f t="shared" si="5"/>
        <v>0</v>
      </c>
      <c r="AK1532" s="422">
        <v>487735.0</v>
      </c>
      <c r="AL1532" s="48"/>
      <c r="AM1532" s="48"/>
    </row>
    <row r="1533">
      <c r="A1533" s="411">
        <v>1532.0</v>
      </c>
      <c r="B1533" s="412">
        <v>45534.0</v>
      </c>
      <c r="C1533" s="38"/>
      <c r="D1533" s="413" t="s">
        <v>4171</v>
      </c>
      <c r="E1533" s="39" t="s">
        <v>4172</v>
      </c>
      <c r="F1533" s="414" t="s">
        <v>1415</v>
      </c>
      <c r="G1533" s="411" t="s">
        <v>64</v>
      </c>
      <c r="H1533" s="411" t="s">
        <v>41</v>
      </c>
      <c r="I1533" s="411" t="s">
        <v>643</v>
      </c>
      <c r="J1533" s="43"/>
      <c r="K1533" s="415">
        <v>1.0</v>
      </c>
      <c r="L1533" s="43"/>
      <c r="M1533" s="43"/>
      <c r="N1533" s="43"/>
      <c r="O1533" s="43"/>
      <c r="P1533" s="43"/>
      <c r="Q1533" s="44"/>
      <c r="R1533" s="44"/>
      <c r="S1533" s="411" t="s">
        <v>72</v>
      </c>
      <c r="T1533" s="416" t="s">
        <v>83</v>
      </c>
      <c r="U1533" s="416" t="s">
        <v>99</v>
      </c>
      <c r="V1533" s="416" t="s">
        <v>1984</v>
      </c>
      <c r="W1533" s="45"/>
      <c r="X1533" s="45"/>
      <c r="Y1533" s="45"/>
      <c r="Z1533" s="45"/>
      <c r="AA1533" s="417">
        <v>86250.0</v>
      </c>
      <c r="AB1533" s="417">
        <v>345000.0</v>
      </c>
      <c r="AC1533" s="418" t="s">
        <v>4173</v>
      </c>
      <c r="AD1533" s="39">
        <v>15512.0</v>
      </c>
      <c r="AE1533" s="44"/>
      <c r="AF1533" s="411" t="str">
        <f t="shared" si="1"/>
        <v>Capital Federal, Argentina</v>
      </c>
      <c r="AG1533" s="419">
        <f t="shared" si="2"/>
        <v>1</v>
      </c>
      <c r="AH1533" s="420">
        <v>0.0</v>
      </c>
      <c r="AI1533" s="421">
        <f t="shared" si="12"/>
        <v>0</v>
      </c>
      <c r="AJ1533" s="422">
        <f t="shared" si="5"/>
        <v>431250</v>
      </c>
      <c r="AK1533" s="422">
        <f t="shared" ref="AK1533:AK1536" si="15">SUM(AH1533+AJ1533)</f>
        <v>431250</v>
      </c>
      <c r="AL1533" s="48"/>
      <c r="AM1533" s="48"/>
    </row>
    <row r="1534">
      <c r="A1534" s="411">
        <v>1533.0</v>
      </c>
      <c r="B1534" s="412">
        <v>45534.0</v>
      </c>
      <c r="C1534" s="38"/>
      <c r="D1534" s="413" t="s">
        <v>2677</v>
      </c>
      <c r="E1534" s="39" t="s">
        <v>2678</v>
      </c>
      <c r="F1534" s="414" t="s">
        <v>3772</v>
      </c>
      <c r="G1534" s="411" t="s">
        <v>64</v>
      </c>
      <c r="H1534" s="411" t="s">
        <v>41</v>
      </c>
      <c r="I1534" s="411" t="s">
        <v>643</v>
      </c>
      <c r="J1534" s="43"/>
      <c r="K1534" s="43"/>
      <c r="L1534" s="43"/>
      <c r="M1534" s="43"/>
      <c r="N1534" s="43"/>
      <c r="O1534" s="43"/>
      <c r="P1534" s="43"/>
      <c r="Q1534" s="44"/>
      <c r="R1534" s="44"/>
      <c r="S1534" s="411" t="s">
        <v>89</v>
      </c>
      <c r="T1534" s="416" t="s">
        <v>83</v>
      </c>
      <c r="U1534" s="416" t="s">
        <v>99</v>
      </c>
      <c r="V1534" s="416" t="s">
        <v>1984</v>
      </c>
      <c r="W1534" s="46">
        <v>210849.0</v>
      </c>
      <c r="X1534" s="46">
        <v>843395.0</v>
      </c>
      <c r="Y1534" s="45"/>
      <c r="Z1534" s="45"/>
      <c r="AA1534" s="417">
        <v>0.0</v>
      </c>
      <c r="AB1534" s="417">
        <v>0.0</v>
      </c>
      <c r="AC1534" s="418" t="s">
        <v>4174</v>
      </c>
      <c r="AD1534" s="39">
        <v>15716.0</v>
      </c>
      <c r="AE1534" s="44"/>
      <c r="AF1534" s="411" t="str">
        <f t="shared" si="1"/>
        <v>Capital Federal, Argentina</v>
      </c>
      <c r="AG1534" s="419">
        <f t="shared" si="2"/>
        <v>0</v>
      </c>
      <c r="AH1534" s="420">
        <f t="shared" ref="AH1534:AH1536" si="16">SUM(X1534+W1534)</f>
        <v>1054244</v>
      </c>
      <c r="AI1534" s="421">
        <f t="shared" si="12"/>
        <v>0</v>
      </c>
      <c r="AJ1534" s="422">
        <f t="shared" si="5"/>
        <v>0</v>
      </c>
      <c r="AK1534" s="422">
        <f t="shared" si="15"/>
        <v>1054244</v>
      </c>
      <c r="AL1534" s="48"/>
      <c r="AM1534" s="48"/>
    </row>
    <row r="1535">
      <c r="A1535" s="411">
        <v>1534.0</v>
      </c>
      <c r="B1535" s="412">
        <v>45534.0</v>
      </c>
      <c r="C1535" s="38"/>
      <c r="D1535" s="413" t="s">
        <v>3691</v>
      </c>
      <c r="E1535" s="39" t="s">
        <v>3424</v>
      </c>
      <c r="F1535" s="414" t="s">
        <v>4131</v>
      </c>
      <c r="G1535" s="411" t="s">
        <v>64</v>
      </c>
      <c r="H1535" s="411" t="s">
        <v>41</v>
      </c>
      <c r="I1535" s="411" t="s">
        <v>643</v>
      </c>
      <c r="J1535" s="43"/>
      <c r="K1535" s="43"/>
      <c r="L1535" s="43"/>
      <c r="M1535" s="43"/>
      <c r="N1535" s="43"/>
      <c r="O1535" s="43"/>
      <c r="P1535" s="43"/>
      <c r="Q1535" s="44"/>
      <c r="R1535" s="44"/>
      <c r="S1535" s="411" t="s">
        <v>105</v>
      </c>
      <c r="T1535" s="416" t="s">
        <v>66</v>
      </c>
      <c r="U1535" s="416" t="s">
        <v>99</v>
      </c>
      <c r="V1535" s="416" t="s">
        <v>1984</v>
      </c>
      <c r="W1535" s="46">
        <v>134308.0</v>
      </c>
      <c r="X1535" s="46">
        <v>604386.0</v>
      </c>
      <c r="Y1535" s="45"/>
      <c r="Z1535" s="45"/>
      <c r="AA1535" s="417">
        <v>0.0</v>
      </c>
      <c r="AB1535" s="417">
        <v>0.0</v>
      </c>
      <c r="AC1535" s="418" t="s">
        <v>4175</v>
      </c>
      <c r="AD1535" s="39">
        <v>15684.0</v>
      </c>
      <c r="AE1535" s="44"/>
      <c r="AF1535" s="411" t="str">
        <f t="shared" si="1"/>
        <v>Buenos Aires, Argentina</v>
      </c>
      <c r="AG1535" s="419">
        <f t="shared" si="2"/>
        <v>0</v>
      </c>
      <c r="AH1535" s="420">
        <f t="shared" si="16"/>
        <v>738694</v>
      </c>
      <c r="AI1535" s="421">
        <f t="shared" si="12"/>
        <v>0</v>
      </c>
      <c r="AJ1535" s="422">
        <f t="shared" si="5"/>
        <v>0</v>
      </c>
      <c r="AK1535" s="422">
        <f t="shared" si="15"/>
        <v>738694</v>
      </c>
      <c r="AL1535" s="48"/>
      <c r="AM1535" s="48"/>
    </row>
    <row r="1536">
      <c r="A1536" s="411">
        <v>1535.0</v>
      </c>
      <c r="B1536" s="412">
        <v>45534.0</v>
      </c>
      <c r="C1536" s="38"/>
      <c r="D1536" s="413" t="s">
        <v>3691</v>
      </c>
      <c r="E1536" s="39" t="s">
        <v>3424</v>
      </c>
      <c r="F1536" s="414" t="s">
        <v>3490</v>
      </c>
      <c r="G1536" s="411" t="s">
        <v>64</v>
      </c>
      <c r="H1536" s="411" t="s">
        <v>41</v>
      </c>
      <c r="I1536" s="411" t="s">
        <v>643</v>
      </c>
      <c r="J1536" s="43"/>
      <c r="K1536" s="43"/>
      <c r="L1536" s="43"/>
      <c r="M1536" s="43"/>
      <c r="N1536" s="43"/>
      <c r="O1536" s="43"/>
      <c r="P1536" s="42">
        <v>1.0</v>
      </c>
      <c r="Q1536" s="44"/>
      <c r="R1536" s="44"/>
      <c r="S1536" s="411" t="s">
        <v>105</v>
      </c>
      <c r="T1536" s="416" t="s">
        <v>66</v>
      </c>
      <c r="U1536" s="416" t="s">
        <v>99</v>
      </c>
      <c r="V1536" s="416" t="s">
        <v>1984</v>
      </c>
      <c r="W1536" s="45"/>
      <c r="X1536" s="45"/>
      <c r="Y1536" s="45"/>
      <c r="Z1536" s="45"/>
      <c r="AA1536" s="417">
        <v>115000.0</v>
      </c>
      <c r="AB1536" s="417">
        <v>460000.0</v>
      </c>
      <c r="AC1536" s="418" t="s">
        <v>4175</v>
      </c>
      <c r="AD1536" s="39">
        <v>15684.0</v>
      </c>
      <c r="AE1536" s="44"/>
      <c r="AF1536" s="411" t="str">
        <f t="shared" si="1"/>
        <v>Buenos Aires, Argentina</v>
      </c>
      <c r="AG1536" s="419">
        <f t="shared" si="2"/>
        <v>1</v>
      </c>
      <c r="AH1536" s="420">
        <f t="shared" si="16"/>
        <v>0</v>
      </c>
      <c r="AI1536" s="421">
        <f t="shared" si="12"/>
        <v>0</v>
      </c>
      <c r="AJ1536" s="422">
        <f t="shared" si="5"/>
        <v>575000</v>
      </c>
      <c r="AK1536" s="422">
        <f t="shared" si="15"/>
        <v>575000</v>
      </c>
      <c r="AL1536" s="48"/>
      <c r="AM1536" s="48"/>
    </row>
    <row r="1537">
      <c r="A1537" s="411">
        <v>1536.0</v>
      </c>
      <c r="B1537" s="412">
        <v>45534.0</v>
      </c>
      <c r="C1537" s="44"/>
      <c r="D1537" s="423" t="s">
        <v>2427</v>
      </c>
      <c r="E1537" s="39" t="s">
        <v>2299</v>
      </c>
      <c r="F1537" s="414" t="s">
        <v>3549</v>
      </c>
      <c r="G1537" s="411" t="s">
        <v>64</v>
      </c>
      <c r="H1537" s="411" t="s">
        <v>41</v>
      </c>
      <c r="I1537" s="411" t="s">
        <v>643</v>
      </c>
      <c r="J1537" s="43"/>
      <c r="K1537" s="43"/>
      <c r="L1537" s="43"/>
      <c r="M1537" s="43"/>
      <c r="N1537" s="43"/>
      <c r="O1537" s="43"/>
      <c r="P1537" s="43"/>
      <c r="Q1537" s="44"/>
      <c r="R1537" s="44"/>
      <c r="S1537" s="411" t="s">
        <v>98</v>
      </c>
      <c r="T1537" s="416" t="s">
        <v>66</v>
      </c>
      <c r="U1537" s="416" t="s">
        <v>99</v>
      </c>
      <c r="V1537" s="416" t="s">
        <v>1984</v>
      </c>
      <c r="W1537" s="417">
        <v>402840.0</v>
      </c>
      <c r="X1537" s="45"/>
      <c r="Y1537" s="45"/>
      <c r="Z1537" s="45"/>
      <c r="AA1537" s="417">
        <v>0.0</v>
      </c>
      <c r="AB1537" s="417">
        <v>0.0</v>
      </c>
      <c r="AC1537" s="418" t="s">
        <v>3927</v>
      </c>
      <c r="AD1537" s="39">
        <v>13992.0</v>
      </c>
      <c r="AE1537" s="44"/>
      <c r="AF1537" s="411" t="str">
        <f t="shared" si="1"/>
        <v>Buenos Aires, Argentina</v>
      </c>
      <c r="AG1537" s="411">
        <f t="shared" si="2"/>
        <v>0</v>
      </c>
      <c r="AH1537" s="421">
        <f t="shared" ref="AH1537:AH2016" si="17">SUM(W1537:X1537)</f>
        <v>402840</v>
      </c>
      <c r="AI1537" s="421">
        <f t="shared" si="12"/>
        <v>0</v>
      </c>
      <c r="AJ1537" s="417">
        <f t="shared" si="5"/>
        <v>0</v>
      </c>
      <c r="AK1537" s="417">
        <f t="shared" ref="AK1537:AK2016" si="18">SUM(AH1537:AJ1537)</f>
        <v>402840</v>
      </c>
      <c r="AL1537" s="424"/>
      <c r="AM1537" s="424"/>
    </row>
    <row r="1538">
      <c r="A1538" s="411">
        <v>1537.0</v>
      </c>
      <c r="B1538" s="412">
        <v>45534.0</v>
      </c>
      <c r="C1538" s="44"/>
      <c r="D1538" s="423" t="s">
        <v>3029</v>
      </c>
      <c r="E1538" s="39" t="s">
        <v>3030</v>
      </c>
      <c r="F1538" s="414" t="s">
        <v>3549</v>
      </c>
      <c r="G1538" s="411" t="s">
        <v>64</v>
      </c>
      <c r="H1538" s="411" t="s">
        <v>41</v>
      </c>
      <c r="I1538" s="411" t="s">
        <v>643</v>
      </c>
      <c r="J1538" s="43"/>
      <c r="K1538" s="43"/>
      <c r="L1538" s="43"/>
      <c r="M1538" s="43"/>
      <c r="N1538" s="43"/>
      <c r="O1538" s="43"/>
      <c r="P1538" s="43"/>
      <c r="Q1538" s="44"/>
      <c r="R1538" s="44"/>
      <c r="S1538" s="411" t="s">
        <v>98</v>
      </c>
      <c r="T1538" s="416" t="s">
        <v>66</v>
      </c>
      <c r="U1538" s="416" t="s">
        <v>99</v>
      </c>
      <c r="V1538" s="416" t="s">
        <v>1984</v>
      </c>
      <c r="W1538" s="417">
        <v>402840.0</v>
      </c>
      <c r="X1538" s="45"/>
      <c r="Y1538" s="45"/>
      <c r="Z1538" s="45"/>
      <c r="AA1538" s="417">
        <v>0.0</v>
      </c>
      <c r="AB1538" s="417">
        <v>0.0</v>
      </c>
      <c r="AC1538" s="418" t="s">
        <v>3927</v>
      </c>
      <c r="AD1538" s="39">
        <v>13992.0</v>
      </c>
      <c r="AE1538" s="44"/>
      <c r="AF1538" s="411" t="str">
        <f t="shared" si="1"/>
        <v>Buenos Aires, Argentina</v>
      </c>
      <c r="AG1538" s="411">
        <f t="shared" si="2"/>
        <v>0</v>
      </c>
      <c r="AH1538" s="421">
        <f t="shared" si="17"/>
        <v>402840</v>
      </c>
      <c r="AI1538" s="421">
        <f t="shared" si="12"/>
        <v>0</v>
      </c>
      <c r="AJ1538" s="417">
        <f t="shared" si="5"/>
        <v>0</v>
      </c>
      <c r="AK1538" s="417">
        <f t="shared" si="18"/>
        <v>402840</v>
      </c>
      <c r="AL1538" s="424"/>
      <c r="AM1538" s="424"/>
    </row>
    <row r="1539">
      <c r="A1539" s="411">
        <v>1538.0</v>
      </c>
      <c r="B1539" s="412">
        <v>45534.0</v>
      </c>
      <c r="C1539" s="44"/>
      <c r="D1539" s="423" t="s">
        <v>1635</v>
      </c>
      <c r="E1539" s="39" t="s">
        <v>3926</v>
      </c>
      <c r="F1539" s="414" t="s">
        <v>3549</v>
      </c>
      <c r="G1539" s="411" t="s">
        <v>64</v>
      </c>
      <c r="H1539" s="411" t="s">
        <v>41</v>
      </c>
      <c r="I1539" s="411" t="s">
        <v>643</v>
      </c>
      <c r="J1539" s="43"/>
      <c r="K1539" s="43"/>
      <c r="L1539" s="43"/>
      <c r="M1539" s="43"/>
      <c r="N1539" s="43"/>
      <c r="O1539" s="43"/>
      <c r="P1539" s="43"/>
      <c r="Q1539" s="44"/>
      <c r="R1539" s="44"/>
      <c r="S1539" s="411" t="s">
        <v>98</v>
      </c>
      <c r="T1539" s="416" t="s">
        <v>66</v>
      </c>
      <c r="U1539" s="416" t="s">
        <v>99</v>
      </c>
      <c r="V1539" s="416" t="s">
        <v>1984</v>
      </c>
      <c r="W1539" s="417">
        <v>402840.0</v>
      </c>
      <c r="X1539" s="45"/>
      <c r="Y1539" s="45"/>
      <c r="Z1539" s="45"/>
      <c r="AA1539" s="417">
        <v>0.0</v>
      </c>
      <c r="AB1539" s="417">
        <v>0.0</v>
      </c>
      <c r="AC1539" s="418" t="s">
        <v>3927</v>
      </c>
      <c r="AD1539" s="39">
        <v>13992.0</v>
      </c>
      <c r="AE1539" s="44"/>
      <c r="AF1539" s="411" t="str">
        <f t="shared" si="1"/>
        <v>Buenos Aires, Argentina</v>
      </c>
      <c r="AG1539" s="411">
        <f t="shared" si="2"/>
        <v>0</v>
      </c>
      <c r="AH1539" s="421">
        <f t="shared" si="17"/>
        <v>402840</v>
      </c>
      <c r="AI1539" s="421">
        <f t="shared" si="12"/>
        <v>0</v>
      </c>
      <c r="AJ1539" s="417">
        <f t="shared" si="5"/>
        <v>0</v>
      </c>
      <c r="AK1539" s="417">
        <f t="shared" si="18"/>
        <v>402840</v>
      </c>
      <c r="AL1539" s="424"/>
      <c r="AM1539" s="424"/>
    </row>
    <row r="1540">
      <c r="A1540" s="411">
        <v>1539.0</v>
      </c>
      <c r="B1540" s="412">
        <v>45534.0</v>
      </c>
      <c r="C1540" s="38"/>
      <c r="D1540" s="413" t="s">
        <v>3285</v>
      </c>
      <c r="E1540" s="39" t="s">
        <v>4176</v>
      </c>
      <c r="F1540" s="414" t="s">
        <v>4177</v>
      </c>
      <c r="G1540" s="411" t="s">
        <v>64</v>
      </c>
      <c r="H1540" s="411" t="s">
        <v>41</v>
      </c>
      <c r="I1540" s="411" t="s">
        <v>643</v>
      </c>
      <c r="J1540" s="43"/>
      <c r="K1540" s="415">
        <v>3.0</v>
      </c>
      <c r="L1540" s="43"/>
      <c r="M1540" s="43"/>
      <c r="N1540" s="43"/>
      <c r="O1540" s="415">
        <v>1.0</v>
      </c>
      <c r="P1540" s="43"/>
      <c r="Q1540" s="44"/>
      <c r="R1540" s="44"/>
      <c r="S1540" s="411" t="s">
        <v>65</v>
      </c>
      <c r="T1540" s="416" t="s">
        <v>539</v>
      </c>
      <c r="U1540" s="416" t="s">
        <v>99</v>
      </c>
      <c r="V1540" s="416" t="s">
        <v>1984</v>
      </c>
      <c r="W1540" s="45"/>
      <c r="X1540" s="45"/>
      <c r="Y1540" s="45"/>
      <c r="Z1540" s="45"/>
      <c r="AA1540" s="417">
        <v>322000.0</v>
      </c>
      <c r="AB1540" s="417">
        <v>1288000.0</v>
      </c>
      <c r="AC1540" s="418" t="s">
        <v>4178</v>
      </c>
      <c r="AD1540" s="39">
        <v>15796.0</v>
      </c>
      <c r="AE1540" s="44"/>
      <c r="AF1540" s="411" t="str">
        <f t="shared" si="1"/>
        <v>Misiones, Argentina</v>
      </c>
      <c r="AG1540" s="411">
        <f t="shared" si="2"/>
        <v>4</v>
      </c>
      <c r="AH1540" s="421">
        <f t="shared" si="17"/>
        <v>0</v>
      </c>
      <c r="AI1540" s="421">
        <f t="shared" si="12"/>
        <v>0</v>
      </c>
      <c r="AJ1540" s="417">
        <f t="shared" si="5"/>
        <v>1610000</v>
      </c>
      <c r="AK1540" s="417">
        <f t="shared" si="18"/>
        <v>1610000</v>
      </c>
      <c r="AL1540" s="48"/>
      <c r="AM1540" s="48"/>
    </row>
    <row r="1541">
      <c r="A1541" s="411">
        <v>1540.0</v>
      </c>
      <c r="B1541" s="412">
        <v>45534.0</v>
      </c>
      <c r="C1541" s="38"/>
      <c r="D1541" s="413" t="s">
        <v>3363</v>
      </c>
      <c r="E1541" s="39" t="s">
        <v>4179</v>
      </c>
      <c r="F1541" s="414" t="s">
        <v>4180</v>
      </c>
      <c r="G1541" s="411" t="s">
        <v>64</v>
      </c>
      <c r="H1541" s="411" t="s">
        <v>41</v>
      </c>
      <c r="I1541" s="411" t="s">
        <v>643</v>
      </c>
      <c r="J1541" s="43"/>
      <c r="K1541" s="43"/>
      <c r="L1541" s="43"/>
      <c r="M1541" s="43"/>
      <c r="N1541" s="43"/>
      <c r="O1541" s="43"/>
      <c r="P1541" s="43"/>
      <c r="Q1541" s="44"/>
      <c r="R1541" s="44"/>
      <c r="S1541" s="411" t="s">
        <v>43</v>
      </c>
      <c r="T1541" s="416" t="s">
        <v>83</v>
      </c>
      <c r="U1541" s="416" t="s">
        <v>99</v>
      </c>
      <c r="V1541" s="416" t="s">
        <v>1984</v>
      </c>
      <c r="W1541" s="45"/>
      <c r="X1541" s="45"/>
      <c r="Y1541" s="45"/>
      <c r="Z1541" s="45"/>
      <c r="AA1541" s="417">
        <v>115000.0</v>
      </c>
      <c r="AB1541" s="417">
        <v>0.0</v>
      </c>
      <c r="AC1541" s="418" t="s">
        <v>4181</v>
      </c>
      <c r="AD1541" s="39">
        <v>15718.0</v>
      </c>
      <c r="AE1541" s="44"/>
      <c r="AF1541" s="411" t="str">
        <f t="shared" si="1"/>
        <v>Capital Federal, Argentina</v>
      </c>
      <c r="AG1541" s="411">
        <f t="shared" si="2"/>
        <v>0</v>
      </c>
      <c r="AH1541" s="421">
        <f t="shared" si="17"/>
        <v>0</v>
      </c>
      <c r="AI1541" s="421">
        <f t="shared" si="12"/>
        <v>0</v>
      </c>
      <c r="AJ1541" s="417">
        <f t="shared" si="5"/>
        <v>115000</v>
      </c>
      <c r="AK1541" s="417">
        <f t="shared" si="18"/>
        <v>115000</v>
      </c>
      <c r="AL1541" s="48"/>
      <c r="AM1541" s="48"/>
    </row>
    <row r="1542">
      <c r="A1542" s="411">
        <v>1541.0</v>
      </c>
      <c r="B1542" s="412">
        <v>45534.0</v>
      </c>
      <c r="C1542" s="38"/>
      <c r="D1542" s="413" t="s">
        <v>4182</v>
      </c>
      <c r="E1542" s="39" t="s">
        <v>4183</v>
      </c>
      <c r="F1542" s="414" t="s">
        <v>4184</v>
      </c>
      <c r="G1542" s="411" t="s">
        <v>40</v>
      </c>
      <c r="H1542" s="411" t="s">
        <v>41</v>
      </c>
      <c r="I1542" s="411" t="s">
        <v>643</v>
      </c>
      <c r="J1542" s="415">
        <v>3.0</v>
      </c>
      <c r="K1542" s="43"/>
      <c r="L1542" s="43"/>
      <c r="M1542" s="415">
        <v>1.0</v>
      </c>
      <c r="N1542" s="43"/>
      <c r="O1542" s="415">
        <v>2.0</v>
      </c>
      <c r="P1542" s="43"/>
      <c r="Q1542" s="44"/>
      <c r="R1542" s="44"/>
      <c r="S1542" s="411" t="s">
        <v>114</v>
      </c>
      <c r="T1542" s="416" t="s">
        <v>66</v>
      </c>
      <c r="U1542" s="416" t="s">
        <v>342</v>
      </c>
      <c r="V1542" s="416" t="s">
        <v>4185</v>
      </c>
      <c r="W1542" s="45"/>
      <c r="X1542" s="45"/>
      <c r="Y1542" s="45"/>
      <c r="Z1542" s="45"/>
      <c r="AA1542" s="417">
        <v>471500.0</v>
      </c>
      <c r="AB1542" s="417">
        <v>1768125.0</v>
      </c>
      <c r="AC1542" s="418" t="s">
        <v>4186</v>
      </c>
      <c r="AD1542" s="39">
        <v>15688.0</v>
      </c>
      <c r="AE1542" s="44"/>
      <c r="AF1542" s="411" t="str">
        <f t="shared" si="1"/>
        <v>Buenos Aires, Argentina</v>
      </c>
      <c r="AG1542" s="411">
        <f t="shared" si="2"/>
        <v>6</v>
      </c>
      <c r="AH1542" s="421">
        <f t="shared" si="17"/>
        <v>0</v>
      </c>
      <c r="AI1542" s="421">
        <f t="shared" si="12"/>
        <v>0</v>
      </c>
      <c r="AJ1542" s="417">
        <f t="shared" si="5"/>
        <v>2239625</v>
      </c>
      <c r="AK1542" s="417">
        <f t="shared" si="18"/>
        <v>2239625</v>
      </c>
      <c r="AL1542" s="48"/>
      <c r="AM1542" s="48"/>
    </row>
    <row r="1543">
      <c r="A1543" s="411">
        <v>1542.0</v>
      </c>
      <c r="B1543" s="412">
        <v>45534.0</v>
      </c>
      <c r="C1543" s="38"/>
      <c r="D1543" s="413" t="s">
        <v>4187</v>
      </c>
      <c r="E1543" s="39" t="s">
        <v>3997</v>
      </c>
      <c r="F1543" s="414" t="s">
        <v>4188</v>
      </c>
      <c r="G1543" s="411" t="s">
        <v>64</v>
      </c>
      <c r="H1543" s="411" t="s">
        <v>41</v>
      </c>
      <c r="I1543" s="411" t="s">
        <v>643</v>
      </c>
      <c r="J1543" s="43"/>
      <c r="K1543" s="415">
        <v>7.0</v>
      </c>
      <c r="L1543" s="43"/>
      <c r="M1543" s="43"/>
      <c r="N1543" s="43"/>
      <c r="O1543" s="43"/>
      <c r="P1543" s="43"/>
      <c r="Q1543" s="44"/>
      <c r="R1543" s="44"/>
      <c r="S1543" s="411" t="s">
        <v>43</v>
      </c>
      <c r="T1543" s="416" t="s">
        <v>83</v>
      </c>
      <c r="U1543" s="416" t="s">
        <v>99</v>
      </c>
      <c r="V1543" s="416" t="s">
        <v>1984</v>
      </c>
      <c r="W1543" s="45"/>
      <c r="X1543" s="45"/>
      <c r="Y1543" s="45"/>
      <c r="Z1543" s="45"/>
      <c r="AA1543" s="417">
        <v>603750.0</v>
      </c>
      <c r="AB1543" s="417">
        <v>2415000.0</v>
      </c>
      <c r="AC1543" s="418" t="s">
        <v>4189</v>
      </c>
      <c r="AD1543" s="39">
        <v>15506.0</v>
      </c>
      <c r="AE1543" s="44"/>
      <c r="AF1543" s="411" t="str">
        <f t="shared" si="1"/>
        <v>Capital Federal, Argentina</v>
      </c>
      <c r="AG1543" s="411">
        <f t="shared" si="2"/>
        <v>7</v>
      </c>
      <c r="AH1543" s="421">
        <f t="shared" si="17"/>
        <v>0</v>
      </c>
      <c r="AI1543" s="421">
        <f t="shared" si="12"/>
        <v>0</v>
      </c>
      <c r="AJ1543" s="417">
        <f t="shared" si="5"/>
        <v>3018750</v>
      </c>
      <c r="AK1543" s="417">
        <f t="shared" si="18"/>
        <v>3018750</v>
      </c>
      <c r="AL1543" s="48"/>
      <c r="AM1543" s="48"/>
    </row>
    <row r="1544">
      <c r="A1544" s="411">
        <v>1543.0</v>
      </c>
      <c r="B1544" s="412">
        <v>45534.0</v>
      </c>
      <c r="C1544" s="38"/>
      <c r="D1544" s="413" t="s">
        <v>2471</v>
      </c>
      <c r="E1544" s="39" t="s">
        <v>4190</v>
      </c>
      <c r="F1544" s="414" t="s">
        <v>4191</v>
      </c>
      <c r="G1544" s="411" t="s">
        <v>64</v>
      </c>
      <c r="H1544" s="411" t="s">
        <v>41</v>
      </c>
      <c r="I1544" s="411" t="s">
        <v>643</v>
      </c>
      <c r="J1544" s="43"/>
      <c r="K1544" s="43"/>
      <c r="L1544" s="43"/>
      <c r="M1544" s="43"/>
      <c r="N1544" s="43"/>
      <c r="O1544" s="43"/>
      <c r="P1544" s="43"/>
      <c r="Q1544" s="44"/>
      <c r="R1544" s="44"/>
      <c r="S1544" s="411" t="s">
        <v>109</v>
      </c>
      <c r="T1544" s="416" t="s">
        <v>66</v>
      </c>
      <c r="U1544" s="416" t="s">
        <v>99</v>
      </c>
      <c r="V1544" s="416" t="s">
        <v>1984</v>
      </c>
      <c r="W1544" s="45"/>
      <c r="X1544" s="45"/>
      <c r="Y1544" s="45"/>
      <c r="Z1544" s="45"/>
      <c r="AA1544" s="417">
        <v>0.0</v>
      </c>
      <c r="AB1544" s="417">
        <v>103500.0</v>
      </c>
      <c r="AC1544" s="418" t="s">
        <v>4192</v>
      </c>
      <c r="AD1544" s="39">
        <v>15670.0</v>
      </c>
      <c r="AE1544" s="44"/>
      <c r="AF1544" s="411" t="str">
        <f t="shared" si="1"/>
        <v>Buenos Aires, Argentina</v>
      </c>
      <c r="AG1544" s="411">
        <f t="shared" si="2"/>
        <v>0</v>
      </c>
      <c r="AH1544" s="421">
        <f t="shared" si="17"/>
        <v>0</v>
      </c>
      <c r="AI1544" s="421">
        <f t="shared" si="12"/>
        <v>0</v>
      </c>
      <c r="AJ1544" s="417">
        <f t="shared" si="5"/>
        <v>103500</v>
      </c>
      <c r="AK1544" s="417">
        <f t="shared" si="18"/>
        <v>103500</v>
      </c>
      <c r="AL1544" s="48"/>
      <c r="AM1544" s="48"/>
    </row>
    <row r="1545">
      <c r="A1545" s="411">
        <v>1544.0</v>
      </c>
      <c r="B1545" s="412">
        <v>45534.0</v>
      </c>
      <c r="C1545" s="38"/>
      <c r="D1545" s="413" t="s">
        <v>4193</v>
      </c>
      <c r="E1545" s="39" t="s">
        <v>4194</v>
      </c>
      <c r="F1545" s="414" t="s">
        <v>1427</v>
      </c>
      <c r="G1545" s="411" t="s">
        <v>64</v>
      </c>
      <c r="H1545" s="411" t="s">
        <v>41</v>
      </c>
      <c r="I1545" s="411" t="s">
        <v>643</v>
      </c>
      <c r="J1545" s="43"/>
      <c r="K1545" s="415">
        <v>2.0</v>
      </c>
      <c r="L1545" s="43"/>
      <c r="M1545" s="43"/>
      <c r="N1545" s="43"/>
      <c r="O1545" s="43"/>
      <c r="P1545" s="43"/>
      <c r="Q1545" s="44"/>
      <c r="R1545" s="44"/>
      <c r="S1545" s="411" t="s">
        <v>65</v>
      </c>
      <c r="T1545" s="416" t="s">
        <v>66</v>
      </c>
      <c r="U1545" s="416" t="s">
        <v>99</v>
      </c>
      <c r="V1545" s="416" t="s">
        <v>1984</v>
      </c>
      <c r="W1545" s="45"/>
      <c r="X1545" s="45"/>
      <c r="Y1545" s="45"/>
      <c r="Z1545" s="45"/>
      <c r="AA1545" s="417">
        <v>155250.0</v>
      </c>
      <c r="AB1545" s="417">
        <v>621000.0</v>
      </c>
      <c r="AC1545" s="418" t="s">
        <v>4195</v>
      </c>
      <c r="AD1545" s="39">
        <v>15834.0</v>
      </c>
      <c r="AE1545" s="44"/>
      <c r="AF1545" s="411" t="str">
        <f t="shared" si="1"/>
        <v>Buenos Aires, Argentina</v>
      </c>
      <c r="AG1545" s="411">
        <f t="shared" si="2"/>
        <v>2</v>
      </c>
      <c r="AH1545" s="421">
        <f t="shared" si="17"/>
        <v>0</v>
      </c>
      <c r="AI1545" s="421">
        <f t="shared" si="12"/>
        <v>0</v>
      </c>
      <c r="AJ1545" s="417">
        <f t="shared" si="5"/>
        <v>776250</v>
      </c>
      <c r="AK1545" s="417">
        <f t="shared" si="18"/>
        <v>776250</v>
      </c>
      <c r="AL1545" s="48"/>
      <c r="AM1545" s="48"/>
    </row>
    <row r="1546">
      <c r="A1546" s="411">
        <v>1545.0</v>
      </c>
      <c r="B1546" s="412">
        <v>45534.0</v>
      </c>
      <c r="C1546" s="38"/>
      <c r="D1546" s="413" t="s">
        <v>4150</v>
      </c>
      <c r="E1546" s="39" t="s">
        <v>4196</v>
      </c>
      <c r="F1546" s="414" t="s">
        <v>1423</v>
      </c>
      <c r="G1546" s="411" t="s">
        <v>64</v>
      </c>
      <c r="H1546" s="411" t="s">
        <v>41</v>
      </c>
      <c r="I1546" s="411" t="s">
        <v>643</v>
      </c>
      <c r="J1546" s="415">
        <v>1.0</v>
      </c>
      <c r="K1546" s="43"/>
      <c r="L1546" s="43"/>
      <c r="M1546" s="43"/>
      <c r="N1546" s="43"/>
      <c r="O1546" s="43"/>
      <c r="P1546" s="43"/>
      <c r="Q1546" s="44"/>
      <c r="R1546" s="44"/>
      <c r="S1546" s="411" t="s">
        <v>137</v>
      </c>
      <c r="T1546" s="416" t="s">
        <v>66</v>
      </c>
      <c r="U1546" s="416" t="s">
        <v>99</v>
      </c>
      <c r="V1546" s="416" t="s">
        <v>1984</v>
      </c>
      <c r="W1546" s="45"/>
      <c r="X1546" s="45"/>
      <c r="Y1546" s="45"/>
      <c r="Z1546" s="45"/>
      <c r="AA1546" s="417">
        <v>119000.0</v>
      </c>
      <c r="AB1546" s="417">
        <v>595000.0</v>
      </c>
      <c r="AC1546" s="418" t="s">
        <v>4197</v>
      </c>
      <c r="AD1546" s="39">
        <v>15742.0</v>
      </c>
      <c r="AE1546" s="44"/>
      <c r="AF1546" s="411" t="str">
        <f t="shared" si="1"/>
        <v>Buenos Aires, Argentina</v>
      </c>
      <c r="AG1546" s="411">
        <f t="shared" si="2"/>
        <v>1</v>
      </c>
      <c r="AH1546" s="421">
        <f t="shared" si="17"/>
        <v>0</v>
      </c>
      <c r="AI1546" s="421">
        <f t="shared" si="12"/>
        <v>0</v>
      </c>
      <c r="AJ1546" s="417">
        <f t="shared" si="5"/>
        <v>714000</v>
      </c>
      <c r="AK1546" s="417">
        <f t="shared" si="18"/>
        <v>714000</v>
      </c>
      <c r="AL1546" s="48"/>
      <c r="AM1546" s="48"/>
    </row>
    <row r="1547">
      <c r="A1547" s="411">
        <v>1546.0</v>
      </c>
      <c r="B1547" s="412">
        <v>45534.0</v>
      </c>
      <c r="C1547" s="38"/>
      <c r="D1547" s="413" t="s">
        <v>4150</v>
      </c>
      <c r="E1547" s="39" t="s">
        <v>4198</v>
      </c>
      <c r="F1547" s="414" t="s">
        <v>4199</v>
      </c>
      <c r="G1547" s="411" t="s">
        <v>64</v>
      </c>
      <c r="H1547" s="411" t="s">
        <v>41</v>
      </c>
      <c r="I1547" s="411" t="s">
        <v>643</v>
      </c>
      <c r="J1547" s="43"/>
      <c r="K1547" s="43"/>
      <c r="L1547" s="43"/>
      <c r="M1547" s="43"/>
      <c r="N1547" s="43"/>
      <c r="O1547" s="43"/>
      <c r="P1547" s="43"/>
      <c r="Q1547" s="44"/>
      <c r="R1547" s="44"/>
      <c r="S1547" s="411" t="s">
        <v>137</v>
      </c>
      <c r="T1547" s="416" t="s">
        <v>66</v>
      </c>
      <c r="U1547" s="416" t="s">
        <v>99</v>
      </c>
      <c r="V1547" s="416" t="s">
        <v>1984</v>
      </c>
      <c r="W1547" s="45"/>
      <c r="X1547" s="45"/>
      <c r="Y1547" s="45"/>
      <c r="Z1547" s="45"/>
      <c r="AA1547" s="417">
        <v>0.0</v>
      </c>
      <c r="AB1547" s="417">
        <v>238000.0</v>
      </c>
      <c r="AC1547" s="418" t="s">
        <v>4197</v>
      </c>
      <c r="AD1547" s="39">
        <v>15742.0</v>
      </c>
      <c r="AE1547" s="44"/>
      <c r="AF1547" s="411" t="str">
        <f t="shared" si="1"/>
        <v>Buenos Aires, Argentina</v>
      </c>
      <c r="AG1547" s="411">
        <f t="shared" si="2"/>
        <v>0</v>
      </c>
      <c r="AH1547" s="421">
        <f t="shared" si="17"/>
        <v>0</v>
      </c>
      <c r="AI1547" s="421">
        <f t="shared" si="12"/>
        <v>0</v>
      </c>
      <c r="AJ1547" s="417">
        <f t="shared" si="5"/>
        <v>238000</v>
      </c>
      <c r="AK1547" s="417">
        <f t="shared" si="18"/>
        <v>238000</v>
      </c>
      <c r="AL1547" s="48"/>
      <c r="AM1547" s="48"/>
    </row>
    <row r="1548">
      <c r="A1548" s="224">
        <v>1547.0</v>
      </c>
      <c r="B1548" s="225">
        <v>45547.0</v>
      </c>
      <c r="C1548" s="229"/>
      <c r="D1548" s="425" t="s">
        <v>4098</v>
      </c>
      <c r="E1548" s="426" t="s">
        <v>4200</v>
      </c>
      <c r="F1548" s="226" t="s">
        <v>4201</v>
      </c>
      <c r="G1548" s="224" t="s">
        <v>64</v>
      </c>
      <c r="H1548" s="224" t="s">
        <v>41</v>
      </c>
      <c r="I1548" s="224" t="s">
        <v>643</v>
      </c>
      <c r="J1548" s="227">
        <v>2.0</v>
      </c>
      <c r="K1548" s="227">
        <v>1.0</v>
      </c>
      <c r="L1548" s="228"/>
      <c r="M1548" s="228"/>
      <c r="N1548" s="228"/>
      <c r="O1548" s="228"/>
      <c r="P1548" s="228"/>
      <c r="Q1548" s="229"/>
      <c r="R1548" s="229"/>
      <c r="S1548" s="224" t="s">
        <v>189</v>
      </c>
      <c r="T1548" s="427" t="s">
        <v>66</v>
      </c>
      <c r="U1548" s="427" t="s">
        <v>99</v>
      </c>
      <c r="V1548" s="427" t="s">
        <v>2922</v>
      </c>
      <c r="W1548" s="230"/>
      <c r="X1548" s="230"/>
      <c r="Y1548" s="230"/>
      <c r="Z1548" s="230"/>
      <c r="AA1548" s="231">
        <v>327250.0</v>
      </c>
      <c r="AB1548" s="231">
        <v>1227187.0</v>
      </c>
      <c r="AC1548" s="428" t="s">
        <v>4202</v>
      </c>
      <c r="AD1548" s="272">
        <v>15594.0</v>
      </c>
      <c r="AE1548" s="229"/>
      <c r="AF1548" s="224" t="str">
        <f t="shared" si="1"/>
        <v>Buenos Aires, Argentina</v>
      </c>
      <c r="AG1548" s="429">
        <f t="shared" si="2"/>
        <v>3</v>
      </c>
      <c r="AH1548" s="430">
        <f t="shared" si="17"/>
        <v>0</v>
      </c>
      <c r="AI1548" s="430">
        <f t="shared" si="12"/>
        <v>0</v>
      </c>
      <c r="AJ1548" s="431">
        <f t="shared" si="5"/>
        <v>1554437</v>
      </c>
      <c r="AK1548" s="431">
        <f t="shared" si="18"/>
        <v>1554437</v>
      </c>
      <c r="AL1548" s="233"/>
      <c r="AM1548" s="233"/>
    </row>
    <row r="1549">
      <c r="A1549" s="224">
        <v>1548.0</v>
      </c>
      <c r="B1549" s="225">
        <v>45548.0</v>
      </c>
      <c r="C1549" s="229"/>
      <c r="D1549" s="425" t="s">
        <v>795</v>
      </c>
      <c r="E1549" s="426" t="s">
        <v>4203</v>
      </c>
      <c r="F1549" s="226" t="s">
        <v>1415</v>
      </c>
      <c r="G1549" s="224" t="s">
        <v>64</v>
      </c>
      <c r="H1549" s="224" t="s">
        <v>41</v>
      </c>
      <c r="I1549" s="224" t="s">
        <v>643</v>
      </c>
      <c r="J1549" s="228"/>
      <c r="K1549" s="227">
        <v>1.0</v>
      </c>
      <c r="L1549" s="228"/>
      <c r="M1549" s="228"/>
      <c r="N1549" s="228"/>
      <c r="O1549" s="228"/>
      <c r="P1549" s="228"/>
      <c r="Q1549" s="229"/>
      <c r="R1549" s="229"/>
      <c r="S1549" s="224" t="s">
        <v>98</v>
      </c>
      <c r="T1549" s="427" t="s">
        <v>66</v>
      </c>
      <c r="U1549" s="427" t="s">
        <v>99</v>
      </c>
      <c r="V1549" s="427" t="s">
        <v>1984</v>
      </c>
      <c r="W1549" s="230"/>
      <c r="X1549" s="230"/>
      <c r="Y1549" s="230"/>
      <c r="Z1549" s="230"/>
      <c r="AA1549" s="231">
        <v>89250.0</v>
      </c>
      <c r="AB1549" s="231">
        <v>357000.0</v>
      </c>
      <c r="AC1549" s="428" t="s">
        <v>4204</v>
      </c>
      <c r="AD1549" s="272">
        <v>15894.0</v>
      </c>
      <c r="AE1549" s="229"/>
      <c r="AF1549" s="224" t="str">
        <f t="shared" si="1"/>
        <v>Buenos Aires, Argentina</v>
      </c>
      <c r="AG1549" s="429">
        <f t="shared" si="2"/>
        <v>1</v>
      </c>
      <c r="AH1549" s="430">
        <f t="shared" si="17"/>
        <v>0</v>
      </c>
      <c r="AI1549" s="430">
        <f t="shared" si="12"/>
        <v>0</v>
      </c>
      <c r="AJ1549" s="431">
        <f t="shared" si="5"/>
        <v>446250</v>
      </c>
      <c r="AK1549" s="431">
        <f t="shared" si="18"/>
        <v>446250</v>
      </c>
      <c r="AL1549" s="233"/>
      <c r="AM1549" s="233"/>
    </row>
    <row r="1550">
      <c r="A1550" s="224">
        <v>1549.0</v>
      </c>
      <c r="B1550" s="225">
        <v>45548.0</v>
      </c>
      <c r="C1550" s="229"/>
      <c r="D1550" s="425" t="s">
        <v>4093</v>
      </c>
      <c r="E1550" s="426" t="s">
        <v>4205</v>
      </c>
      <c r="F1550" s="226" t="s">
        <v>4206</v>
      </c>
      <c r="G1550" s="224" t="s">
        <v>64</v>
      </c>
      <c r="H1550" s="224" t="s">
        <v>41</v>
      </c>
      <c r="I1550" s="224" t="s">
        <v>643</v>
      </c>
      <c r="J1550" s="228"/>
      <c r="K1550" s="228"/>
      <c r="L1550" s="228"/>
      <c r="M1550" s="228"/>
      <c r="N1550" s="228"/>
      <c r="O1550" s="228"/>
      <c r="P1550" s="228"/>
      <c r="Q1550" s="229"/>
      <c r="R1550" s="229"/>
      <c r="S1550" s="224" t="s">
        <v>114</v>
      </c>
      <c r="T1550" s="427" t="s">
        <v>66</v>
      </c>
      <c r="U1550" s="427" t="s">
        <v>99</v>
      </c>
      <c r="V1550" s="427" t="s">
        <v>1984</v>
      </c>
      <c r="W1550" s="230"/>
      <c r="X1550" s="230"/>
      <c r="Y1550" s="230"/>
      <c r="Z1550" s="230"/>
      <c r="AA1550" s="231">
        <v>0.0</v>
      </c>
      <c r="AB1550" s="231">
        <v>214200.0</v>
      </c>
      <c r="AC1550" s="428" t="s">
        <v>4207</v>
      </c>
      <c r="AD1550" s="272">
        <v>15884.0</v>
      </c>
      <c r="AE1550" s="229"/>
      <c r="AF1550" s="224" t="str">
        <f t="shared" si="1"/>
        <v>Buenos Aires, Argentina</v>
      </c>
      <c r="AG1550" s="429">
        <f t="shared" si="2"/>
        <v>0</v>
      </c>
      <c r="AH1550" s="430">
        <f t="shared" si="17"/>
        <v>0</v>
      </c>
      <c r="AI1550" s="430">
        <f t="shared" si="12"/>
        <v>0</v>
      </c>
      <c r="AJ1550" s="431">
        <f t="shared" si="5"/>
        <v>214200</v>
      </c>
      <c r="AK1550" s="431">
        <f t="shared" si="18"/>
        <v>214200</v>
      </c>
      <c r="AL1550" s="233"/>
      <c r="AM1550" s="233"/>
    </row>
    <row r="1551">
      <c r="A1551" s="224">
        <v>1550.0</v>
      </c>
      <c r="B1551" s="225">
        <v>45551.0</v>
      </c>
      <c r="C1551" s="229"/>
      <c r="D1551" s="425" t="s">
        <v>4208</v>
      </c>
      <c r="E1551" s="426" t="s">
        <v>4209</v>
      </c>
      <c r="F1551" s="226" t="s">
        <v>1427</v>
      </c>
      <c r="G1551" s="224" t="s">
        <v>64</v>
      </c>
      <c r="H1551" s="224" t="s">
        <v>41</v>
      </c>
      <c r="I1551" s="224" t="s">
        <v>643</v>
      </c>
      <c r="J1551" s="228"/>
      <c r="K1551" s="227">
        <v>2.0</v>
      </c>
      <c r="L1551" s="228"/>
      <c r="M1551" s="228"/>
      <c r="N1551" s="228"/>
      <c r="O1551" s="228"/>
      <c r="P1551" s="228"/>
      <c r="Q1551" s="229"/>
      <c r="R1551" s="229"/>
      <c r="S1551" s="224" t="s">
        <v>276</v>
      </c>
      <c r="T1551" s="427" t="s">
        <v>52</v>
      </c>
      <c r="U1551" s="427" t="s">
        <v>99</v>
      </c>
      <c r="V1551" s="427" t="s">
        <v>1984</v>
      </c>
      <c r="W1551" s="230"/>
      <c r="X1551" s="230"/>
      <c r="Y1551" s="230"/>
      <c r="Z1551" s="230"/>
      <c r="AA1551" s="231">
        <v>178500.0</v>
      </c>
      <c r="AB1551" s="231">
        <v>624750.0</v>
      </c>
      <c r="AC1551" s="428" t="s">
        <v>4210</v>
      </c>
      <c r="AD1551" s="272">
        <v>15786.0</v>
      </c>
      <c r="AE1551" s="229"/>
      <c r="AF1551" s="224" t="str">
        <f t="shared" si="1"/>
        <v>San Luis, Argentina</v>
      </c>
      <c r="AG1551" s="429">
        <f t="shared" si="2"/>
        <v>2</v>
      </c>
      <c r="AH1551" s="430">
        <f t="shared" si="17"/>
        <v>0</v>
      </c>
      <c r="AI1551" s="430">
        <f t="shared" si="12"/>
        <v>0</v>
      </c>
      <c r="AJ1551" s="431">
        <f t="shared" si="5"/>
        <v>803250</v>
      </c>
      <c r="AK1551" s="431">
        <f t="shared" si="18"/>
        <v>803250</v>
      </c>
      <c r="AL1551" s="233"/>
      <c r="AM1551" s="233"/>
    </row>
    <row r="1552">
      <c r="A1552" s="224">
        <v>1551.0</v>
      </c>
      <c r="B1552" s="225">
        <v>45551.0</v>
      </c>
      <c r="C1552" s="229"/>
      <c r="D1552" s="425" t="s">
        <v>4211</v>
      </c>
      <c r="E1552" s="426" t="s">
        <v>4212</v>
      </c>
      <c r="F1552" s="226" t="s">
        <v>4213</v>
      </c>
      <c r="G1552" s="224" t="s">
        <v>64</v>
      </c>
      <c r="H1552" s="224" t="s">
        <v>41</v>
      </c>
      <c r="I1552" s="224" t="s">
        <v>643</v>
      </c>
      <c r="J1552" s="228"/>
      <c r="K1552" s="228"/>
      <c r="L1552" s="228"/>
      <c r="M1552" s="228"/>
      <c r="N1552" s="228"/>
      <c r="O1552" s="228"/>
      <c r="P1552" s="228"/>
      <c r="Q1552" s="229"/>
      <c r="R1552" s="229"/>
      <c r="S1552" s="224" t="s">
        <v>109</v>
      </c>
      <c r="T1552" s="427" t="s">
        <v>83</v>
      </c>
      <c r="U1552" s="427" t="s">
        <v>99</v>
      </c>
      <c r="V1552" s="427" t="s">
        <v>1984</v>
      </c>
      <c r="W1552" s="230"/>
      <c r="X1552" s="230"/>
      <c r="Y1552" s="230"/>
      <c r="Z1552" s="230"/>
      <c r="AA1552" s="231">
        <v>0.0</v>
      </c>
      <c r="AB1552" s="231">
        <v>190400.0</v>
      </c>
      <c r="AC1552" s="428" t="s">
        <v>4214</v>
      </c>
      <c r="AD1552" s="272">
        <v>15890.0</v>
      </c>
      <c r="AE1552" s="229"/>
      <c r="AF1552" s="224" t="str">
        <f t="shared" si="1"/>
        <v>Capital Federal, Argentina</v>
      </c>
      <c r="AG1552" s="429">
        <f t="shared" si="2"/>
        <v>0</v>
      </c>
      <c r="AH1552" s="430">
        <f t="shared" si="17"/>
        <v>0</v>
      </c>
      <c r="AI1552" s="430">
        <f t="shared" si="12"/>
        <v>0</v>
      </c>
      <c r="AJ1552" s="431">
        <f t="shared" si="5"/>
        <v>190400</v>
      </c>
      <c r="AK1552" s="431">
        <f t="shared" si="18"/>
        <v>190400</v>
      </c>
      <c r="AL1552" s="233"/>
      <c r="AM1552" s="233"/>
    </row>
    <row r="1553">
      <c r="A1553" s="224">
        <v>1552.0</v>
      </c>
      <c r="B1553" s="225">
        <v>45553.0</v>
      </c>
      <c r="C1553" s="229"/>
      <c r="D1553" s="425" t="s">
        <v>4187</v>
      </c>
      <c r="E1553" s="426" t="s">
        <v>4215</v>
      </c>
      <c r="F1553" s="226" t="s">
        <v>4216</v>
      </c>
      <c r="G1553" s="224" t="s">
        <v>64</v>
      </c>
      <c r="H1553" s="224" t="s">
        <v>41</v>
      </c>
      <c r="I1553" s="224" t="s">
        <v>643</v>
      </c>
      <c r="J1553" s="228"/>
      <c r="K1553" s="228"/>
      <c r="L1553" s="228"/>
      <c r="M1553" s="228"/>
      <c r="N1553" s="228"/>
      <c r="O1553" s="228"/>
      <c r="P1553" s="228"/>
      <c r="Q1553" s="229"/>
      <c r="R1553" s="229"/>
      <c r="S1553" s="224" t="s">
        <v>43</v>
      </c>
      <c r="T1553" s="427" t="s">
        <v>83</v>
      </c>
      <c r="U1553" s="427" t="s">
        <v>99</v>
      </c>
      <c r="V1553" s="427" t="s">
        <v>1984</v>
      </c>
      <c r="W1553" s="230"/>
      <c r="X1553" s="230"/>
      <c r="Y1553" s="230"/>
      <c r="Z1553" s="230"/>
      <c r="AA1553" s="231">
        <v>0.0</v>
      </c>
      <c r="AB1553" s="231">
        <v>190400.0</v>
      </c>
      <c r="AC1553" s="428" t="s">
        <v>4217</v>
      </c>
      <c r="AD1553" s="272">
        <v>15892.0</v>
      </c>
      <c r="AE1553" s="229"/>
      <c r="AF1553" s="224" t="str">
        <f t="shared" si="1"/>
        <v>Capital Federal, Argentina</v>
      </c>
      <c r="AG1553" s="429">
        <f t="shared" si="2"/>
        <v>0</v>
      </c>
      <c r="AH1553" s="430">
        <f t="shared" si="17"/>
        <v>0</v>
      </c>
      <c r="AI1553" s="430">
        <f t="shared" si="12"/>
        <v>0</v>
      </c>
      <c r="AJ1553" s="431">
        <f t="shared" si="5"/>
        <v>190400</v>
      </c>
      <c r="AK1553" s="431">
        <f t="shared" si="18"/>
        <v>190400</v>
      </c>
      <c r="AL1553" s="233"/>
      <c r="AM1553" s="233"/>
    </row>
    <row r="1554">
      <c r="A1554" s="224">
        <v>1553.0</v>
      </c>
      <c r="B1554" s="225">
        <v>45553.0</v>
      </c>
      <c r="C1554" s="229"/>
      <c r="D1554" s="425" t="s">
        <v>4218</v>
      </c>
      <c r="E1554" s="426" t="s">
        <v>3839</v>
      </c>
      <c r="F1554" s="226" t="s">
        <v>1412</v>
      </c>
      <c r="G1554" s="224" t="s">
        <v>64</v>
      </c>
      <c r="H1554" s="224" t="s">
        <v>41</v>
      </c>
      <c r="I1554" s="224" t="s">
        <v>643</v>
      </c>
      <c r="J1554" s="227">
        <v>2.0</v>
      </c>
      <c r="K1554" s="228"/>
      <c r="L1554" s="228"/>
      <c r="M1554" s="228"/>
      <c r="N1554" s="228"/>
      <c r="O1554" s="228"/>
      <c r="P1554" s="228"/>
      <c r="Q1554" s="229"/>
      <c r="R1554" s="229"/>
      <c r="S1554" s="224" t="s">
        <v>189</v>
      </c>
      <c r="T1554" s="427" t="s">
        <v>83</v>
      </c>
      <c r="U1554" s="427" t="s">
        <v>99</v>
      </c>
      <c r="V1554" s="427" t="s">
        <v>1984</v>
      </c>
      <c r="W1554" s="230"/>
      <c r="X1554" s="230"/>
      <c r="Y1554" s="230"/>
      <c r="Z1554" s="230"/>
      <c r="AA1554" s="231">
        <v>238000.0</v>
      </c>
      <c r="AB1554" s="231">
        <v>952000.0</v>
      </c>
      <c r="AC1554" s="428" t="s">
        <v>4219</v>
      </c>
      <c r="AD1554" s="272">
        <v>15592.0</v>
      </c>
      <c r="AE1554" s="229"/>
      <c r="AF1554" s="224" t="str">
        <f t="shared" si="1"/>
        <v>Capital Federal, Argentina</v>
      </c>
      <c r="AG1554" s="429">
        <f t="shared" si="2"/>
        <v>2</v>
      </c>
      <c r="AH1554" s="430">
        <f t="shared" si="17"/>
        <v>0</v>
      </c>
      <c r="AI1554" s="430">
        <f t="shared" si="12"/>
        <v>0</v>
      </c>
      <c r="AJ1554" s="431">
        <f t="shared" si="5"/>
        <v>1190000</v>
      </c>
      <c r="AK1554" s="431">
        <f t="shared" si="18"/>
        <v>1190000</v>
      </c>
      <c r="AL1554" s="233"/>
      <c r="AM1554" s="233"/>
    </row>
    <row r="1555">
      <c r="A1555" s="224">
        <v>1554.0</v>
      </c>
      <c r="B1555" s="225">
        <v>45555.0</v>
      </c>
      <c r="C1555" s="229"/>
      <c r="D1555" s="425" t="s">
        <v>4220</v>
      </c>
      <c r="E1555" s="426" t="s">
        <v>4221</v>
      </c>
      <c r="F1555" s="226" t="s">
        <v>4222</v>
      </c>
      <c r="G1555" s="224" t="s">
        <v>40</v>
      </c>
      <c r="H1555" s="224" t="s">
        <v>41</v>
      </c>
      <c r="I1555" s="224" t="s">
        <v>42</v>
      </c>
      <c r="J1555" s="227">
        <v>3.0</v>
      </c>
      <c r="K1555" s="227">
        <v>6.0</v>
      </c>
      <c r="L1555" s="228"/>
      <c r="M1555" s="227">
        <v>1.0</v>
      </c>
      <c r="N1555" s="228"/>
      <c r="O1555" s="227">
        <v>7.0</v>
      </c>
      <c r="P1555" s="228"/>
      <c r="Q1555" s="229"/>
      <c r="R1555" s="229"/>
      <c r="S1555" s="224" t="s">
        <v>114</v>
      </c>
      <c r="T1555" s="427" t="s">
        <v>66</v>
      </c>
      <c r="U1555" s="427" t="s">
        <v>53</v>
      </c>
      <c r="V1555" s="427" t="s">
        <v>2922</v>
      </c>
      <c r="W1555" s="230"/>
      <c r="X1555" s="230"/>
      <c r="Y1555" s="230"/>
      <c r="Z1555" s="230"/>
      <c r="AA1555" s="231">
        <v>1350650.0</v>
      </c>
      <c r="AB1555" s="231">
        <v>3123750.0</v>
      </c>
      <c r="AC1555" s="428" t="s">
        <v>4223</v>
      </c>
      <c r="AD1555" s="272">
        <v>15932.0</v>
      </c>
      <c r="AE1555" s="229"/>
      <c r="AF1555" s="224" t="str">
        <f t="shared" si="1"/>
        <v>Buenos Aires, Argentina</v>
      </c>
      <c r="AG1555" s="429">
        <f t="shared" si="2"/>
        <v>17</v>
      </c>
      <c r="AH1555" s="430">
        <f t="shared" si="17"/>
        <v>0</v>
      </c>
      <c r="AI1555" s="430">
        <f t="shared" si="12"/>
        <v>0</v>
      </c>
      <c r="AJ1555" s="431">
        <f t="shared" si="5"/>
        <v>4474400</v>
      </c>
      <c r="AK1555" s="431">
        <f t="shared" si="18"/>
        <v>4474400</v>
      </c>
      <c r="AL1555" s="233"/>
      <c r="AM1555" s="233"/>
    </row>
    <row r="1556">
      <c r="A1556" s="224">
        <v>1555.0</v>
      </c>
      <c r="B1556" s="225">
        <v>45555.0</v>
      </c>
      <c r="C1556" s="229"/>
      <c r="D1556" s="425" t="s">
        <v>4224</v>
      </c>
      <c r="E1556" s="426" t="s">
        <v>4225</v>
      </c>
      <c r="F1556" s="226" t="s">
        <v>4226</v>
      </c>
      <c r="G1556" s="224" t="s">
        <v>40</v>
      </c>
      <c r="H1556" s="224" t="s">
        <v>41</v>
      </c>
      <c r="I1556" s="224" t="s">
        <v>643</v>
      </c>
      <c r="J1556" s="227">
        <v>2.0</v>
      </c>
      <c r="K1556" s="227">
        <v>1.0</v>
      </c>
      <c r="L1556" s="228"/>
      <c r="M1556" s="227">
        <v>1.0</v>
      </c>
      <c r="N1556" s="228"/>
      <c r="O1556" s="227">
        <v>1.0</v>
      </c>
      <c r="P1556" s="228"/>
      <c r="Q1556" s="229"/>
      <c r="R1556" s="229"/>
      <c r="S1556" s="224" t="s">
        <v>65</v>
      </c>
      <c r="T1556" s="427" t="s">
        <v>263</v>
      </c>
      <c r="U1556" s="427" t="s">
        <v>45</v>
      </c>
      <c r="V1556" s="427" t="s">
        <v>2935</v>
      </c>
      <c r="W1556" s="230"/>
      <c r="X1556" s="230"/>
      <c r="Y1556" s="230"/>
      <c r="Z1556" s="230"/>
      <c r="AA1556" s="231">
        <v>392700.0</v>
      </c>
      <c r="AB1556" s="231">
        <v>1472625.0</v>
      </c>
      <c r="AC1556" s="428" t="s">
        <v>4227</v>
      </c>
      <c r="AD1556" s="272">
        <v>15978.0</v>
      </c>
      <c r="AE1556" s="229"/>
      <c r="AF1556" s="224" t="str">
        <f t="shared" si="1"/>
        <v>Santa Fé, Argentina</v>
      </c>
      <c r="AG1556" s="429">
        <f t="shared" si="2"/>
        <v>5</v>
      </c>
      <c r="AH1556" s="430">
        <f t="shared" si="17"/>
        <v>0</v>
      </c>
      <c r="AI1556" s="430">
        <f t="shared" si="12"/>
        <v>0</v>
      </c>
      <c r="AJ1556" s="431">
        <f t="shared" si="5"/>
        <v>1865325</v>
      </c>
      <c r="AK1556" s="431">
        <f t="shared" si="18"/>
        <v>1865325</v>
      </c>
      <c r="AL1556" s="233"/>
      <c r="AM1556" s="233"/>
    </row>
    <row r="1557">
      <c r="A1557" s="224">
        <v>1556.0</v>
      </c>
      <c r="B1557" s="225">
        <v>45556.0</v>
      </c>
      <c r="C1557" s="229"/>
      <c r="D1557" s="425" t="s">
        <v>4127</v>
      </c>
      <c r="E1557" s="426" t="s">
        <v>2183</v>
      </c>
      <c r="F1557" s="226" t="s">
        <v>1415</v>
      </c>
      <c r="G1557" s="224" t="s">
        <v>64</v>
      </c>
      <c r="H1557" s="224" t="s">
        <v>41</v>
      </c>
      <c r="I1557" s="224" t="s">
        <v>643</v>
      </c>
      <c r="J1557" s="228"/>
      <c r="K1557" s="227">
        <v>1.0</v>
      </c>
      <c r="L1557" s="228"/>
      <c r="M1557" s="228"/>
      <c r="N1557" s="228"/>
      <c r="O1557" s="228"/>
      <c r="P1557" s="228"/>
      <c r="Q1557" s="229"/>
      <c r="R1557" s="229"/>
      <c r="S1557" s="224" t="s">
        <v>189</v>
      </c>
      <c r="T1557" s="427" t="s">
        <v>83</v>
      </c>
      <c r="U1557" s="427" t="s">
        <v>99</v>
      </c>
      <c r="V1557" s="427" t="s">
        <v>1984</v>
      </c>
      <c r="W1557" s="230"/>
      <c r="X1557" s="230"/>
      <c r="Y1557" s="230"/>
      <c r="Z1557" s="230"/>
      <c r="AA1557" s="231">
        <v>89250.0</v>
      </c>
      <c r="AB1557" s="231">
        <v>357000.0</v>
      </c>
      <c r="AC1557" s="428" t="s">
        <v>4228</v>
      </c>
      <c r="AD1557" s="272">
        <v>15920.0</v>
      </c>
      <c r="AE1557" s="229"/>
      <c r="AF1557" s="224" t="str">
        <f t="shared" si="1"/>
        <v>Capital Federal, Argentina</v>
      </c>
      <c r="AG1557" s="429">
        <f t="shared" si="2"/>
        <v>1</v>
      </c>
      <c r="AH1557" s="430">
        <f t="shared" si="17"/>
        <v>0</v>
      </c>
      <c r="AI1557" s="430">
        <f t="shared" si="12"/>
        <v>0</v>
      </c>
      <c r="AJ1557" s="431">
        <f t="shared" si="5"/>
        <v>446250</v>
      </c>
      <c r="AK1557" s="431">
        <f t="shared" si="18"/>
        <v>446250</v>
      </c>
      <c r="AL1557" s="233"/>
      <c r="AM1557" s="233"/>
    </row>
    <row r="1558">
      <c r="A1558" s="224">
        <v>1557.0</v>
      </c>
      <c r="B1558" s="225">
        <v>45558.0</v>
      </c>
      <c r="C1558" s="229"/>
      <c r="D1558" s="425" t="s">
        <v>1990</v>
      </c>
      <c r="E1558" s="426" t="s">
        <v>4229</v>
      </c>
      <c r="F1558" s="226" t="s">
        <v>1415</v>
      </c>
      <c r="G1558" s="224" t="s">
        <v>64</v>
      </c>
      <c r="H1558" s="224" t="s">
        <v>41</v>
      </c>
      <c r="I1558" s="224" t="s">
        <v>643</v>
      </c>
      <c r="J1558" s="228"/>
      <c r="K1558" s="227">
        <v>1.0</v>
      </c>
      <c r="L1558" s="228"/>
      <c r="M1558" s="228"/>
      <c r="N1558" s="228"/>
      <c r="O1558" s="228"/>
      <c r="P1558" s="228"/>
      <c r="Q1558" s="229"/>
      <c r="R1558" s="229"/>
      <c r="S1558" s="224" t="s">
        <v>43</v>
      </c>
      <c r="T1558" s="427" t="s">
        <v>73</v>
      </c>
      <c r="U1558" s="427" t="s">
        <v>99</v>
      </c>
      <c r="V1558" s="427" t="s">
        <v>1984</v>
      </c>
      <c r="W1558" s="230"/>
      <c r="X1558" s="230"/>
      <c r="Y1558" s="230"/>
      <c r="Z1558" s="230"/>
      <c r="AA1558" s="231">
        <v>89250.0</v>
      </c>
      <c r="AB1558" s="231">
        <v>357000.0</v>
      </c>
      <c r="AC1558" s="428" t="s">
        <v>4230</v>
      </c>
      <c r="AD1558" s="272">
        <v>15864.0</v>
      </c>
      <c r="AE1558" s="229"/>
      <c r="AF1558" s="224" t="str">
        <f t="shared" si="1"/>
        <v>Tierra de Fuego, Argentina</v>
      </c>
      <c r="AG1558" s="429">
        <f t="shared" si="2"/>
        <v>1</v>
      </c>
      <c r="AH1558" s="430">
        <f t="shared" si="17"/>
        <v>0</v>
      </c>
      <c r="AI1558" s="430">
        <f t="shared" si="12"/>
        <v>0</v>
      </c>
      <c r="AJ1558" s="431">
        <f t="shared" si="5"/>
        <v>446250</v>
      </c>
      <c r="AK1558" s="431">
        <f t="shared" si="18"/>
        <v>446250</v>
      </c>
      <c r="AL1558" s="233"/>
      <c r="AM1558" s="233"/>
    </row>
    <row r="1559">
      <c r="A1559" s="224">
        <v>1558.0</v>
      </c>
      <c r="B1559" s="225">
        <v>45558.0</v>
      </c>
      <c r="C1559" s="229"/>
      <c r="D1559" s="425" t="s">
        <v>4231</v>
      </c>
      <c r="E1559" s="426" t="s">
        <v>4232</v>
      </c>
      <c r="F1559" s="226" t="s">
        <v>4233</v>
      </c>
      <c r="G1559" s="224" t="s">
        <v>40</v>
      </c>
      <c r="H1559" s="224" t="s">
        <v>41</v>
      </c>
      <c r="I1559" s="224" t="s">
        <v>643</v>
      </c>
      <c r="J1559" s="227">
        <v>2.0</v>
      </c>
      <c r="K1559" s="228"/>
      <c r="L1559" s="228"/>
      <c r="M1559" s="227">
        <v>1.0</v>
      </c>
      <c r="N1559" s="228"/>
      <c r="O1559" s="228"/>
      <c r="P1559" s="275">
        <v>1.0</v>
      </c>
      <c r="Q1559" s="229"/>
      <c r="R1559" s="229"/>
      <c r="S1559" s="224" t="s">
        <v>114</v>
      </c>
      <c r="T1559" s="427" t="s">
        <v>66</v>
      </c>
      <c r="U1559" s="427" t="s">
        <v>342</v>
      </c>
      <c r="V1559" s="427" t="s">
        <v>2935</v>
      </c>
      <c r="W1559" s="230"/>
      <c r="X1559" s="230"/>
      <c r="Y1559" s="230"/>
      <c r="Z1559" s="230"/>
      <c r="AA1559" s="231">
        <v>357000.0</v>
      </c>
      <c r="AB1559" s="231">
        <v>1517250.0</v>
      </c>
      <c r="AC1559" s="428" t="s">
        <v>4234</v>
      </c>
      <c r="AD1559" s="272">
        <v>15922.0</v>
      </c>
      <c r="AE1559" s="229"/>
      <c r="AF1559" s="224" t="str">
        <f t="shared" si="1"/>
        <v>Buenos Aires, Argentina</v>
      </c>
      <c r="AG1559" s="429">
        <f t="shared" si="2"/>
        <v>4</v>
      </c>
      <c r="AH1559" s="430">
        <f t="shared" si="17"/>
        <v>0</v>
      </c>
      <c r="AI1559" s="430">
        <f t="shared" si="12"/>
        <v>0</v>
      </c>
      <c r="AJ1559" s="431">
        <f t="shared" si="5"/>
        <v>1874250</v>
      </c>
      <c r="AK1559" s="431">
        <f t="shared" si="18"/>
        <v>1874250</v>
      </c>
      <c r="AL1559" s="233"/>
      <c r="AM1559" s="233"/>
    </row>
    <row r="1560">
      <c r="A1560" s="224">
        <v>1559.0</v>
      </c>
      <c r="B1560" s="225">
        <v>45558.0</v>
      </c>
      <c r="C1560" s="229"/>
      <c r="D1560" s="425" t="s">
        <v>4231</v>
      </c>
      <c r="E1560" s="426" t="s">
        <v>4232</v>
      </c>
      <c r="F1560" s="226" t="s">
        <v>4235</v>
      </c>
      <c r="G1560" s="224" t="s">
        <v>40</v>
      </c>
      <c r="H1560" s="224" t="s">
        <v>41</v>
      </c>
      <c r="I1560" s="224" t="s">
        <v>643</v>
      </c>
      <c r="J1560" s="228"/>
      <c r="K1560" s="228"/>
      <c r="L1560" s="228"/>
      <c r="M1560" s="228"/>
      <c r="N1560" s="228"/>
      <c r="O1560" s="228"/>
      <c r="P1560" s="228"/>
      <c r="Q1560" s="229"/>
      <c r="R1560" s="229"/>
      <c r="S1560" s="224" t="s">
        <v>114</v>
      </c>
      <c r="T1560" s="427" t="s">
        <v>66</v>
      </c>
      <c r="U1560" s="427" t="s">
        <v>342</v>
      </c>
      <c r="V1560" s="427" t="s">
        <v>2935</v>
      </c>
      <c r="W1560" s="276">
        <v>141159.0</v>
      </c>
      <c r="X1560" s="276">
        <v>635215.0</v>
      </c>
      <c r="Y1560" s="230"/>
      <c r="Z1560" s="230"/>
      <c r="AA1560" s="231">
        <v>0.0</v>
      </c>
      <c r="AB1560" s="231">
        <v>0.0</v>
      </c>
      <c r="AC1560" s="428" t="s">
        <v>4236</v>
      </c>
      <c r="AD1560" s="272">
        <v>16028.0</v>
      </c>
      <c r="AE1560" s="229"/>
      <c r="AF1560" s="224" t="str">
        <f t="shared" si="1"/>
        <v>Buenos Aires, Argentina</v>
      </c>
      <c r="AG1560" s="429">
        <f t="shared" si="2"/>
        <v>0</v>
      </c>
      <c r="AH1560" s="430">
        <f t="shared" si="17"/>
        <v>776374</v>
      </c>
      <c r="AI1560" s="430">
        <f t="shared" si="12"/>
        <v>0</v>
      </c>
      <c r="AJ1560" s="431">
        <f t="shared" si="5"/>
        <v>0</v>
      </c>
      <c r="AK1560" s="431">
        <f t="shared" si="18"/>
        <v>776374</v>
      </c>
      <c r="AL1560" s="233"/>
      <c r="AM1560" s="233"/>
    </row>
    <row r="1561">
      <c r="A1561" s="224">
        <v>1560.0</v>
      </c>
      <c r="B1561" s="225">
        <v>45559.0</v>
      </c>
      <c r="C1561" s="229"/>
      <c r="D1561" s="425" t="s">
        <v>4187</v>
      </c>
      <c r="E1561" s="426" t="s">
        <v>3997</v>
      </c>
      <c r="F1561" s="226" t="s">
        <v>4237</v>
      </c>
      <c r="G1561" s="224" t="s">
        <v>64</v>
      </c>
      <c r="H1561" s="224" t="s">
        <v>41</v>
      </c>
      <c r="I1561" s="224" t="s">
        <v>643</v>
      </c>
      <c r="J1561" s="228"/>
      <c r="K1561" s="228"/>
      <c r="L1561" s="228"/>
      <c r="M1561" s="228"/>
      <c r="N1561" s="228"/>
      <c r="O1561" s="228"/>
      <c r="P1561" s="228"/>
      <c r="Q1561" s="229"/>
      <c r="R1561" s="229"/>
      <c r="S1561" s="224" t="s">
        <v>43</v>
      </c>
      <c r="T1561" s="427" t="s">
        <v>83</v>
      </c>
      <c r="U1561" s="427" t="s">
        <v>99</v>
      </c>
      <c r="V1561" s="427" t="s">
        <v>1984</v>
      </c>
      <c r="W1561" s="230"/>
      <c r="X1561" s="230"/>
      <c r="Y1561" s="230"/>
      <c r="Z1561" s="230"/>
      <c r="AA1561" s="231">
        <v>0.0</v>
      </c>
      <c r="AB1561" s="231">
        <v>190400.0</v>
      </c>
      <c r="AC1561" s="428" t="s">
        <v>4238</v>
      </c>
      <c r="AD1561" s="272">
        <v>16058.0</v>
      </c>
      <c r="AE1561" s="229"/>
      <c r="AF1561" s="224" t="str">
        <f t="shared" si="1"/>
        <v>Capital Federal, Argentina</v>
      </c>
      <c r="AG1561" s="429">
        <f t="shared" si="2"/>
        <v>0</v>
      </c>
      <c r="AH1561" s="430">
        <f t="shared" si="17"/>
        <v>0</v>
      </c>
      <c r="AI1561" s="430">
        <f t="shared" si="12"/>
        <v>0</v>
      </c>
      <c r="AJ1561" s="431">
        <f t="shared" si="5"/>
        <v>190400</v>
      </c>
      <c r="AK1561" s="431">
        <f t="shared" si="18"/>
        <v>190400</v>
      </c>
      <c r="AL1561" s="233"/>
      <c r="AM1561" s="233"/>
    </row>
    <row r="1562">
      <c r="A1562" s="224">
        <v>1561.0</v>
      </c>
      <c r="B1562" s="225">
        <v>45561.0</v>
      </c>
      <c r="C1562" s="229"/>
      <c r="D1562" s="425" t="s">
        <v>4239</v>
      </c>
      <c r="E1562" s="426" t="s">
        <v>4045</v>
      </c>
      <c r="F1562" s="226" t="s">
        <v>3490</v>
      </c>
      <c r="G1562" s="224" t="s">
        <v>64</v>
      </c>
      <c r="H1562" s="224" t="s">
        <v>41</v>
      </c>
      <c r="I1562" s="224" t="s">
        <v>42</v>
      </c>
      <c r="J1562" s="228"/>
      <c r="K1562" s="228"/>
      <c r="L1562" s="228"/>
      <c r="M1562" s="228"/>
      <c r="N1562" s="228"/>
      <c r="O1562" s="228"/>
      <c r="P1562" s="275">
        <v>1.0</v>
      </c>
      <c r="Q1562" s="229"/>
      <c r="R1562" s="229"/>
      <c r="S1562" s="224" t="s">
        <v>43</v>
      </c>
      <c r="T1562" s="427" t="s">
        <v>66</v>
      </c>
      <c r="U1562" s="427" t="s">
        <v>99</v>
      </c>
      <c r="V1562" s="427" t="s">
        <v>2922</v>
      </c>
      <c r="W1562" s="230"/>
      <c r="X1562" s="230"/>
      <c r="Y1562" s="230"/>
      <c r="Z1562" s="230"/>
      <c r="AA1562" s="231">
        <v>119000.0</v>
      </c>
      <c r="AB1562" s="231">
        <v>535500.0</v>
      </c>
      <c r="AC1562" s="428" t="s">
        <v>4240</v>
      </c>
      <c r="AD1562" s="272">
        <v>16060.0</v>
      </c>
      <c r="AE1562" s="229"/>
      <c r="AF1562" s="224" t="str">
        <f t="shared" si="1"/>
        <v>Buenos Aires, Argentina</v>
      </c>
      <c r="AG1562" s="429">
        <f t="shared" si="2"/>
        <v>1</v>
      </c>
      <c r="AH1562" s="430">
        <f t="shared" si="17"/>
        <v>0</v>
      </c>
      <c r="AI1562" s="430">
        <f t="shared" si="12"/>
        <v>0</v>
      </c>
      <c r="AJ1562" s="431">
        <f t="shared" si="5"/>
        <v>654500</v>
      </c>
      <c r="AK1562" s="431">
        <f t="shared" si="18"/>
        <v>654500</v>
      </c>
      <c r="AL1562" s="233"/>
      <c r="AM1562" s="233"/>
    </row>
    <row r="1563">
      <c r="A1563" s="224">
        <v>1562.0</v>
      </c>
      <c r="B1563" s="225">
        <v>45561.0</v>
      </c>
      <c r="C1563" s="229"/>
      <c r="D1563" s="425" t="s">
        <v>4044</v>
      </c>
      <c r="E1563" s="426" t="s">
        <v>4045</v>
      </c>
      <c r="F1563" s="226" t="s">
        <v>4241</v>
      </c>
      <c r="G1563" s="224" t="s">
        <v>64</v>
      </c>
      <c r="H1563" s="224" t="s">
        <v>41</v>
      </c>
      <c r="I1563" s="224" t="s">
        <v>42</v>
      </c>
      <c r="J1563" s="228"/>
      <c r="K1563" s="228"/>
      <c r="L1563" s="228"/>
      <c r="M1563" s="228"/>
      <c r="N1563" s="228"/>
      <c r="O1563" s="228"/>
      <c r="P1563" s="228"/>
      <c r="Q1563" s="229"/>
      <c r="R1563" s="229"/>
      <c r="S1563" s="224" t="s">
        <v>43</v>
      </c>
      <c r="T1563" s="427" t="s">
        <v>66</v>
      </c>
      <c r="U1563" s="427" t="s">
        <v>99</v>
      </c>
      <c r="V1563" s="427" t="s">
        <v>2922</v>
      </c>
      <c r="W1563" s="276">
        <v>183320.0</v>
      </c>
      <c r="X1563" s="276">
        <v>824940.0</v>
      </c>
      <c r="Y1563" s="230"/>
      <c r="Z1563" s="230"/>
      <c r="AA1563" s="231">
        <v>0.0</v>
      </c>
      <c r="AB1563" s="231">
        <v>0.0</v>
      </c>
      <c r="AC1563" s="428" t="s">
        <v>4240</v>
      </c>
      <c r="AD1563" s="272">
        <v>16060.0</v>
      </c>
      <c r="AE1563" s="229"/>
      <c r="AF1563" s="224" t="str">
        <f t="shared" si="1"/>
        <v>Buenos Aires, Argentina</v>
      </c>
      <c r="AG1563" s="429">
        <f t="shared" si="2"/>
        <v>0</v>
      </c>
      <c r="AH1563" s="430">
        <f t="shared" si="17"/>
        <v>1008260</v>
      </c>
      <c r="AI1563" s="430">
        <f t="shared" si="12"/>
        <v>0</v>
      </c>
      <c r="AJ1563" s="431">
        <f t="shared" si="5"/>
        <v>0</v>
      </c>
      <c r="AK1563" s="431">
        <f t="shared" si="18"/>
        <v>1008260</v>
      </c>
      <c r="AL1563" s="233"/>
      <c r="AM1563" s="233"/>
    </row>
    <row r="1564">
      <c r="A1564" s="224">
        <v>1563.0</v>
      </c>
      <c r="B1564" s="225">
        <v>45561.0</v>
      </c>
      <c r="C1564" s="229"/>
      <c r="D1564" s="425" t="s">
        <v>4242</v>
      </c>
      <c r="E1564" s="426" t="s">
        <v>4243</v>
      </c>
      <c r="F1564" s="226" t="s">
        <v>4244</v>
      </c>
      <c r="G1564" s="224" t="s">
        <v>64</v>
      </c>
      <c r="H1564" s="224" t="s">
        <v>41</v>
      </c>
      <c r="I1564" s="224" t="s">
        <v>643</v>
      </c>
      <c r="J1564" s="228"/>
      <c r="K1564" s="228"/>
      <c r="L1564" s="228"/>
      <c r="M1564" s="228"/>
      <c r="N1564" s="228"/>
      <c r="O1564" s="228"/>
      <c r="P1564" s="228"/>
      <c r="Q1564" s="229"/>
      <c r="R1564" s="229"/>
      <c r="S1564" s="224" t="s">
        <v>137</v>
      </c>
      <c r="T1564" s="427" t="s">
        <v>66</v>
      </c>
      <c r="U1564" s="427" t="s">
        <v>99</v>
      </c>
      <c r="V1564" s="427" t="s">
        <v>1984</v>
      </c>
      <c r="W1564" s="230"/>
      <c r="X1564" s="230"/>
      <c r="Y1564" s="230"/>
      <c r="Z1564" s="230"/>
      <c r="AA1564" s="231">
        <v>0.0</v>
      </c>
      <c r="AB1564" s="231">
        <v>285600.0</v>
      </c>
      <c r="AC1564" s="428" t="s">
        <v>4245</v>
      </c>
      <c r="AD1564" s="272">
        <v>15976.0</v>
      </c>
      <c r="AE1564" s="229"/>
      <c r="AF1564" s="224" t="str">
        <f t="shared" si="1"/>
        <v>Buenos Aires, Argentina</v>
      </c>
      <c r="AG1564" s="429">
        <f t="shared" si="2"/>
        <v>0</v>
      </c>
      <c r="AH1564" s="430">
        <f t="shared" si="17"/>
        <v>0</v>
      </c>
      <c r="AI1564" s="430">
        <f t="shared" si="12"/>
        <v>0</v>
      </c>
      <c r="AJ1564" s="431">
        <f t="shared" si="5"/>
        <v>285600</v>
      </c>
      <c r="AK1564" s="431">
        <f t="shared" si="18"/>
        <v>285600</v>
      </c>
      <c r="AL1564" s="233"/>
      <c r="AM1564" s="233"/>
    </row>
    <row r="1565">
      <c r="A1565" s="224">
        <v>1564.0</v>
      </c>
      <c r="B1565" s="225">
        <v>45561.0</v>
      </c>
      <c r="C1565" s="229"/>
      <c r="D1565" s="425" t="s">
        <v>4246</v>
      </c>
      <c r="E1565" s="426" t="s">
        <v>4247</v>
      </c>
      <c r="F1565" s="226" t="s">
        <v>2327</v>
      </c>
      <c r="G1565" s="224" t="s">
        <v>40</v>
      </c>
      <c r="H1565" s="224" t="s">
        <v>41</v>
      </c>
      <c r="I1565" s="224" t="s">
        <v>42</v>
      </c>
      <c r="J1565" s="227">
        <v>1.0</v>
      </c>
      <c r="K1565" s="228"/>
      <c r="L1565" s="228"/>
      <c r="M1565" s="227">
        <v>1.0</v>
      </c>
      <c r="N1565" s="228"/>
      <c r="O1565" s="228"/>
      <c r="P1565" s="228"/>
      <c r="Q1565" s="229"/>
      <c r="R1565" s="229"/>
      <c r="S1565" s="224" t="s">
        <v>109</v>
      </c>
      <c r="T1565" s="427" t="s">
        <v>83</v>
      </c>
      <c r="U1565" s="427" t="s">
        <v>45</v>
      </c>
      <c r="V1565" s="427" t="s">
        <v>2922</v>
      </c>
      <c r="W1565" s="230"/>
      <c r="X1565" s="230"/>
      <c r="Y1565" s="230"/>
      <c r="Z1565" s="230"/>
      <c r="AA1565" s="231">
        <v>91630.0</v>
      </c>
      <c r="AB1565" s="231">
        <v>343612.0</v>
      </c>
      <c r="AC1565" s="428" t="s">
        <v>4248</v>
      </c>
      <c r="AD1565" s="272">
        <v>16086.0</v>
      </c>
      <c r="AE1565" s="229"/>
      <c r="AF1565" s="224" t="str">
        <f t="shared" si="1"/>
        <v>Capital Federal, Argentina</v>
      </c>
      <c r="AG1565" s="429">
        <f t="shared" si="2"/>
        <v>2</v>
      </c>
      <c r="AH1565" s="430">
        <f t="shared" si="17"/>
        <v>0</v>
      </c>
      <c r="AI1565" s="430">
        <f t="shared" si="12"/>
        <v>0</v>
      </c>
      <c r="AJ1565" s="431">
        <f t="shared" si="5"/>
        <v>435242</v>
      </c>
      <c r="AK1565" s="431">
        <f t="shared" si="18"/>
        <v>435242</v>
      </c>
      <c r="AL1565" s="233"/>
      <c r="AM1565" s="233"/>
    </row>
    <row r="1566">
      <c r="A1566" s="224">
        <v>1565.0</v>
      </c>
      <c r="B1566" s="225">
        <v>45565.0</v>
      </c>
      <c r="C1566" s="229"/>
      <c r="D1566" s="425" t="s">
        <v>4249</v>
      </c>
      <c r="E1566" s="426" t="s">
        <v>4250</v>
      </c>
      <c r="F1566" s="226" t="s">
        <v>4251</v>
      </c>
      <c r="G1566" s="224" t="s">
        <v>40</v>
      </c>
      <c r="H1566" s="224" t="s">
        <v>41</v>
      </c>
      <c r="I1566" s="224" t="s">
        <v>42</v>
      </c>
      <c r="J1566" s="227">
        <v>4.0</v>
      </c>
      <c r="K1566" s="227">
        <v>2.0</v>
      </c>
      <c r="L1566" s="228"/>
      <c r="M1566" s="227">
        <v>1.0</v>
      </c>
      <c r="N1566" s="228"/>
      <c r="O1566" s="228"/>
      <c r="P1566" s="228"/>
      <c r="Q1566" s="229"/>
      <c r="R1566" s="229"/>
      <c r="S1566" s="224" t="s">
        <v>105</v>
      </c>
      <c r="T1566" s="427" t="s">
        <v>66</v>
      </c>
      <c r="U1566" s="427" t="s">
        <v>342</v>
      </c>
      <c r="V1566" s="427" t="s">
        <v>2922</v>
      </c>
      <c r="W1566" s="230"/>
      <c r="X1566" s="230"/>
      <c r="Y1566" s="230"/>
      <c r="Z1566" s="230"/>
      <c r="AA1566" s="231">
        <v>654500.0</v>
      </c>
      <c r="AB1566" s="231">
        <v>2290750.0</v>
      </c>
      <c r="AC1566" s="428" t="s">
        <v>4252</v>
      </c>
      <c r="AD1566" s="272">
        <v>15820.0</v>
      </c>
      <c r="AE1566" s="229"/>
      <c r="AF1566" s="224" t="str">
        <f t="shared" si="1"/>
        <v>Buenos Aires, Argentina</v>
      </c>
      <c r="AG1566" s="429">
        <f t="shared" si="2"/>
        <v>7</v>
      </c>
      <c r="AH1566" s="430">
        <f t="shared" si="17"/>
        <v>0</v>
      </c>
      <c r="AI1566" s="430">
        <f t="shared" si="12"/>
        <v>0</v>
      </c>
      <c r="AJ1566" s="431">
        <f t="shared" si="5"/>
        <v>2945250</v>
      </c>
      <c r="AK1566" s="431">
        <f t="shared" si="18"/>
        <v>2945250</v>
      </c>
      <c r="AL1566" s="233"/>
      <c r="AM1566" s="233"/>
    </row>
    <row r="1567">
      <c r="A1567" s="224">
        <v>1566.0</v>
      </c>
      <c r="B1567" s="225">
        <v>45565.0</v>
      </c>
      <c r="C1567" s="229"/>
      <c r="D1567" s="425" t="s">
        <v>2564</v>
      </c>
      <c r="E1567" s="426" t="s">
        <v>1980</v>
      </c>
      <c r="F1567" s="226" t="s">
        <v>1423</v>
      </c>
      <c r="G1567" s="224" t="s">
        <v>64</v>
      </c>
      <c r="H1567" s="224" t="s">
        <v>41</v>
      </c>
      <c r="I1567" s="224" t="s">
        <v>643</v>
      </c>
      <c r="J1567" s="227">
        <v>1.0</v>
      </c>
      <c r="K1567" s="228"/>
      <c r="L1567" s="228"/>
      <c r="M1567" s="228"/>
      <c r="N1567" s="228"/>
      <c r="O1567" s="228"/>
      <c r="P1567" s="228"/>
      <c r="Q1567" s="229"/>
      <c r="R1567" s="229"/>
      <c r="S1567" s="224" t="s">
        <v>65</v>
      </c>
      <c r="T1567" s="427" t="s">
        <v>66</v>
      </c>
      <c r="U1567" s="427" t="s">
        <v>99</v>
      </c>
      <c r="V1567" s="427" t="s">
        <v>1984</v>
      </c>
      <c r="W1567" s="230"/>
      <c r="X1567" s="230"/>
      <c r="Y1567" s="230"/>
      <c r="Z1567" s="230"/>
      <c r="AA1567" s="231">
        <v>107100.0</v>
      </c>
      <c r="AB1567" s="231">
        <v>428400.0</v>
      </c>
      <c r="AC1567" s="428" t="s">
        <v>4253</v>
      </c>
      <c r="AD1567" s="272">
        <v>15962.0</v>
      </c>
      <c r="AE1567" s="229"/>
      <c r="AF1567" s="224" t="str">
        <f t="shared" si="1"/>
        <v>Buenos Aires, Argentina</v>
      </c>
      <c r="AG1567" s="429">
        <f t="shared" si="2"/>
        <v>1</v>
      </c>
      <c r="AH1567" s="430">
        <f t="shared" si="17"/>
        <v>0</v>
      </c>
      <c r="AI1567" s="430">
        <f t="shared" si="12"/>
        <v>0</v>
      </c>
      <c r="AJ1567" s="431">
        <f t="shared" si="5"/>
        <v>535500</v>
      </c>
      <c r="AK1567" s="431">
        <f t="shared" si="18"/>
        <v>535500</v>
      </c>
      <c r="AL1567" s="233"/>
      <c r="AM1567" s="233"/>
    </row>
    <row r="1568">
      <c r="A1568" s="224">
        <v>1567.0</v>
      </c>
      <c r="B1568" s="225">
        <v>45565.0</v>
      </c>
      <c r="C1568" s="229"/>
      <c r="D1568" s="425" t="s">
        <v>4254</v>
      </c>
      <c r="E1568" s="426" t="s">
        <v>4255</v>
      </c>
      <c r="F1568" s="226" t="s">
        <v>4256</v>
      </c>
      <c r="G1568" s="224" t="s">
        <v>64</v>
      </c>
      <c r="H1568" s="224" t="s">
        <v>41</v>
      </c>
      <c r="I1568" s="224" t="s">
        <v>643</v>
      </c>
      <c r="J1568" s="228"/>
      <c r="K1568" s="228"/>
      <c r="L1568" s="228"/>
      <c r="M1568" s="228"/>
      <c r="N1568" s="275">
        <v>1.0</v>
      </c>
      <c r="O1568" s="228"/>
      <c r="P1568" s="275">
        <v>1.0</v>
      </c>
      <c r="Q1568" s="229"/>
      <c r="R1568" s="229"/>
      <c r="S1568" s="224" t="s">
        <v>189</v>
      </c>
      <c r="T1568" s="427" t="s">
        <v>73</v>
      </c>
      <c r="U1568" s="427" t="s">
        <v>99</v>
      </c>
      <c r="V1568" s="427" t="s">
        <v>1984</v>
      </c>
      <c r="W1568" s="230"/>
      <c r="X1568" s="230"/>
      <c r="Y1568" s="230"/>
      <c r="Z1568" s="230"/>
      <c r="AA1568" s="231">
        <v>238000.0</v>
      </c>
      <c r="AB1568" s="231">
        <v>952000.0</v>
      </c>
      <c r="AC1568" s="428" t="s">
        <v>4257</v>
      </c>
      <c r="AD1568" s="272">
        <v>16034.0</v>
      </c>
      <c r="AE1568" s="229"/>
      <c r="AF1568" s="224" t="str">
        <f t="shared" si="1"/>
        <v>Tierra de Fuego, Argentina</v>
      </c>
      <c r="AG1568" s="429">
        <f t="shared" si="2"/>
        <v>2</v>
      </c>
      <c r="AH1568" s="430">
        <f t="shared" si="17"/>
        <v>0</v>
      </c>
      <c r="AI1568" s="430">
        <f t="shared" si="12"/>
        <v>0</v>
      </c>
      <c r="AJ1568" s="431">
        <f t="shared" si="5"/>
        <v>1190000</v>
      </c>
      <c r="AK1568" s="431">
        <f t="shared" si="18"/>
        <v>1190000</v>
      </c>
      <c r="AL1568" s="233"/>
      <c r="AM1568" s="233"/>
    </row>
    <row r="1569">
      <c r="A1569" s="224">
        <v>1568.0</v>
      </c>
      <c r="B1569" s="225">
        <v>45565.0</v>
      </c>
      <c r="C1569" s="229"/>
      <c r="D1569" s="425" t="s">
        <v>4254</v>
      </c>
      <c r="E1569" s="426" t="s">
        <v>4255</v>
      </c>
      <c r="F1569" s="226" t="s">
        <v>4258</v>
      </c>
      <c r="G1569" s="224" t="s">
        <v>64</v>
      </c>
      <c r="H1569" s="224" t="s">
        <v>41</v>
      </c>
      <c r="I1569" s="224" t="s">
        <v>643</v>
      </c>
      <c r="J1569" s="228"/>
      <c r="K1569" s="228"/>
      <c r="L1569" s="228"/>
      <c r="M1569" s="228"/>
      <c r="N1569" s="228"/>
      <c r="O1569" s="228"/>
      <c r="P1569" s="228"/>
      <c r="Q1569" s="229"/>
      <c r="R1569" s="229"/>
      <c r="S1569" s="224" t="s">
        <v>189</v>
      </c>
      <c r="T1569" s="427" t="s">
        <v>73</v>
      </c>
      <c r="U1569" s="427" t="s">
        <v>99</v>
      </c>
      <c r="V1569" s="427" t="s">
        <v>1984</v>
      </c>
      <c r="W1569" s="276">
        <v>156758.0</v>
      </c>
      <c r="X1569" s="276">
        <v>705411.0</v>
      </c>
      <c r="Y1569" s="230"/>
      <c r="Z1569" s="230"/>
      <c r="AA1569" s="231">
        <v>0.0</v>
      </c>
      <c r="AB1569" s="231">
        <v>0.0</v>
      </c>
      <c r="AC1569" s="428" t="s">
        <v>4259</v>
      </c>
      <c r="AD1569" s="272">
        <v>16136.0</v>
      </c>
      <c r="AE1569" s="229"/>
      <c r="AF1569" s="224" t="str">
        <f t="shared" si="1"/>
        <v>Tierra de Fuego, Argentina</v>
      </c>
      <c r="AG1569" s="429">
        <f t="shared" si="2"/>
        <v>0</v>
      </c>
      <c r="AH1569" s="430">
        <f t="shared" si="17"/>
        <v>862169</v>
      </c>
      <c r="AI1569" s="430">
        <f t="shared" si="12"/>
        <v>0</v>
      </c>
      <c r="AJ1569" s="431">
        <f t="shared" si="5"/>
        <v>0</v>
      </c>
      <c r="AK1569" s="431">
        <f t="shared" si="18"/>
        <v>862169</v>
      </c>
      <c r="AL1569" s="233"/>
      <c r="AM1569" s="233"/>
    </row>
    <row r="1570">
      <c r="A1570" s="224">
        <v>1569.0</v>
      </c>
      <c r="B1570" s="225">
        <v>45565.0</v>
      </c>
      <c r="C1570" s="229"/>
      <c r="D1570" s="425" t="s">
        <v>4260</v>
      </c>
      <c r="E1570" s="426" t="s">
        <v>4261</v>
      </c>
      <c r="F1570" s="226" t="s">
        <v>3416</v>
      </c>
      <c r="G1570" s="224" t="s">
        <v>40</v>
      </c>
      <c r="H1570" s="224" t="s">
        <v>547</v>
      </c>
      <c r="I1570" s="224" t="s">
        <v>42</v>
      </c>
      <c r="J1570" s="227">
        <v>1.0</v>
      </c>
      <c r="K1570" s="227">
        <v>1.0</v>
      </c>
      <c r="L1570" s="228"/>
      <c r="M1570" s="227">
        <v>1.0</v>
      </c>
      <c r="N1570" s="228"/>
      <c r="O1570" s="228"/>
      <c r="P1570" s="228"/>
      <c r="Q1570" s="229"/>
      <c r="R1570" s="229"/>
      <c r="S1570" s="224" t="s">
        <v>137</v>
      </c>
      <c r="T1570" s="427" t="s">
        <v>66</v>
      </c>
      <c r="U1570" s="427" t="s">
        <v>53</v>
      </c>
      <c r="V1570" s="427" t="s">
        <v>2922</v>
      </c>
      <c r="W1570" s="230"/>
      <c r="X1570" s="230"/>
      <c r="Y1570" s="230"/>
      <c r="Z1570" s="230"/>
      <c r="AA1570" s="231">
        <v>160353.0</v>
      </c>
      <c r="AB1570" s="231">
        <v>601323.0</v>
      </c>
      <c r="AC1570" s="428" t="s">
        <v>4262</v>
      </c>
      <c r="AD1570" s="272">
        <v>15996.0</v>
      </c>
      <c r="AE1570" s="229"/>
      <c r="AF1570" s="224" t="str">
        <f t="shared" si="1"/>
        <v>Buenos Aires, Argentina</v>
      </c>
      <c r="AG1570" s="429">
        <f t="shared" si="2"/>
        <v>3</v>
      </c>
      <c r="AH1570" s="430">
        <f t="shared" si="17"/>
        <v>0</v>
      </c>
      <c r="AI1570" s="430">
        <f t="shared" si="12"/>
        <v>0</v>
      </c>
      <c r="AJ1570" s="431">
        <f t="shared" si="5"/>
        <v>761676</v>
      </c>
      <c r="AK1570" s="431">
        <f t="shared" si="18"/>
        <v>761676</v>
      </c>
      <c r="AL1570" s="233"/>
      <c r="AM1570" s="233"/>
    </row>
    <row r="1571">
      <c r="A1571" s="224">
        <v>1570.0</v>
      </c>
      <c r="B1571" s="225">
        <v>45565.0</v>
      </c>
      <c r="C1571" s="229"/>
      <c r="D1571" s="425" t="s">
        <v>4263</v>
      </c>
      <c r="E1571" s="426" t="s">
        <v>3238</v>
      </c>
      <c r="F1571" s="226" t="s">
        <v>4264</v>
      </c>
      <c r="G1571" s="224" t="s">
        <v>64</v>
      </c>
      <c r="H1571" s="224" t="s">
        <v>41</v>
      </c>
      <c r="I1571" s="224" t="s">
        <v>643</v>
      </c>
      <c r="J1571" s="227">
        <v>1.0</v>
      </c>
      <c r="K1571" s="227">
        <v>7.0</v>
      </c>
      <c r="L1571" s="228"/>
      <c r="M1571" s="228"/>
      <c r="N1571" s="228"/>
      <c r="O1571" s="228"/>
      <c r="P1571" s="228"/>
      <c r="Q1571" s="229"/>
      <c r="R1571" s="229"/>
      <c r="S1571" s="224" t="s">
        <v>43</v>
      </c>
      <c r="T1571" s="427" t="s">
        <v>879</v>
      </c>
      <c r="U1571" s="427" t="s">
        <v>99</v>
      </c>
      <c r="V1571" s="427" t="s">
        <v>1984</v>
      </c>
      <c r="W1571" s="230"/>
      <c r="X1571" s="230"/>
      <c r="Y1571" s="230"/>
      <c r="Z1571" s="230"/>
      <c r="AA1571" s="231">
        <v>743750.0</v>
      </c>
      <c r="AB1571" s="231">
        <v>2975000.0</v>
      </c>
      <c r="AC1571" s="428" t="s">
        <v>4265</v>
      </c>
      <c r="AD1571" s="272">
        <v>16024.0</v>
      </c>
      <c r="AE1571" s="229"/>
      <c r="AF1571" s="224" t="str">
        <f t="shared" si="1"/>
        <v>Salta, Argentina</v>
      </c>
      <c r="AG1571" s="429">
        <f t="shared" si="2"/>
        <v>8</v>
      </c>
      <c r="AH1571" s="430">
        <f t="shared" si="17"/>
        <v>0</v>
      </c>
      <c r="AI1571" s="430">
        <f t="shared" si="12"/>
        <v>0</v>
      </c>
      <c r="AJ1571" s="431">
        <f t="shared" si="5"/>
        <v>3718750</v>
      </c>
      <c r="AK1571" s="431">
        <f t="shared" si="18"/>
        <v>3718750</v>
      </c>
      <c r="AL1571" s="233"/>
      <c r="AM1571" s="233"/>
    </row>
    <row r="1572">
      <c r="A1572" s="224">
        <v>1571.0</v>
      </c>
      <c r="B1572" s="225">
        <v>45565.0</v>
      </c>
      <c r="C1572" s="229"/>
      <c r="D1572" s="425" t="s">
        <v>3083</v>
      </c>
      <c r="E1572" s="426" t="s">
        <v>3084</v>
      </c>
      <c r="F1572" s="226" t="s">
        <v>1592</v>
      </c>
      <c r="G1572" s="224" t="s">
        <v>64</v>
      </c>
      <c r="H1572" s="224" t="s">
        <v>41</v>
      </c>
      <c r="I1572" s="224" t="s">
        <v>643</v>
      </c>
      <c r="J1572" s="227">
        <v>1.0</v>
      </c>
      <c r="K1572" s="227">
        <v>1.0</v>
      </c>
      <c r="L1572" s="228"/>
      <c r="M1572" s="228"/>
      <c r="N1572" s="228"/>
      <c r="O1572" s="228"/>
      <c r="P1572" s="228"/>
      <c r="Q1572" s="229"/>
      <c r="R1572" s="229"/>
      <c r="S1572" s="224" t="s">
        <v>65</v>
      </c>
      <c r="T1572" s="427" t="s">
        <v>66</v>
      </c>
      <c r="U1572" s="427" t="s">
        <v>99</v>
      </c>
      <c r="V1572" s="427" t="s">
        <v>1984</v>
      </c>
      <c r="W1572" s="230"/>
      <c r="X1572" s="230"/>
      <c r="Y1572" s="230"/>
      <c r="Z1572" s="230"/>
      <c r="AA1572" s="231">
        <v>208250.0</v>
      </c>
      <c r="AB1572" s="231">
        <v>833000.0</v>
      </c>
      <c r="AC1572" s="428" t="s">
        <v>4266</v>
      </c>
      <c r="AD1572" s="272">
        <v>16126.0</v>
      </c>
      <c r="AE1572" s="229"/>
      <c r="AF1572" s="224" t="str">
        <f t="shared" si="1"/>
        <v>Buenos Aires, Argentina</v>
      </c>
      <c r="AG1572" s="429">
        <f t="shared" si="2"/>
        <v>2</v>
      </c>
      <c r="AH1572" s="430">
        <f t="shared" si="17"/>
        <v>0</v>
      </c>
      <c r="AI1572" s="430">
        <f t="shared" si="12"/>
        <v>0</v>
      </c>
      <c r="AJ1572" s="431">
        <f t="shared" si="5"/>
        <v>1041250</v>
      </c>
      <c r="AK1572" s="431">
        <f t="shared" si="18"/>
        <v>1041250</v>
      </c>
      <c r="AL1572" s="233"/>
      <c r="AM1572" s="233"/>
    </row>
    <row r="1573">
      <c r="A1573" s="224">
        <v>1572.0</v>
      </c>
      <c r="B1573" s="225">
        <v>45565.0</v>
      </c>
      <c r="C1573" s="229"/>
      <c r="D1573" s="425" t="s">
        <v>4187</v>
      </c>
      <c r="E1573" s="426" t="s">
        <v>3997</v>
      </c>
      <c r="F1573" s="226" t="s">
        <v>1427</v>
      </c>
      <c r="G1573" s="224" t="s">
        <v>64</v>
      </c>
      <c r="H1573" s="224" t="s">
        <v>41</v>
      </c>
      <c r="I1573" s="224" t="s">
        <v>643</v>
      </c>
      <c r="J1573" s="228"/>
      <c r="K1573" s="227">
        <v>2.0</v>
      </c>
      <c r="L1573" s="228"/>
      <c r="M1573" s="228"/>
      <c r="N1573" s="228"/>
      <c r="O1573" s="228"/>
      <c r="P1573" s="228"/>
      <c r="Q1573" s="229"/>
      <c r="R1573" s="229"/>
      <c r="S1573" s="224" t="s">
        <v>43</v>
      </c>
      <c r="T1573" s="427" t="s">
        <v>83</v>
      </c>
      <c r="U1573" s="427" t="s">
        <v>99</v>
      </c>
      <c r="V1573" s="427" t="s">
        <v>1984</v>
      </c>
      <c r="W1573" s="230"/>
      <c r="X1573" s="230"/>
      <c r="Y1573" s="230"/>
      <c r="Z1573" s="230"/>
      <c r="AA1573" s="231">
        <v>178500.0</v>
      </c>
      <c r="AB1573" s="231">
        <v>892500.0</v>
      </c>
      <c r="AC1573" s="428" t="s">
        <v>4267</v>
      </c>
      <c r="AD1573" s="272">
        <v>16138.0</v>
      </c>
      <c r="AE1573" s="229"/>
      <c r="AF1573" s="224" t="str">
        <f t="shared" si="1"/>
        <v>Capital Federal, Argentina</v>
      </c>
      <c r="AG1573" s="429">
        <f t="shared" si="2"/>
        <v>2</v>
      </c>
      <c r="AH1573" s="430">
        <f t="shared" si="17"/>
        <v>0</v>
      </c>
      <c r="AI1573" s="430">
        <f t="shared" si="12"/>
        <v>0</v>
      </c>
      <c r="AJ1573" s="431">
        <f t="shared" si="5"/>
        <v>1071000</v>
      </c>
      <c r="AK1573" s="431">
        <f t="shared" si="18"/>
        <v>1071000</v>
      </c>
      <c r="AL1573" s="233"/>
      <c r="AM1573" s="233"/>
    </row>
    <row r="1574">
      <c r="A1574" s="224">
        <v>1573.0</v>
      </c>
      <c r="B1574" s="225">
        <v>45565.0</v>
      </c>
      <c r="C1574" s="229"/>
      <c r="D1574" s="425" t="s">
        <v>4187</v>
      </c>
      <c r="E1574" s="426" t="s">
        <v>3997</v>
      </c>
      <c r="F1574" s="226" t="s">
        <v>4268</v>
      </c>
      <c r="G1574" s="224" t="s">
        <v>64</v>
      </c>
      <c r="H1574" s="224" t="s">
        <v>41</v>
      </c>
      <c r="I1574" s="224" t="s">
        <v>643</v>
      </c>
      <c r="J1574" s="228"/>
      <c r="K1574" s="228"/>
      <c r="L1574" s="228"/>
      <c r="M1574" s="228"/>
      <c r="N1574" s="228"/>
      <c r="O1574" s="228"/>
      <c r="P1574" s="228"/>
      <c r="Q1574" s="229"/>
      <c r="R1574" s="229"/>
      <c r="S1574" s="224" t="s">
        <v>43</v>
      </c>
      <c r="T1574" s="427" t="s">
        <v>83</v>
      </c>
      <c r="U1574" s="427" t="s">
        <v>99</v>
      </c>
      <c r="V1574" s="427" t="s">
        <v>1984</v>
      </c>
      <c r="W1574" s="230"/>
      <c r="X1574" s="230"/>
      <c r="Y1574" s="230"/>
      <c r="Z1574" s="230"/>
      <c r="AA1574" s="231">
        <v>0.0</v>
      </c>
      <c r="AB1574" s="231">
        <v>238000.0</v>
      </c>
      <c r="AC1574" s="428" t="s">
        <v>4267</v>
      </c>
      <c r="AD1574" s="272">
        <v>16138.0</v>
      </c>
      <c r="AE1574" s="229"/>
      <c r="AF1574" s="224" t="str">
        <f t="shared" si="1"/>
        <v>Capital Federal, Argentina</v>
      </c>
      <c r="AG1574" s="429">
        <f t="shared" si="2"/>
        <v>0</v>
      </c>
      <c r="AH1574" s="430">
        <f t="shared" si="17"/>
        <v>0</v>
      </c>
      <c r="AI1574" s="430">
        <f t="shared" si="12"/>
        <v>0</v>
      </c>
      <c r="AJ1574" s="431">
        <f t="shared" si="5"/>
        <v>238000</v>
      </c>
      <c r="AK1574" s="431">
        <f t="shared" si="18"/>
        <v>238000</v>
      </c>
      <c r="AL1574" s="233"/>
      <c r="AM1574" s="233"/>
    </row>
    <row r="1575">
      <c r="A1575" s="224">
        <v>1574.0</v>
      </c>
      <c r="B1575" s="225">
        <v>45565.0</v>
      </c>
      <c r="C1575" s="229"/>
      <c r="D1575" s="425" t="s">
        <v>4269</v>
      </c>
      <c r="E1575" s="426" t="s">
        <v>3190</v>
      </c>
      <c r="F1575" s="226" t="s">
        <v>1592</v>
      </c>
      <c r="G1575" s="224" t="s">
        <v>64</v>
      </c>
      <c r="H1575" s="224" t="s">
        <v>41</v>
      </c>
      <c r="I1575" s="224" t="s">
        <v>643</v>
      </c>
      <c r="J1575" s="227">
        <v>1.0</v>
      </c>
      <c r="K1575" s="227">
        <v>1.0</v>
      </c>
      <c r="L1575" s="228"/>
      <c r="M1575" s="228"/>
      <c r="N1575" s="228"/>
      <c r="O1575" s="228"/>
      <c r="P1575" s="228"/>
      <c r="Q1575" s="229"/>
      <c r="R1575" s="229"/>
      <c r="S1575" s="224" t="s">
        <v>189</v>
      </c>
      <c r="T1575" s="427" t="s">
        <v>66</v>
      </c>
      <c r="U1575" s="427" t="s">
        <v>99</v>
      </c>
      <c r="V1575" s="427" t="s">
        <v>1984</v>
      </c>
      <c r="W1575" s="230"/>
      <c r="X1575" s="230"/>
      <c r="Y1575" s="230"/>
      <c r="Z1575" s="230"/>
      <c r="AA1575" s="231">
        <v>208250.0</v>
      </c>
      <c r="AB1575" s="231">
        <v>833000.0</v>
      </c>
      <c r="AC1575" s="428" t="s">
        <v>4270</v>
      </c>
      <c r="AD1575" s="272">
        <v>16134.0</v>
      </c>
      <c r="AE1575" s="229"/>
      <c r="AF1575" s="224" t="str">
        <f t="shared" si="1"/>
        <v>Buenos Aires, Argentina</v>
      </c>
      <c r="AG1575" s="429">
        <f t="shared" si="2"/>
        <v>2</v>
      </c>
      <c r="AH1575" s="430">
        <f t="shared" si="17"/>
        <v>0</v>
      </c>
      <c r="AI1575" s="430">
        <f t="shared" si="12"/>
        <v>0</v>
      </c>
      <c r="AJ1575" s="431">
        <f t="shared" si="5"/>
        <v>1041250</v>
      </c>
      <c r="AK1575" s="431">
        <f t="shared" si="18"/>
        <v>1041250</v>
      </c>
      <c r="AL1575" s="233"/>
      <c r="AM1575" s="233"/>
    </row>
    <row r="1576">
      <c r="A1576" s="224">
        <v>1575.0</v>
      </c>
      <c r="B1576" s="225">
        <v>45565.0</v>
      </c>
      <c r="C1576" s="229"/>
      <c r="D1576" s="425" t="s">
        <v>4044</v>
      </c>
      <c r="E1576" s="426" t="s">
        <v>4045</v>
      </c>
      <c r="F1576" s="226" t="s">
        <v>1415</v>
      </c>
      <c r="G1576" s="224" t="s">
        <v>64</v>
      </c>
      <c r="H1576" s="224" t="s">
        <v>41</v>
      </c>
      <c r="I1576" s="224" t="s">
        <v>643</v>
      </c>
      <c r="J1576" s="228"/>
      <c r="K1576" s="227">
        <v>1.0</v>
      </c>
      <c r="L1576" s="228"/>
      <c r="M1576" s="228"/>
      <c r="N1576" s="228"/>
      <c r="O1576" s="228"/>
      <c r="P1576" s="228"/>
      <c r="Q1576" s="229"/>
      <c r="R1576" s="229"/>
      <c r="S1576" s="224" t="s">
        <v>43</v>
      </c>
      <c r="T1576" s="427" t="s">
        <v>66</v>
      </c>
      <c r="U1576" s="427" t="s">
        <v>99</v>
      </c>
      <c r="V1576" s="427" t="s">
        <v>1984</v>
      </c>
      <c r="W1576" s="230"/>
      <c r="X1576" s="230"/>
      <c r="Y1576" s="230"/>
      <c r="Z1576" s="230"/>
      <c r="AA1576" s="231">
        <v>92250.0</v>
      </c>
      <c r="AB1576" s="231">
        <v>415125.0</v>
      </c>
      <c r="AC1576" s="428" t="s">
        <v>4271</v>
      </c>
      <c r="AD1576" s="272">
        <v>16172.0</v>
      </c>
      <c r="AE1576" s="229"/>
      <c r="AF1576" s="224" t="str">
        <f t="shared" si="1"/>
        <v>Buenos Aires, Argentina</v>
      </c>
      <c r="AG1576" s="429">
        <f t="shared" si="2"/>
        <v>1</v>
      </c>
      <c r="AH1576" s="430">
        <f t="shared" si="17"/>
        <v>0</v>
      </c>
      <c r="AI1576" s="430">
        <f t="shared" si="12"/>
        <v>0</v>
      </c>
      <c r="AJ1576" s="431">
        <f t="shared" si="5"/>
        <v>507375</v>
      </c>
      <c r="AK1576" s="431">
        <f t="shared" si="18"/>
        <v>507375</v>
      </c>
      <c r="AL1576" s="233"/>
      <c r="AM1576" s="233"/>
    </row>
    <row r="1577">
      <c r="A1577" s="224">
        <v>1576.0</v>
      </c>
      <c r="B1577" s="225">
        <v>45565.0</v>
      </c>
      <c r="C1577" s="229"/>
      <c r="D1577" s="425" t="s">
        <v>3603</v>
      </c>
      <c r="E1577" s="426" t="s">
        <v>3446</v>
      </c>
      <c r="F1577" s="226" t="s">
        <v>1415</v>
      </c>
      <c r="G1577" s="224" t="s">
        <v>64</v>
      </c>
      <c r="H1577" s="224" t="s">
        <v>41</v>
      </c>
      <c r="I1577" s="224" t="s">
        <v>643</v>
      </c>
      <c r="J1577" s="228"/>
      <c r="K1577" s="227">
        <v>1.0</v>
      </c>
      <c r="L1577" s="228"/>
      <c r="M1577" s="228"/>
      <c r="N1577" s="228"/>
      <c r="O1577" s="228"/>
      <c r="P1577" s="228"/>
      <c r="Q1577" s="229"/>
      <c r="R1577" s="229"/>
      <c r="S1577" s="224" t="s">
        <v>65</v>
      </c>
      <c r="T1577" s="427" t="s">
        <v>58</v>
      </c>
      <c r="U1577" s="427" t="s">
        <v>99</v>
      </c>
      <c r="V1577" s="427" t="s">
        <v>1984</v>
      </c>
      <c r="W1577" s="230"/>
      <c r="X1577" s="230"/>
      <c r="Y1577" s="230"/>
      <c r="Z1577" s="230"/>
      <c r="AA1577" s="231">
        <v>89250.0</v>
      </c>
      <c r="AB1577" s="231">
        <v>357000.0</v>
      </c>
      <c r="AC1577" s="428" t="s">
        <v>4272</v>
      </c>
      <c r="AD1577" s="272">
        <v>15682.0</v>
      </c>
      <c r="AE1577" s="229"/>
      <c r="AF1577" s="224" t="str">
        <f t="shared" si="1"/>
        <v>Córdoba, Argentina</v>
      </c>
      <c r="AG1577" s="429">
        <f t="shared" si="2"/>
        <v>1</v>
      </c>
      <c r="AH1577" s="430">
        <f t="shared" si="17"/>
        <v>0</v>
      </c>
      <c r="AI1577" s="430">
        <f t="shared" si="12"/>
        <v>0</v>
      </c>
      <c r="AJ1577" s="431">
        <f t="shared" si="5"/>
        <v>446250</v>
      </c>
      <c r="AK1577" s="431">
        <f t="shared" si="18"/>
        <v>446250</v>
      </c>
      <c r="AL1577" s="233"/>
      <c r="AM1577" s="233"/>
    </row>
    <row r="1578">
      <c r="A1578" s="224">
        <v>1577.0</v>
      </c>
      <c r="B1578" s="225">
        <v>45565.0</v>
      </c>
      <c r="C1578" s="229"/>
      <c r="D1578" s="425" t="s">
        <v>3164</v>
      </c>
      <c r="E1578" s="426" t="s">
        <v>3165</v>
      </c>
      <c r="F1578" s="226" t="s">
        <v>1423</v>
      </c>
      <c r="G1578" s="224" t="s">
        <v>64</v>
      </c>
      <c r="H1578" s="224" t="s">
        <v>41</v>
      </c>
      <c r="I1578" s="224" t="s">
        <v>643</v>
      </c>
      <c r="J1578" s="227">
        <v>1.0</v>
      </c>
      <c r="K1578" s="228"/>
      <c r="L1578" s="228"/>
      <c r="M1578" s="228"/>
      <c r="N1578" s="228"/>
      <c r="O1578" s="228"/>
      <c r="P1578" s="228"/>
      <c r="Q1578" s="229"/>
      <c r="R1578" s="229"/>
      <c r="S1578" s="224" t="s">
        <v>72</v>
      </c>
      <c r="T1578" s="427" t="s">
        <v>66</v>
      </c>
      <c r="U1578" s="427" t="s">
        <v>99</v>
      </c>
      <c r="V1578" s="427" t="s">
        <v>1984</v>
      </c>
      <c r="W1578" s="230"/>
      <c r="X1578" s="230"/>
      <c r="Y1578" s="230"/>
      <c r="Z1578" s="230"/>
      <c r="AA1578" s="231">
        <v>119000.0</v>
      </c>
      <c r="AB1578" s="231">
        <v>476000.0</v>
      </c>
      <c r="AC1578" s="428" t="s">
        <v>4273</v>
      </c>
      <c r="AD1578" s="272">
        <v>16212.0</v>
      </c>
      <c r="AE1578" s="229"/>
      <c r="AF1578" s="224" t="str">
        <f t="shared" si="1"/>
        <v>Buenos Aires, Argentina</v>
      </c>
      <c r="AG1578" s="429">
        <f t="shared" si="2"/>
        <v>1</v>
      </c>
      <c r="AH1578" s="430">
        <f t="shared" si="17"/>
        <v>0</v>
      </c>
      <c r="AI1578" s="430">
        <f t="shared" si="12"/>
        <v>0</v>
      </c>
      <c r="AJ1578" s="431">
        <f t="shared" si="5"/>
        <v>595000</v>
      </c>
      <c r="AK1578" s="431">
        <f t="shared" si="18"/>
        <v>595000</v>
      </c>
      <c r="AL1578" s="233"/>
      <c r="AM1578" s="233"/>
    </row>
    <row r="1579">
      <c r="A1579" s="224">
        <v>1578.0</v>
      </c>
      <c r="B1579" s="225">
        <v>45565.0</v>
      </c>
      <c r="C1579" s="229"/>
      <c r="D1579" s="425" t="s">
        <v>3624</v>
      </c>
      <c r="E1579" s="426" t="s">
        <v>3625</v>
      </c>
      <c r="F1579" s="226" t="s">
        <v>1415</v>
      </c>
      <c r="G1579" s="224" t="s">
        <v>64</v>
      </c>
      <c r="H1579" s="224" t="s">
        <v>41</v>
      </c>
      <c r="I1579" s="224" t="s">
        <v>643</v>
      </c>
      <c r="J1579" s="228"/>
      <c r="K1579" s="227">
        <v>1.0</v>
      </c>
      <c r="L1579" s="228"/>
      <c r="M1579" s="228"/>
      <c r="N1579" s="228"/>
      <c r="O1579" s="228"/>
      <c r="P1579" s="228"/>
      <c r="Q1579" s="229"/>
      <c r="R1579" s="229"/>
      <c r="S1579" s="224" t="s">
        <v>65</v>
      </c>
      <c r="T1579" s="427" t="s">
        <v>267</v>
      </c>
      <c r="U1579" s="427" t="s">
        <v>99</v>
      </c>
      <c r="V1579" s="427" t="s">
        <v>1984</v>
      </c>
      <c r="W1579" s="230"/>
      <c r="X1579" s="230"/>
      <c r="Y1579" s="230"/>
      <c r="Z1579" s="230"/>
      <c r="AA1579" s="231">
        <v>89250.0</v>
      </c>
      <c r="AB1579" s="231">
        <v>357000.0</v>
      </c>
      <c r="AC1579" s="428" t="s">
        <v>4274</v>
      </c>
      <c r="AD1579" s="272">
        <v>16068.0</v>
      </c>
      <c r="AE1579" s="229"/>
      <c r="AF1579" s="224" t="str">
        <f t="shared" si="1"/>
        <v>Entre Ríos, Argentina</v>
      </c>
      <c r="AG1579" s="429">
        <f t="shared" si="2"/>
        <v>1</v>
      </c>
      <c r="AH1579" s="430">
        <f t="shared" si="17"/>
        <v>0</v>
      </c>
      <c r="AI1579" s="430">
        <f t="shared" si="12"/>
        <v>0</v>
      </c>
      <c r="AJ1579" s="431">
        <f t="shared" si="5"/>
        <v>446250</v>
      </c>
      <c r="AK1579" s="431">
        <f t="shared" si="18"/>
        <v>446250</v>
      </c>
      <c r="AL1579" s="233"/>
      <c r="AM1579" s="233"/>
    </row>
    <row r="1580">
      <c r="A1580" s="310">
        <v>1579.0</v>
      </c>
      <c r="B1580" s="311">
        <v>45574.0</v>
      </c>
      <c r="C1580" s="140"/>
      <c r="D1580" s="432" t="s">
        <v>2487</v>
      </c>
      <c r="E1580" s="433" t="s">
        <v>2488</v>
      </c>
      <c r="F1580" s="312" t="s">
        <v>4275</v>
      </c>
      <c r="G1580" s="310" t="s">
        <v>64</v>
      </c>
      <c r="H1580" s="310" t="s">
        <v>41</v>
      </c>
      <c r="I1580" s="310" t="s">
        <v>643</v>
      </c>
      <c r="J1580" s="138"/>
      <c r="K1580" s="138"/>
      <c r="L1580" s="138"/>
      <c r="M1580" s="138"/>
      <c r="N1580" s="138"/>
      <c r="O1580" s="138"/>
      <c r="P1580" s="138"/>
      <c r="Q1580" s="140"/>
      <c r="R1580" s="140"/>
      <c r="S1580" s="310" t="s">
        <v>109</v>
      </c>
      <c r="T1580" s="378" t="s">
        <v>66</v>
      </c>
      <c r="U1580" s="378" t="s">
        <v>99</v>
      </c>
      <c r="V1580" s="378" t="s">
        <v>1984</v>
      </c>
      <c r="W1580" s="141"/>
      <c r="X1580" s="141"/>
      <c r="Y1580" s="141"/>
      <c r="Z1580" s="141"/>
      <c r="AA1580" s="313">
        <v>0.0</v>
      </c>
      <c r="AB1580" s="313">
        <v>196800.0</v>
      </c>
      <c r="AC1580" s="379" t="s">
        <v>4276</v>
      </c>
      <c r="AD1580" s="135">
        <v>16256.0</v>
      </c>
      <c r="AE1580" s="140"/>
      <c r="AF1580" s="310" t="str">
        <f t="shared" si="1"/>
        <v>Buenos Aires, Argentina</v>
      </c>
      <c r="AG1580" s="434">
        <f t="shared" si="2"/>
        <v>0</v>
      </c>
      <c r="AH1580" s="435">
        <f t="shared" si="17"/>
        <v>0</v>
      </c>
      <c r="AI1580" s="435">
        <f t="shared" si="12"/>
        <v>0</v>
      </c>
      <c r="AJ1580" s="436">
        <f t="shared" si="5"/>
        <v>196800</v>
      </c>
      <c r="AK1580" s="436">
        <f t="shared" si="18"/>
        <v>196800</v>
      </c>
      <c r="AL1580" s="144"/>
      <c r="AM1580" s="144"/>
    </row>
    <row r="1581">
      <c r="A1581" s="310">
        <v>1580.0</v>
      </c>
      <c r="B1581" s="311">
        <v>45579.0</v>
      </c>
      <c r="C1581" s="140"/>
      <c r="D1581" s="432" t="s">
        <v>4277</v>
      </c>
      <c r="E1581" s="433" t="s">
        <v>4278</v>
      </c>
      <c r="F1581" s="312" t="s">
        <v>4279</v>
      </c>
      <c r="G1581" s="310" t="s">
        <v>40</v>
      </c>
      <c r="H1581" s="310" t="s">
        <v>227</v>
      </c>
      <c r="I1581" s="310" t="s">
        <v>643</v>
      </c>
      <c r="J1581" s="315">
        <v>3.0</v>
      </c>
      <c r="K1581" s="315">
        <v>5.0</v>
      </c>
      <c r="L1581" s="139">
        <v>2.0</v>
      </c>
      <c r="M1581" s="315">
        <v>1.0</v>
      </c>
      <c r="N1581" s="138"/>
      <c r="O1581" s="315">
        <v>4.0</v>
      </c>
      <c r="P1581" s="138"/>
      <c r="Q1581" s="140"/>
      <c r="R1581" s="140"/>
      <c r="S1581" s="310" t="s">
        <v>89</v>
      </c>
      <c r="T1581" s="378" t="s">
        <v>83</v>
      </c>
      <c r="U1581" s="378" t="s">
        <v>53</v>
      </c>
      <c r="V1581" s="378" t="s">
        <v>2935</v>
      </c>
      <c r="W1581" s="141"/>
      <c r="X1581" s="141"/>
      <c r="Y1581" s="141"/>
      <c r="Z1581" s="141"/>
      <c r="AA1581" s="313">
        <v>1543035.0</v>
      </c>
      <c r="AB1581" s="313">
        <v>5786381.0</v>
      </c>
      <c r="AC1581" s="379" t="s">
        <v>4280</v>
      </c>
      <c r="AD1581" s="135">
        <v>10644.0</v>
      </c>
      <c r="AE1581" s="140"/>
      <c r="AF1581" s="310" t="str">
        <f t="shared" si="1"/>
        <v>Capital Federal, Argentina</v>
      </c>
      <c r="AG1581" s="434">
        <f t="shared" si="2"/>
        <v>15</v>
      </c>
      <c r="AH1581" s="435">
        <f t="shared" si="17"/>
        <v>0</v>
      </c>
      <c r="AI1581" s="435">
        <f t="shared" si="12"/>
        <v>0</v>
      </c>
      <c r="AJ1581" s="436">
        <f t="shared" si="5"/>
        <v>7329416</v>
      </c>
      <c r="AK1581" s="436">
        <f t="shared" si="18"/>
        <v>7329416</v>
      </c>
      <c r="AL1581" s="144"/>
      <c r="AM1581" s="144"/>
    </row>
    <row r="1582">
      <c r="A1582" s="310">
        <v>1581.0</v>
      </c>
      <c r="B1582" s="311">
        <v>45581.0</v>
      </c>
      <c r="C1582" s="140"/>
      <c r="D1582" s="432" t="s">
        <v>4281</v>
      </c>
      <c r="E1582" s="433" t="s">
        <v>2099</v>
      </c>
      <c r="F1582" s="312" t="s">
        <v>1503</v>
      </c>
      <c r="G1582" s="310" t="s">
        <v>64</v>
      </c>
      <c r="H1582" s="310" t="s">
        <v>41</v>
      </c>
      <c r="I1582" s="310" t="s">
        <v>643</v>
      </c>
      <c r="J1582" s="138"/>
      <c r="K1582" s="315">
        <v>4.0</v>
      </c>
      <c r="L1582" s="138"/>
      <c r="M1582" s="138"/>
      <c r="N1582" s="138"/>
      <c r="O1582" s="138"/>
      <c r="P1582" s="138"/>
      <c r="Q1582" s="140"/>
      <c r="R1582" s="140"/>
      <c r="S1582" s="310" t="s">
        <v>89</v>
      </c>
      <c r="T1582" s="378" t="s">
        <v>66</v>
      </c>
      <c r="U1582" s="378" t="s">
        <v>99</v>
      </c>
      <c r="V1582" s="378" t="s">
        <v>1984</v>
      </c>
      <c r="W1582" s="141"/>
      <c r="X1582" s="141"/>
      <c r="Y1582" s="141"/>
      <c r="Z1582" s="141"/>
      <c r="AA1582" s="313">
        <v>369000.0</v>
      </c>
      <c r="AB1582" s="313">
        <v>1383750.0</v>
      </c>
      <c r="AC1582" s="379" t="s">
        <v>4282</v>
      </c>
      <c r="AD1582" s="135">
        <v>16262.0</v>
      </c>
      <c r="AE1582" s="140"/>
      <c r="AF1582" s="310" t="str">
        <f t="shared" si="1"/>
        <v>Buenos Aires, Argentina</v>
      </c>
      <c r="AG1582" s="434">
        <f t="shared" si="2"/>
        <v>4</v>
      </c>
      <c r="AH1582" s="435">
        <f t="shared" si="17"/>
        <v>0</v>
      </c>
      <c r="AI1582" s="435">
        <f t="shared" si="12"/>
        <v>0</v>
      </c>
      <c r="AJ1582" s="436">
        <f t="shared" si="5"/>
        <v>1752750</v>
      </c>
      <c r="AK1582" s="436">
        <f t="shared" si="18"/>
        <v>1752750</v>
      </c>
      <c r="AL1582" s="144"/>
      <c r="AM1582" s="144"/>
    </row>
    <row r="1583">
      <c r="A1583" s="310">
        <v>1582.0</v>
      </c>
      <c r="B1583" s="311">
        <v>45582.0</v>
      </c>
      <c r="C1583" s="140"/>
      <c r="D1583" s="432" t="s">
        <v>4283</v>
      </c>
      <c r="E1583" s="433" t="s">
        <v>4284</v>
      </c>
      <c r="F1583" s="312" t="s">
        <v>2327</v>
      </c>
      <c r="G1583" s="310" t="s">
        <v>40</v>
      </c>
      <c r="H1583" s="310" t="s">
        <v>41</v>
      </c>
      <c r="I1583" s="310" t="s">
        <v>42</v>
      </c>
      <c r="J1583" s="315">
        <v>1.0</v>
      </c>
      <c r="K1583" s="138"/>
      <c r="L1583" s="138"/>
      <c r="M1583" s="315">
        <v>1.0</v>
      </c>
      <c r="N1583" s="138"/>
      <c r="O1583" s="138"/>
      <c r="P1583" s="138"/>
      <c r="Q1583" s="140"/>
      <c r="R1583" s="140"/>
      <c r="S1583" s="310" t="s">
        <v>43</v>
      </c>
      <c r="T1583" s="378" t="s">
        <v>66</v>
      </c>
      <c r="U1583" s="378" t="s">
        <v>342</v>
      </c>
      <c r="V1583" s="378" t="s">
        <v>2922</v>
      </c>
      <c r="W1583" s="141"/>
      <c r="X1583" s="141"/>
      <c r="Y1583" s="141"/>
      <c r="Z1583" s="141"/>
      <c r="AA1583" s="313">
        <v>123000.0</v>
      </c>
      <c r="AB1583" s="313">
        <v>430500.0</v>
      </c>
      <c r="AC1583" s="379" t="s">
        <v>4285</v>
      </c>
      <c r="AD1583" s="135">
        <v>16260.0</v>
      </c>
      <c r="AE1583" s="140"/>
      <c r="AF1583" s="310" t="str">
        <f t="shared" si="1"/>
        <v>Buenos Aires, Argentina</v>
      </c>
      <c r="AG1583" s="434">
        <f t="shared" si="2"/>
        <v>2</v>
      </c>
      <c r="AH1583" s="435">
        <f t="shared" si="17"/>
        <v>0</v>
      </c>
      <c r="AI1583" s="435">
        <f t="shared" si="12"/>
        <v>0</v>
      </c>
      <c r="AJ1583" s="436">
        <f t="shared" si="5"/>
        <v>553500</v>
      </c>
      <c r="AK1583" s="436">
        <f t="shared" si="18"/>
        <v>553500</v>
      </c>
      <c r="AL1583" s="144"/>
      <c r="AM1583" s="144"/>
    </row>
    <row r="1584">
      <c r="A1584" s="310">
        <v>1583.0</v>
      </c>
      <c r="B1584" s="311">
        <v>45582.0</v>
      </c>
      <c r="C1584" s="140"/>
      <c r="D1584" s="432" t="s">
        <v>4286</v>
      </c>
      <c r="E1584" s="433" t="s">
        <v>4287</v>
      </c>
      <c r="F1584" s="312" t="s">
        <v>2327</v>
      </c>
      <c r="G1584" s="310" t="s">
        <v>40</v>
      </c>
      <c r="H1584" s="310" t="s">
        <v>41</v>
      </c>
      <c r="I1584" s="310" t="s">
        <v>42</v>
      </c>
      <c r="J1584" s="315">
        <v>1.0</v>
      </c>
      <c r="K1584" s="138"/>
      <c r="L1584" s="138"/>
      <c r="M1584" s="315">
        <v>1.0</v>
      </c>
      <c r="N1584" s="138"/>
      <c r="O1584" s="138"/>
      <c r="P1584" s="138"/>
      <c r="Q1584" s="140"/>
      <c r="R1584" s="140"/>
      <c r="S1584" s="310" t="s">
        <v>65</v>
      </c>
      <c r="T1584" s="378" t="s">
        <v>66</v>
      </c>
      <c r="U1584" s="378" t="s">
        <v>342</v>
      </c>
      <c r="V1584" s="378" t="s">
        <v>2922</v>
      </c>
      <c r="W1584" s="141"/>
      <c r="X1584" s="141"/>
      <c r="Y1584" s="141"/>
      <c r="Z1584" s="141"/>
      <c r="AA1584" s="313">
        <v>123000.0</v>
      </c>
      <c r="AB1584" s="313">
        <v>430500.0</v>
      </c>
      <c r="AC1584" s="379" t="s">
        <v>4288</v>
      </c>
      <c r="AD1584" s="135">
        <v>16104.0</v>
      </c>
      <c r="AE1584" s="140"/>
      <c r="AF1584" s="310" t="str">
        <f t="shared" si="1"/>
        <v>Buenos Aires, Argentina</v>
      </c>
      <c r="AG1584" s="434">
        <f t="shared" si="2"/>
        <v>2</v>
      </c>
      <c r="AH1584" s="435">
        <f t="shared" si="17"/>
        <v>0</v>
      </c>
      <c r="AI1584" s="435">
        <f t="shared" si="12"/>
        <v>0</v>
      </c>
      <c r="AJ1584" s="436">
        <f t="shared" si="5"/>
        <v>553500</v>
      </c>
      <c r="AK1584" s="436">
        <f t="shared" si="18"/>
        <v>553500</v>
      </c>
      <c r="AL1584" s="144"/>
      <c r="AM1584" s="144"/>
    </row>
    <row r="1585">
      <c r="A1585" s="310">
        <v>1584.0</v>
      </c>
      <c r="B1585" s="311">
        <v>45582.0</v>
      </c>
      <c r="C1585" s="140"/>
      <c r="D1585" s="432" t="s">
        <v>4281</v>
      </c>
      <c r="E1585" s="433" t="s">
        <v>2099</v>
      </c>
      <c r="F1585" s="312" t="s">
        <v>4289</v>
      </c>
      <c r="G1585" s="310" t="s">
        <v>64</v>
      </c>
      <c r="H1585" s="310" t="s">
        <v>41</v>
      </c>
      <c r="I1585" s="310" t="s">
        <v>643</v>
      </c>
      <c r="J1585" s="138"/>
      <c r="K1585" s="138"/>
      <c r="L1585" s="138"/>
      <c r="M1585" s="138"/>
      <c r="N1585" s="138"/>
      <c r="O1585" s="138"/>
      <c r="P1585" s="138"/>
      <c r="Q1585" s="140"/>
      <c r="R1585" s="140"/>
      <c r="S1585" s="310" t="s">
        <v>89</v>
      </c>
      <c r="T1585" s="378" t="s">
        <v>66</v>
      </c>
      <c r="U1585" s="378" t="s">
        <v>99</v>
      </c>
      <c r="V1585" s="378" t="s">
        <v>1984</v>
      </c>
      <c r="W1585" s="141"/>
      <c r="X1585" s="141"/>
      <c r="Y1585" s="141"/>
      <c r="Z1585" s="141"/>
      <c r="AA1585" s="313">
        <v>0.0</v>
      </c>
      <c r="AB1585" s="313">
        <v>0.0</v>
      </c>
      <c r="AC1585" s="379" t="s">
        <v>4290</v>
      </c>
      <c r="AD1585" s="135">
        <v>16316.0</v>
      </c>
      <c r="AE1585" s="140"/>
      <c r="AF1585" s="310" t="str">
        <f t="shared" si="1"/>
        <v>Buenos Aires, Argentina</v>
      </c>
      <c r="AG1585" s="434">
        <f t="shared" si="2"/>
        <v>0</v>
      </c>
      <c r="AH1585" s="435">
        <f t="shared" si="17"/>
        <v>0</v>
      </c>
      <c r="AI1585" s="435">
        <f t="shared" si="12"/>
        <v>0</v>
      </c>
      <c r="AJ1585" s="436">
        <f t="shared" si="5"/>
        <v>0</v>
      </c>
      <c r="AK1585" s="436">
        <f t="shared" si="18"/>
        <v>0</v>
      </c>
      <c r="AL1585" s="144"/>
      <c r="AM1585" s="144"/>
    </row>
    <row r="1586">
      <c r="A1586" s="310">
        <v>1585.0</v>
      </c>
      <c r="B1586" s="311">
        <v>45583.0</v>
      </c>
      <c r="C1586" s="140"/>
      <c r="D1586" s="432" t="s">
        <v>4291</v>
      </c>
      <c r="E1586" s="433" t="s">
        <v>4292</v>
      </c>
      <c r="F1586" s="312" t="s">
        <v>4293</v>
      </c>
      <c r="G1586" s="310" t="s">
        <v>40</v>
      </c>
      <c r="H1586" s="310" t="s">
        <v>41</v>
      </c>
      <c r="I1586" s="310" t="s">
        <v>42</v>
      </c>
      <c r="J1586" s="315">
        <v>1.0</v>
      </c>
      <c r="K1586" s="315">
        <v>3.0</v>
      </c>
      <c r="L1586" s="138"/>
      <c r="M1586" s="315">
        <v>1.0</v>
      </c>
      <c r="N1586" s="138"/>
      <c r="O1586" s="138"/>
      <c r="P1586" s="138"/>
      <c r="Q1586" s="140"/>
      <c r="R1586" s="140"/>
      <c r="S1586" s="310" t="s">
        <v>189</v>
      </c>
      <c r="T1586" s="378" t="s">
        <v>83</v>
      </c>
      <c r="U1586" s="378" t="s">
        <v>45</v>
      </c>
      <c r="V1586" s="378" t="s">
        <v>2922</v>
      </c>
      <c r="W1586" s="141"/>
      <c r="X1586" s="141"/>
      <c r="Y1586" s="141"/>
      <c r="Z1586" s="141"/>
      <c r="AA1586" s="313">
        <v>399750.0</v>
      </c>
      <c r="AB1586" s="313">
        <v>1399125.0</v>
      </c>
      <c r="AC1586" s="379" t="s">
        <v>4294</v>
      </c>
      <c r="AD1586" s="135">
        <v>16272.0</v>
      </c>
      <c r="AE1586" s="140"/>
      <c r="AF1586" s="310" t="str">
        <f t="shared" si="1"/>
        <v>Capital Federal, Argentina</v>
      </c>
      <c r="AG1586" s="434">
        <f t="shared" si="2"/>
        <v>5</v>
      </c>
      <c r="AH1586" s="435">
        <f t="shared" si="17"/>
        <v>0</v>
      </c>
      <c r="AI1586" s="435">
        <f t="shared" si="12"/>
        <v>0</v>
      </c>
      <c r="AJ1586" s="436">
        <f t="shared" si="5"/>
        <v>1798875</v>
      </c>
      <c r="AK1586" s="436">
        <f t="shared" si="18"/>
        <v>1798875</v>
      </c>
      <c r="AL1586" s="144"/>
      <c r="AM1586" s="144"/>
    </row>
    <row r="1587">
      <c r="A1587" s="310">
        <v>1586.0</v>
      </c>
      <c r="B1587" s="311">
        <v>45583.0</v>
      </c>
      <c r="C1587" s="140"/>
      <c r="D1587" s="432" t="s">
        <v>4098</v>
      </c>
      <c r="E1587" s="433" t="s">
        <v>4099</v>
      </c>
      <c r="F1587" s="312" t="s">
        <v>1427</v>
      </c>
      <c r="G1587" s="310" t="s">
        <v>64</v>
      </c>
      <c r="H1587" s="310" t="s">
        <v>41</v>
      </c>
      <c r="I1587" s="310" t="s">
        <v>42</v>
      </c>
      <c r="J1587" s="138"/>
      <c r="K1587" s="315">
        <v>2.0</v>
      </c>
      <c r="L1587" s="138"/>
      <c r="M1587" s="138"/>
      <c r="N1587" s="138"/>
      <c r="O1587" s="138"/>
      <c r="P1587" s="138"/>
      <c r="Q1587" s="140"/>
      <c r="R1587" s="140"/>
      <c r="S1587" s="310" t="s">
        <v>189</v>
      </c>
      <c r="T1587" s="378" t="s">
        <v>66</v>
      </c>
      <c r="U1587" s="378" t="s">
        <v>99</v>
      </c>
      <c r="V1587" s="378" t="s">
        <v>2922</v>
      </c>
      <c r="W1587" s="141"/>
      <c r="X1587" s="141"/>
      <c r="Y1587" s="141"/>
      <c r="Z1587" s="141"/>
      <c r="AA1587" s="313">
        <v>184500.0</v>
      </c>
      <c r="AB1587" s="313">
        <v>830250.0</v>
      </c>
      <c r="AC1587" s="379" t="s">
        <v>4295</v>
      </c>
      <c r="AD1587" s="135">
        <v>16322.0</v>
      </c>
      <c r="AE1587" s="140"/>
      <c r="AF1587" s="310" t="str">
        <f t="shared" si="1"/>
        <v>Buenos Aires, Argentina</v>
      </c>
      <c r="AG1587" s="434">
        <f t="shared" si="2"/>
        <v>2</v>
      </c>
      <c r="AH1587" s="435">
        <f t="shared" si="17"/>
        <v>0</v>
      </c>
      <c r="AI1587" s="435">
        <f t="shared" si="12"/>
        <v>0</v>
      </c>
      <c r="AJ1587" s="436">
        <f t="shared" si="5"/>
        <v>1014750</v>
      </c>
      <c r="AK1587" s="436">
        <f t="shared" si="18"/>
        <v>1014750</v>
      </c>
      <c r="AL1587" s="144"/>
      <c r="AM1587" s="144"/>
    </row>
    <row r="1588">
      <c r="A1588" s="310">
        <v>1587.0</v>
      </c>
      <c r="B1588" s="311">
        <v>45583.0</v>
      </c>
      <c r="C1588" s="140"/>
      <c r="D1588" s="432" t="s">
        <v>4040</v>
      </c>
      <c r="E1588" s="433" t="s">
        <v>4099</v>
      </c>
      <c r="F1588" s="312" t="s">
        <v>1423</v>
      </c>
      <c r="G1588" s="310" t="s">
        <v>64</v>
      </c>
      <c r="H1588" s="310" t="s">
        <v>41</v>
      </c>
      <c r="I1588" s="310" t="s">
        <v>42</v>
      </c>
      <c r="J1588" s="315">
        <v>1.0</v>
      </c>
      <c r="K1588" s="138"/>
      <c r="L1588" s="138"/>
      <c r="M1588" s="138"/>
      <c r="N1588" s="138"/>
      <c r="O1588" s="138"/>
      <c r="P1588" s="138"/>
      <c r="Q1588" s="140"/>
      <c r="R1588" s="140"/>
      <c r="S1588" s="310" t="s">
        <v>98</v>
      </c>
      <c r="T1588" s="378" t="s">
        <v>66</v>
      </c>
      <c r="U1588" s="378" t="s">
        <v>99</v>
      </c>
      <c r="V1588" s="378" t="s">
        <v>2922</v>
      </c>
      <c r="W1588" s="141"/>
      <c r="X1588" s="141"/>
      <c r="Y1588" s="141"/>
      <c r="Z1588" s="141"/>
      <c r="AA1588" s="313">
        <v>123000.0</v>
      </c>
      <c r="AB1588" s="313">
        <v>553500.0</v>
      </c>
      <c r="AC1588" s="379" t="s">
        <v>4296</v>
      </c>
      <c r="AD1588" s="135">
        <v>16308.0</v>
      </c>
      <c r="AE1588" s="140"/>
      <c r="AF1588" s="310" t="str">
        <f t="shared" si="1"/>
        <v>Buenos Aires, Argentina</v>
      </c>
      <c r="AG1588" s="434">
        <f t="shared" si="2"/>
        <v>1</v>
      </c>
      <c r="AH1588" s="435">
        <f t="shared" si="17"/>
        <v>0</v>
      </c>
      <c r="AI1588" s="435">
        <f t="shared" si="12"/>
        <v>0</v>
      </c>
      <c r="AJ1588" s="436">
        <f t="shared" si="5"/>
        <v>676500</v>
      </c>
      <c r="AK1588" s="436">
        <f t="shared" si="18"/>
        <v>676500</v>
      </c>
      <c r="AL1588" s="144"/>
      <c r="AM1588" s="144"/>
    </row>
    <row r="1589">
      <c r="A1589" s="310">
        <v>1588.0</v>
      </c>
      <c r="B1589" s="311">
        <v>45589.0</v>
      </c>
      <c r="C1589" s="140"/>
      <c r="D1589" s="432" t="s">
        <v>4040</v>
      </c>
      <c r="E1589" s="433" t="s">
        <v>4099</v>
      </c>
      <c r="F1589" s="312" t="s">
        <v>4297</v>
      </c>
      <c r="G1589" s="310" t="s">
        <v>64</v>
      </c>
      <c r="H1589" s="310" t="s">
        <v>41</v>
      </c>
      <c r="I1589" s="310" t="s">
        <v>42</v>
      </c>
      <c r="J1589" s="138"/>
      <c r="K1589" s="138"/>
      <c r="L1589" s="138"/>
      <c r="M1589" s="138"/>
      <c r="N1589" s="138"/>
      <c r="O1589" s="138"/>
      <c r="P1589" s="138"/>
      <c r="Q1589" s="140"/>
      <c r="R1589" s="140"/>
      <c r="S1589" s="310" t="s">
        <v>98</v>
      </c>
      <c r="T1589" s="378" t="s">
        <v>66</v>
      </c>
      <c r="U1589" s="378" t="s">
        <v>99</v>
      </c>
      <c r="V1589" s="378" t="s">
        <v>2922</v>
      </c>
      <c r="W1589" s="313">
        <v>147059.0</v>
      </c>
      <c r="X1589" s="313">
        <v>661765.0</v>
      </c>
      <c r="Y1589" s="141"/>
      <c r="Z1589" s="141"/>
      <c r="AA1589" s="313">
        <v>0.0</v>
      </c>
      <c r="AB1589" s="313">
        <v>0.0</v>
      </c>
      <c r="AC1589" s="379" t="s">
        <v>4298</v>
      </c>
      <c r="AD1589" s="135">
        <v>16410.0</v>
      </c>
      <c r="AE1589" s="140"/>
      <c r="AF1589" s="310" t="str">
        <f t="shared" si="1"/>
        <v>Buenos Aires, Argentina</v>
      </c>
      <c r="AG1589" s="434">
        <f t="shared" si="2"/>
        <v>0</v>
      </c>
      <c r="AH1589" s="435">
        <f t="shared" si="17"/>
        <v>808824</v>
      </c>
      <c r="AI1589" s="435">
        <f t="shared" si="12"/>
        <v>0</v>
      </c>
      <c r="AJ1589" s="436">
        <f t="shared" si="5"/>
        <v>0</v>
      </c>
      <c r="AK1589" s="436">
        <f t="shared" si="18"/>
        <v>808824</v>
      </c>
      <c r="AL1589" s="144"/>
      <c r="AM1589" s="144"/>
    </row>
    <row r="1590">
      <c r="A1590" s="310">
        <v>1589.0</v>
      </c>
      <c r="B1590" s="311">
        <v>45590.0</v>
      </c>
      <c r="C1590" s="140"/>
      <c r="D1590" s="432" t="s">
        <v>4299</v>
      </c>
      <c r="E1590" s="433" t="s">
        <v>2195</v>
      </c>
      <c r="F1590" s="312" t="s">
        <v>1423</v>
      </c>
      <c r="G1590" s="310" t="s">
        <v>64</v>
      </c>
      <c r="H1590" s="310" t="s">
        <v>227</v>
      </c>
      <c r="I1590" s="310" t="s">
        <v>643</v>
      </c>
      <c r="J1590" s="315">
        <v>1.0</v>
      </c>
      <c r="K1590" s="138"/>
      <c r="L1590" s="138"/>
      <c r="M1590" s="138"/>
      <c r="N1590" s="138"/>
      <c r="O1590" s="138"/>
      <c r="P1590" s="138"/>
      <c r="Q1590" s="140"/>
      <c r="R1590" s="140"/>
      <c r="S1590" s="310" t="s">
        <v>65</v>
      </c>
      <c r="T1590" s="378" t="s">
        <v>66</v>
      </c>
      <c r="U1590" s="378" t="s">
        <v>99</v>
      </c>
      <c r="V1590" s="378" t="s">
        <v>1984</v>
      </c>
      <c r="W1590" s="141"/>
      <c r="X1590" s="141"/>
      <c r="Y1590" s="141"/>
      <c r="Z1590" s="141"/>
      <c r="AA1590" s="313">
        <v>143910.0</v>
      </c>
      <c r="AB1590" s="313">
        <v>539662.0</v>
      </c>
      <c r="AC1590" s="379" t="s">
        <v>4300</v>
      </c>
      <c r="AD1590" s="135">
        <v>16364.0</v>
      </c>
      <c r="AE1590" s="140"/>
      <c r="AF1590" s="310" t="str">
        <f t="shared" si="1"/>
        <v>Buenos Aires, Argentina</v>
      </c>
      <c r="AG1590" s="434">
        <f t="shared" si="2"/>
        <v>1</v>
      </c>
      <c r="AH1590" s="435">
        <f t="shared" si="17"/>
        <v>0</v>
      </c>
      <c r="AI1590" s="435">
        <f t="shared" si="12"/>
        <v>0</v>
      </c>
      <c r="AJ1590" s="436">
        <f t="shared" si="5"/>
        <v>683572</v>
      </c>
      <c r="AK1590" s="436">
        <f t="shared" si="18"/>
        <v>683572</v>
      </c>
      <c r="AL1590" s="144"/>
      <c r="AM1590" s="144"/>
    </row>
    <row r="1591">
      <c r="A1591" s="310">
        <v>1590.0</v>
      </c>
      <c r="B1591" s="311">
        <v>45590.0</v>
      </c>
      <c r="C1591" s="140"/>
      <c r="D1591" s="432" t="s">
        <v>4301</v>
      </c>
      <c r="E1591" s="433" t="s">
        <v>4302</v>
      </c>
      <c r="F1591" s="312" t="s">
        <v>3939</v>
      </c>
      <c r="G1591" s="310" t="s">
        <v>40</v>
      </c>
      <c r="H1591" s="310" t="s">
        <v>41</v>
      </c>
      <c r="I1591" s="310" t="s">
        <v>42</v>
      </c>
      <c r="J1591" s="315">
        <v>2.0</v>
      </c>
      <c r="K1591" s="315">
        <v>2.0</v>
      </c>
      <c r="L1591" s="138"/>
      <c r="M1591" s="315">
        <v>1.0</v>
      </c>
      <c r="N1591" s="138"/>
      <c r="O1591" s="138"/>
      <c r="P1591" s="138"/>
      <c r="Q1591" s="140"/>
      <c r="R1591" s="140"/>
      <c r="S1591" s="310" t="s">
        <v>89</v>
      </c>
      <c r="T1591" s="378" t="s">
        <v>66</v>
      </c>
      <c r="U1591" s="378" t="s">
        <v>45</v>
      </c>
      <c r="V1591" s="378" t="s">
        <v>2922</v>
      </c>
      <c r="W1591" s="141"/>
      <c r="X1591" s="141"/>
      <c r="Y1591" s="141"/>
      <c r="Z1591" s="141"/>
      <c r="AA1591" s="313">
        <v>430500.0</v>
      </c>
      <c r="AB1591" s="313">
        <v>1506750.0</v>
      </c>
      <c r="AC1591" s="379" t="s">
        <v>4303</v>
      </c>
      <c r="AD1591" s="135">
        <v>11912.0</v>
      </c>
      <c r="AE1591" s="140"/>
      <c r="AF1591" s="310" t="str">
        <f t="shared" si="1"/>
        <v>Buenos Aires, Argentina</v>
      </c>
      <c r="AG1591" s="434">
        <f t="shared" si="2"/>
        <v>5</v>
      </c>
      <c r="AH1591" s="435">
        <f t="shared" si="17"/>
        <v>0</v>
      </c>
      <c r="AI1591" s="435">
        <f t="shared" si="12"/>
        <v>0</v>
      </c>
      <c r="AJ1591" s="436">
        <f t="shared" si="5"/>
        <v>1937250</v>
      </c>
      <c r="AK1591" s="436">
        <f t="shared" si="18"/>
        <v>1937250</v>
      </c>
      <c r="AL1591" s="144"/>
      <c r="AM1591" s="144"/>
    </row>
    <row r="1592">
      <c r="A1592" s="310">
        <v>1591.0</v>
      </c>
      <c r="B1592" s="311">
        <v>45594.0</v>
      </c>
      <c r="C1592" s="140"/>
      <c r="D1592" s="432" t="s">
        <v>4304</v>
      </c>
      <c r="E1592" s="433" t="s">
        <v>3852</v>
      </c>
      <c r="F1592" s="312" t="s">
        <v>1423</v>
      </c>
      <c r="G1592" s="310" t="s">
        <v>64</v>
      </c>
      <c r="H1592" s="310" t="s">
        <v>41</v>
      </c>
      <c r="I1592" s="310" t="s">
        <v>643</v>
      </c>
      <c r="J1592" s="315">
        <v>1.0</v>
      </c>
      <c r="K1592" s="138"/>
      <c r="L1592" s="138"/>
      <c r="M1592" s="138"/>
      <c r="N1592" s="138"/>
      <c r="O1592" s="138"/>
      <c r="P1592" s="138"/>
      <c r="Q1592" s="140"/>
      <c r="R1592" s="140"/>
      <c r="S1592" s="310" t="s">
        <v>65</v>
      </c>
      <c r="T1592" s="378" t="s">
        <v>66</v>
      </c>
      <c r="U1592" s="378" t="s">
        <v>99</v>
      </c>
      <c r="V1592" s="378" t="s">
        <v>1984</v>
      </c>
      <c r="W1592" s="141"/>
      <c r="X1592" s="141"/>
      <c r="Y1592" s="141"/>
      <c r="Z1592" s="141"/>
      <c r="AA1592" s="313">
        <v>123000.0</v>
      </c>
      <c r="AB1592" s="313">
        <v>430500.0</v>
      </c>
      <c r="AC1592" s="379" t="s">
        <v>4305</v>
      </c>
      <c r="AD1592" s="135">
        <v>16398.0</v>
      </c>
      <c r="AE1592" s="140"/>
      <c r="AF1592" s="310" t="str">
        <f t="shared" si="1"/>
        <v>Buenos Aires, Argentina</v>
      </c>
      <c r="AG1592" s="434">
        <f t="shared" si="2"/>
        <v>1</v>
      </c>
      <c r="AH1592" s="435">
        <f t="shared" si="17"/>
        <v>0</v>
      </c>
      <c r="AI1592" s="435">
        <f t="shared" si="12"/>
        <v>0</v>
      </c>
      <c r="AJ1592" s="436">
        <f t="shared" si="5"/>
        <v>553500</v>
      </c>
      <c r="AK1592" s="436">
        <f t="shared" si="18"/>
        <v>553500</v>
      </c>
      <c r="AL1592" s="144"/>
      <c r="AM1592" s="144"/>
    </row>
    <row r="1593">
      <c r="A1593" s="310">
        <v>1592.0</v>
      </c>
      <c r="B1593" s="311">
        <v>45596.0</v>
      </c>
      <c r="C1593" s="140"/>
      <c r="D1593" s="432" t="s">
        <v>4269</v>
      </c>
      <c r="E1593" s="433" t="s">
        <v>3190</v>
      </c>
      <c r="F1593" s="312" t="s">
        <v>4256</v>
      </c>
      <c r="G1593" s="310" t="s">
        <v>64</v>
      </c>
      <c r="H1593" s="310" t="s">
        <v>41</v>
      </c>
      <c r="I1593" s="310" t="s">
        <v>643</v>
      </c>
      <c r="J1593" s="138"/>
      <c r="K1593" s="138"/>
      <c r="L1593" s="138"/>
      <c r="M1593" s="138"/>
      <c r="N1593" s="139">
        <v>1.0</v>
      </c>
      <c r="O1593" s="138"/>
      <c r="P1593" s="139">
        <v>1.0</v>
      </c>
      <c r="Q1593" s="140"/>
      <c r="R1593" s="140"/>
      <c r="S1593" s="310" t="s">
        <v>189</v>
      </c>
      <c r="T1593" s="378" t="s">
        <v>66</v>
      </c>
      <c r="U1593" s="378" t="s">
        <v>99</v>
      </c>
      <c r="V1593" s="378" t="s">
        <v>1984</v>
      </c>
      <c r="W1593" s="141"/>
      <c r="X1593" s="141"/>
      <c r="Y1593" s="141"/>
      <c r="Z1593" s="141"/>
      <c r="AA1593" s="313">
        <v>246000.0</v>
      </c>
      <c r="AB1593" s="313">
        <v>984000.0</v>
      </c>
      <c r="AC1593" s="379" t="s">
        <v>4306</v>
      </c>
      <c r="AD1593" s="135">
        <v>16370.0</v>
      </c>
      <c r="AE1593" s="140"/>
      <c r="AF1593" s="310" t="str">
        <f t="shared" si="1"/>
        <v>Buenos Aires, Argentina</v>
      </c>
      <c r="AG1593" s="434">
        <f t="shared" si="2"/>
        <v>2</v>
      </c>
      <c r="AH1593" s="435">
        <f t="shared" si="17"/>
        <v>0</v>
      </c>
      <c r="AI1593" s="435">
        <f t="shared" si="12"/>
        <v>0</v>
      </c>
      <c r="AJ1593" s="436">
        <f t="shared" si="5"/>
        <v>1230000</v>
      </c>
      <c r="AK1593" s="436">
        <f t="shared" si="18"/>
        <v>1230000</v>
      </c>
      <c r="AL1593" s="144"/>
      <c r="AM1593" s="144"/>
    </row>
    <row r="1594">
      <c r="A1594" s="310">
        <v>1593.0</v>
      </c>
      <c r="B1594" s="311">
        <v>45596.0</v>
      </c>
      <c r="C1594" s="140"/>
      <c r="D1594" s="432" t="s">
        <v>4269</v>
      </c>
      <c r="E1594" s="433" t="s">
        <v>3190</v>
      </c>
      <c r="F1594" s="312" t="s">
        <v>4258</v>
      </c>
      <c r="G1594" s="310" t="s">
        <v>64</v>
      </c>
      <c r="H1594" s="310" t="s">
        <v>41</v>
      </c>
      <c r="I1594" s="310" t="s">
        <v>643</v>
      </c>
      <c r="J1594" s="138"/>
      <c r="K1594" s="138"/>
      <c r="L1594" s="138"/>
      <c r="M1594" s="138"/>
      <c r="N1594" s="138"/>
      <c r="O1594" s="138"/>
      <c r="P1594" s="138"/>
      <c r="Q1594" s="140"/>
      <c r="R1594" s="140"/>
      <c r="S1594" s="310" t="s">
        <v>189</v>
      </c>
      <c r="T1594" s="378" t="s">
        <v>66</v>
      </c>
      <c r="U1594" s="378" t="s">
        <v>99</v>
      </c>
      <c r="V1594" s="378" t="s">
        <v>1984</v>
      </c>
      <c r="W1594" s="313" t="s">
        <v>4307</v>
      </c>
      <c r="X1594" s="313" t="s">
        <v>4308</v>
      </c>
      <c r="Y1594" s="141"/>
      <c r="Z1594" s="141"/>
      <c r="AA1594" s="313">
        <v>0.0</v>
      </c>
      <c r="AB1594" s="313">
        <v>0.0</v>
      </c>
      <c r="AC1594" s="379" t="s">
        <v>4309</v>
      </c>
      <c r="AD1594" s="135">
        <v>16468.0</v>
      </c>
      <c r="AE1594" s="140"/>
      <c r="AF1594" s="310" t="str">
        <f t="shared" si="1"/>
        <v>Buenos Aires, Argentina</v>
      </c>
      <c r="AG1594" s="434">
        <f t="shared" si="2"/>
        <v>0</v>
      </c>
      <c r="AH1594" s="435">
        <f t="shared" si="17"/>
        <v>0</v>
      </c>
      <c r="AI1594" s="435">
        <f t="shared" si="12"/>
        <v>0</v>
      </c>
      <c r="AJ1594" s="436">
        <f t="shared" si="5"/>
        <v>0</v>
      </c>
      <c r="AK1594" s="436">
        <f t="shared" si="18"/>
        <v>0</v>
      </c>
      <c r="AL1594" s="144"/>
      <c r="AM1594" s="144"/>
    </row>
    <row r="1595">
      <c r="A1595" s="310">
        <v>1594.0</v>
      </c>
      <c r="B1595" s="311">
        <v>45596.0</v>
      </c>
      <c r="C1595" s="140"/>
      <c r="D1595" s="432" t="s">
        <v>4310</v>
      </c>
      <c r="E1595" s="433" t="s">
        <v>4311</v>
      </c>
      <c r="F1595" s="312" t="s">
        <v>4312</v>
      </c>
      <c r="G1595" s="310" t="s">
        <v>40</v>
      </c>
      <c r="H1595" s="310" t="s">
        <v>41</v>
      </c>
      <c r="I1595" s="310" t="s">
        <v>42</v>
      </c>
      <c r="J1595" s="315">
        <v>1.0</v>
      </c>
      <c r="K1595" s="315">
        <v>1.0</v>
      </c>
      <c r="L1595" s="139">
        <v>1.0</v>
      </c>
      <c r="M1595" s="315">
        <v>1.0</v>
      </c>
      <c r="N1595" s="138"/>
      <c r="O1595" s="315">
        <v>2.0</v>
      </c>
      <c r="P1595" s="138"/>
      <c r="Q1595" s="140"/>
      <c r="R1595" s="140"/>
      <c r="S1595" s="310" t="s">
        <v>89</v>
      </c>
      <c r="T1595" s="378" t="s">
        <v>66</v>
      </c>
      <c r="U1595" s="378" t="s">
        <v>342</v>
      </c>
      <c r="V1595" s="378" t="s">
        <v>2922</v>
      </c>
      <c r="W1595" s="141"/>
      <c r="X1595" s="141"/>
      <c r="Y1595" s="141"/>
      <c r="Z1595" s="141"/>
      <c r="AA1595" s="313">
        <v>393600.0</v>
      </c>
      <c r="AB1595" s="313">
        <v>1377600.0</v>
      </c>
      <c r="AC1595" s="379" t="s">
        <v>4313</v>
      </c>
      <c r="AD1595" s="135">
        <v>16146.0</v>
      </c>
      <c r="AE1595" s="140"/>
      <c r="AF1595" s="310" t="str">
        <f t="shared" si="1"/>
        <v>Buenos Aires, Argentina</v>
      </c>
      <c r="AG1595" s="434">
        <f t="shared" si="2"/>
        <v>6</v>
      </c>
      <c r="AH1595" s="435">
        <f t="shared" si="17"/>
        <v>0</v>
      </c>
      <c r="AI1595" s="435">
        <f t="shared" si="12"/>
        <v>0</v>
      </c>
      <c r="AJ1595" s="436">
        <f t="shared" si="5"/>
        <v>1771200</v>
      </c>
      <c r="AK1595" s="436">
        <f t="shared" si="18"/>
        <v>1771200</v>
      </c>
      <c r="AL1595" s="144"/>
      <c r="AM1595" s="144"/>
    </row>
    <row r="1596">
      <c r="A1596" s="310">
        <v>1595.0</v>
      </c>
      <c r="B1596" s="311">
        <v>45596.0</v>
      </c>
      <c r="C1596" s="140"/>
      <c r="D1596" s="432" t="s">
        <v>4314</v>
      </c>
      <c r="E1596" s="433" t="s">
        <v>3350</v>
      </c>
      <c r="F1596" s="312" t="s">
        <v>1412</v>
      </c>
      <c r="G1596" s="310" t="s">
        <v>64</v>
      </c>
      <c r="H1596" s="310" t="s">
        <v>41</v>
      </c>
      <c r="I1596" s="310" t="s">
        <v>643</v>
      </c>
      <c r="J1596" s="139">
        <v>2.0</v>
      </c>
      <c r="K1596" s="437"/>
      <c r="L1596" s="138"/>
      <c r="M1596" s="138"/>
      <c r="N1596" s="138"/>
      <c r="O1596" s="138"/>
      <c r="P1596" s="438"/>
      <c r="Q1596" s="140"/>
      <c r="R1596" s="439"/>
      <c r="S1596" s="433" t="s">
        <v>65</v>
      </c>
      <c r="T1596" s="310" t="s">
        <v>66</v>
      </c>
      <c r="U1596" s="310" t="s">
        <v>99</v>
      </c>
      <c r="V1596" s="310" t="s">
        <v>1984</v>
      </c>
      <c r="W1596" s="141"/>
      <c r="X1596" s="141"/>
      <c r="Y1596" s="440"/>
      <c r="Z1596" s="141"/>
      <c r="AA1596" s="313">
        <v>246000.0</v>
      </c>
      <c r="AB1596" s="313">
        <v>984000.0</v>
      </c>
      <c r="AC1596" s="379" t="s">
        <v>4315</v>
      </c>
      <c r="AD1596" s="310">
        <v>16504.0</v>
      </c>
      <c r="AE1596" s="140"/>
      <c r="AF1596" s="310" t="str">
        <f t="shared" si="1"/>
        <v>Buenos Aires, Argentina</v>
      </c>
      <c r="AG1596" s="434">
        <f t="shared" si="2"/>
        <v>2</v>
      </c>
      <c r="AH1596" s="435">
        <f t="shared" si="17"/>
        <v>0</v>
      </c>
      <c r="AI1596" s="435">
        <f t="shared" si="12"/>
        <v>0</v>
      </c>
      <c r="AJ1596" s="436">
        <f t="shared" si="5"/>
        <v>1230000</v>
      </c>
      <c r="AK1596" s="436">
        <f t="shared" si="18"/>
        <v>1230000</v>
      </c>
      <c r="AL1596" s="144"/>
      <c r="AM1596" s="144"/>
    </row>
    <row r="1597">
      <c r="A1597" s="310">
        <v>1596.0</v>
      </c>
      <c r="B1597" s="311">
        <v>45596.0</v>
      </c>
      <c r="C1597" s="140"/>
      <c r="D1597" s="432" t="s">
        <v>2365</v>
      </c>
      <c r="E1597" s="433" t="s">
        <v>2366</v>
      </c>
      <c r="F1597" s="312" t="s">
        <v>1423</v>
      </c>
      <c r="G1597" s="310" t="s">
        <v>64</v>
      </c>
      <c r="H1597" s="310" t="s">
        <v>41</v>
      </c>
      <c r="I1597" s="310" t="s">
        <v>643</v>
      </c>
      <c r="J1597" s="139">
        <v>1.0</v>
      </c>
      <c r="K1597" s="437"/>
      <c r="L1597" s="138"/>
      <c r="M1597" s="138"/>
      <c r="N1597" s="138"/>
      <c r="O1597" s="138"/>
      <c r="P1597" s="438"/>
      <c r="Q1597" s="140"/>
      <c r="R1597" s="439"/>
      <c r="S1597" s="433" t="s">
        <v>65</v>
      </c>
      <c r="T1597" s="310" t="s">
        <v>66</v>
      </c>
      <c r="U1597" s="310" t="s">
        <v>99</v>
      </c>
      <c r="V1597" s="310" t="s">
        <v>1984</v>
      </c>
      <c r="W1597" s="141"/>
      <c r="X1597" s="141"/>
      <c r="Y1597" s="440"/>
      <c r="Z1597" s="141"/>
      <c r="AA1597" s="313">
        <v>123000.0</v>
      </c>
      <c r="AB1597" s="313">
        <v>492000.0</v>
      </c>
      <c r="AC1597" s="379" t="s">
        <v>4316</v>
      </c>
      <c r="AD1597" s="310">
        <v>16506.0</v>
      </c>
      <c r="AE1597" s="140"/>
      <c r="AF1597" s="310" t="str">
        <f t="shared" si="1"/>
        <v>Buenos Aires, Argentina</v>
      </c>
      <c r="AG1597" s="434">
        <f t="shared" si="2"/>
        <v>1</v>
      </c>
      <c r="AH1597" s="435">
        <f t="shared" si="17"/>
        <v>0</v>
      </c>
      <c r="AI1597" s="435">
        <f t="shared" si="12"/>
        <v>0</v>
      </c>
      <c r="AJ1597" s="436">
        <f t="shared" si="5"/>
        <v>615000</v>
      </c>
      <c r="AK1597" s="436">
        <f t="shared" si="18"/>
        <v>615000</v>
      </c>
      <c r="AL1597" s="144"/>
      <c r="AM1597" s="144"/>
    </row>
    <row r="1598">
      <c r="A1598" s="310">
        <v>1597.0</v>
      </c>
      <c r="B1598" s="311">
        <v>45596.0</v>
      </c>
      <c r="C1598" s="140"/>
      <c r="D1598" s="432" t="s">
        <v>2454</v>
      </c>
      <c r="E1598" s="433" t="s">
        <v>1810</v>
      </c>
      <c r="F1598" s="312" t="s">
        <v>1427</v>
      </c>
      <c r="G1598" s="310" t="s">
        <v>64</v>
      </c>
      <c r="H1598" s="310" t="s">
        <v>41</v>
      </c>
      <c r="I1598" s="310" t="s">
        <v>643</v>
      </c>
      <c r="J1598" s="138"/>
      <c r="K1598" s="315">
        <v>2.0</v>
      </c>
      <c r="L1598" s="138"/>
      <c r="M1598" s="138"/>
      <c r="N1598" s="138"/>
      <c r="O1598" s="138"/>
      <c r="P1598" s="438"/>
      <c r="Q1598" s="140"/>
      <c r="R1598" s="439"/>
      <c r="S1598" s="433" t="s">
        <v>65</v>
      </c>
      <c r="T1598" s="310" t="s">
        <v>66</v>
      </c>
      <c r="U1598" s="310" t="s">
        <v>99</v>
      </c>
      <c r="V1598" s="310" t="s">
        <v>1984</v>
      </c>
      <c r="W1598" s="141"/>
      <c r="X1598" s="141"/>
      <c r="Y1598" s="440"/>
      <c r="Z1598" s="141"/>
      <c r="AA1598" s="313">
        <v>166050.0</v>
      </c>
      <c r="AB1598" s="313">
        <v>738000.0</v>
      </c>
      <c r="AC1598" s="379" t="s">
        <v>4317</v>
      </c>
      <c r="AD1598" s="310">
        <v>16454.0</v>
      </c>
      <c r="AE1598" s="140"/>
      <c r="AF1598" s="310" t="str">
        <f t="shared" si="1"/>
        <v>Buenos Aires, Argentina</v>
      </c>
      <c r="AG1598" s="434">
        <f t="shared" si="2"/>
        <v>2</v>
      </c>
      <c r="AH1598" s="435">
        <f t="shared" si="17"/>
        <v>0</v>
      </c>
      <c r="AI1598" s="435">
        <f t="shared" si="12"/>
        <v>0</v>
      </c>
      <c r="AJ1598" s="436">
        <f t="shared" si="5"/>
        <v>904050</v>
      </c>
      <c r="AK1598" s="436">
        <f t="shared" si="18"/>
        <v>904050</v>
      </c>
      <c r="AL1598" s="144"/>
      <c r="AM1598" s="144"/>
    </row>
    <row r="1599">
      <c r="A1599" s="310">
        <v>1598.0</v>
      </c>
      <c r="B1599" s="311">
        <v>45596.0</v>
      </c>
      <c r="C1599" s="140"/>
      <c r="D1599" s="432" t="s">
        <v>4037</v>
      </c>
      <c r="E1599" s="433" t="s">
        <v>4038</v>
      </c>
      <c r="F1599" s="312" t="s">
        <v>4318</v>
      </c>
      <c r="G1599" s="310" t="s">
        <v>64</v>
      </c>
      <c r="H1599" s="310" t="s">
        <v>41</v>
      </c>
      <c r="I1599" s="310" t="s">
        <v>643</v>
      </c>
      <c r="J1599" s="138"/>
      <c r="K1599" s="437"/>
      <c r="L1599" s="138"/>
      <c r="M1599" s="138"/>
      <c r="N1599" s="138"/>
      <c r="O1599" s="138"/>
      <c r="P1599" s="438"/>
      <c r="Q1599" s="140"/>
      <c r="R1599" s="439"/>
      <c r="S1599" s="310" t="s">
        <v>137</v>
      </c>
      <c r="T1599" s="310" t="s">
        <v>66</v>
      </c>
      <c r="U1599" s="310" t="s">
        <v>99</v>
      </c>
      <c r="V1599" s="310" t="s">
        <v>1984</v>
      </c>
      <c r="W1599" s="141"/>
      <c r="X1599" s="141"/>
      <c r="Y1599" s="440"/>
      <c r="Z1599" s="141"/>
      <c r="AA1599" s="313">
        <v>0.0</v>
      </c>
      <c r="AB1599" s="313">
        <v>246000.0</v>
      </c>
      <c r="AC1599" s="379" t="s">
        <v>4319</v>
      </c>
      <c r="AD1599" s="310">
        <v>15148.0</v>
      </c>
      <c r="AE1599" s="140"/>
      <c r="AF1599" s="310" t="str">
        <f t="shared" si="1"/>
        <v>Buenos Aires, Argentina</v>
      </c>
      <c r="AG1599" s="434">
        <f t="shared" si="2"/>
        <v>0</v>
      </c>
      <c r="AH1599" s="435">
        <f t="shared" si="17"/>
        <v>0</v>
      </c>
      <c r="AI1599" s="435">
        <f t="shared" si="12"/>
        <v>0</v>
      </c>
      <c r="AJ1599" s="436">
        <f t="shared" si="5"/>
        <v>246000</v>
      </c>
      <c r="AK1599" s="436">
        <f t="shared" si="18"/>
        <v>246000</v>
      </c>
      <c r="AL1599" s="144"/>
      <c r="AM1599" s="144"/>
    </row>
    <row r="1600">
      <c r="A1600" s="278">
        <v>1599.0</v>
      </c>
      <c r="B1600" s="279">
        <v>45601.0</v>
      </c>
      <c r="C1600" s="283"/>
      <c r="D1600" s="441" t="s">
        <v>795</v>
      </c>
      <c r="E1600" s="442" t="s">
        <v>796</v>
      </c>
      <c r="F1600" s="280" t="s">
        <v>4320</v>
      </c>
      <c r="G1600" s="278" t="s">
        <v>64</v>
      </c>
      <c r="H1600" s="278" t="s">
        <v>41</v>
      </c>
      <c r="I1600" s="278" t="s">
        <v>643</v>
      </c>
      <c r="J1600" s="282"/>
      <c r="K1600" s="443"/>
      <c r="L1600" s="282"/>
      <c r="M1600" s="282"/>
      <c r="N1600" s="282"/>
      <c r="O1600" s="282"/>
      <c r="P1600" s="281">
        <v>1.0</v>
      </c>
      <c r="Q1600" s="283"/>
      <c r="R1600" s="444"/>
      <c r="S1600" s="442" t="s">
        <v>98</v>
      </c>
      <c r="T1600" s="288" t="s">
        <v>66</v>
      </c>
      <c r="U1600" s="278" t="s">
        <v>99</v>
      </c>
      <c r="V1600" s="278" t="s">
        <v>1984</v>
      </c>
      <c r="W1600" s="284"/>
      <c r="X1600" s="284"/>
      <c r="Y1600" s="445"/>
      <c r="Z1600" s="284"/>
      <c r="AA1600" s="285">
        <v>127000.0</v>
      </c>
      <c r="AB1600" s="285">
        <v>508000.0</v>
      </c>
      <c r="AC1600" s="446" t="s">
        <v>4321</v>
      </c>
      <c r="AD1600" s="278">
        <v>16362.0</v>
      </c>
      <c r="AE1600" s="283"/>
      <c r="AF1600" s="447" t="str">
        <f t="shared" si="1"/>
        <v>Buenos Aires, Argentina</v>
      </c>
      <c r="AG1600" s="448">
        <f t="shared" si="2"/>
        <v>1</v>
      </c>
      <c r="AH1600" s="449">
        <f t="shared" si="17"/>
        <v>0</v>
      </c>
      <c r="AI1600" s="449">
        <f t="shared" si="12"/>
        <v>0</v>
      </c>
      <c r="AJ1600" s="450">
        <f t="shared" si="5"/>
        <v>635000</v>
      </c>
      <c r="AK1600" s="450">
        <f t="shared" si="18"/>
        <v>635000</v>
      </c>
      <c r="AL1600" s="287"/>
      <c r="AM1600" s="287"/>
    </row>
    <row r="1601">
      <c r="A1601" s="278">
        <v>1600.0</v>
      </c>
      <c r="B1601" s="279">
        <v>45601.0</v>
      </c>
      <c r="C1601" s="283"/>
      <c r="D1601" s="441" t="s">
        <v>795</v>
      </c>
      <c r="E1601" s="442" t="s">
        <v>796</v>
      </c>
      <c r="F1601" s="280" t="s">
        <v>4322</v>
      </c>
      <c r="G1601" s="278" t="s">
        <v>64</v>
      </c>
      <c r="H1601" s="278" t="s">
        <v>41</v>
      </c>
      <c r="I1601" s="278" t="s">
        <v>643</v>
      </c>
      <c r="J1601" s="282"/>
      <c r="K1601" s="443"/>
      <c r="L1601" s="282"/>
      <c r="M1601" s="282"/>
      <c r="N1601" s="282"/>
      <c r="O1601" s="282"/>
      <c r="P1601" s="451"/>
      <c r="Q1601" s="283"/>
      <c r="R1601" s="444"/>
      <c r="S1601" s="442" t="s">
        <v>98</v>
      </c>
      <c r="T1601" s="288" t="s">
        <v>66</v>
      </c>
      <c r="U1601" s="278" t="s">
        <v>99</v>
      </c>
      <c r="V1601" s="278" t="s">
        <v>1984</v>
      </c>
      <c r="W1601" s="285">
        <v>93299.0</v>
      </c>
      <c r="X1601" s="285">
        <v>447835.0</v>
      </c>
      <c r="Y1601" s="445"/>
      <c r="Z1601" s="284"/>
      <c r="AA1601" s="285">
        <v>0.0</v>
      </c>
      <c r="AB1601" s="285">
        <v>0.0</v>
      </c>
      <c r="AC1601" s="446" t="s">
        <v>4323</v>
      </c>
      <c r="AD1601" s="278">
        <v>16552.0</v>
      </c>
      <c r="AE1601" s="283"/>
      <c r="AF1601" s="447" t="str">
        <f t="shared" si="1"/>
        <v>Buenos Aires, Argentina</v>
      </c>
      <c r="AG1601" s="448">
        <f t="shared" si="2"/>
        <v>0</v>
      </c>
      <c r="AH1601" s="449">
        <f t="shared" si="17"/>
        <v>541134</v>
      </c>
      <c r="AI1601" s="449">
        <f t="shared" si="12"/>
        <v>0</v>
      </c>
      <c r="AJ1601" s="450">
        <f t="shared" si="5"/>
        <v>0</v>
      </c>
      <c r="AK1601" s="450">
        <f t="shared" si="18"/>
        <v>541134</v>
      </c>
      <c r="AL1601" s="287"/>
      <c r="AM1601" s="287"/>
    </row>
    <row r="1602">
      <c r="A1602" s="278">
        <v>1601.0</v>
      </c>
      <c r="B1602" s="279">
        <v>45602.0</v>
      </c>
      <c r="C1602" s="283"/>
      <c r="D1602" s="441" t="s">
        <v>4324</v>
      </c>
      <c r="E1602" s="442" t="s">
        <v>4325</v>
      </c>
      <c r="F1602" s="280" t="s">
        <v>1423</v>
      </c>
      <c r="G1602" s="278" t="s">
        <v>64</v>
      </c>
      <c r="H1602" s="278" t="s">
        <v>41</v>
      </c>
      <c r="I1602" s="278" t="s">
        <v>643</v>
      </c>
      <c r="J1602" s="452">
        <v>1.0</v>
      </c>
      <c r="K1602" s="443"/>
      <c r="L1602" s="282"/>
      <c r="M1602" s="282"/>
      <c r="N1602" s="282"/>
      <c r="O1602" s="282"/>
      <c r="P1602" s="451"/>
      <c r="Q1602" s="283"/>
      <c r="R1602" s="444"/>
      <c r="S1602" s="442" t="s">
        <v>109</v>
      </c>
      <c r="T1602" s="288" t="s">
        <v>66</v>
      </c>
      <c r="U1602" s="278" t="s">
        <v>99</v>
      </c>
      <c r="V1602" s="278" t="s">
        <v>1984</v>
      </c>
      <c r="W1602" s="284"/>
      <c r="X1602" s="284"/>
      <c r="Y1602" s="445"/>
      <c r="Z1602" s="284"/>
      <c r="AA1602" s="285">
        <v>127000.0</v>
      </c>
      <c r="AB1602" s="285">
        <v>444500.0</v>
      </c>
      <c r="AC1602" s="446" t="s">
        <v>4326</v>
      </c>
      <c r="AD1602" s="278">
        <v>16542.0</v>
      </c>
      <c r="AE1602" s="283"/>
      <c r="AF1602" s="447" t="str">
        <f t="shared" si="1"/>
        <v>Buenos Aires, Argentina</v>
      </c>
      <c r="AG1602" s="448">
        <f t="shared" si="2"/>
        <v>1</v>
      </c>
      <c r="AH1602" s="449">
        <f t="shared" si="17"/>
        <v>0</v>
      </c>
      <c r="AI1602" s="449">
        <f t="shared" si="12"/>
        <v>0</v>
      </c>
      <c r="AJ1602" s="450">
        <f t="shared" si="5"/>
        <v>571500</v>
      </c>
      <c r="AK1602" s="450">
        <f t="shared" si="18"/>
        <v>571500</v>
      </c>
      <c r="AL1602" s="287"/>
      <c r="AM1602" s="287"/>
    </row>
    <row r="1603">
      <c r="A1603" s="278">
        <v>1602.0</v>
      </c>
      <c r="B1603" s="279">
        <v>45603.0</v>
      </c>
      <c r="C1603" s="283"/>
      <c r="D1603" s="441" t="s">
        <v>3603</v>
      </c>
      <c r="E1603" s="442" t="s">
        <v>3446</v>
      </c>
      <c r="F1603" s="280" t="s">
        <v>1423</v>
      </c>
      <c r="G1603" s="278" t="s">
        <v>64</v>
      </c>
      <c r="H1603" s="278" t="s">
        <v>41</v>
      </c>
      <c r="I1603" s="278" t="s">
        <v>643</v>
      </c>
      <c r="J1603" s="452">
        <v>1.0</v>
      </c>
      <c r="K1603" s="443"/>
      <c r="L1603" s="282"/>
      <c r="M1603" s="282"/>
      <c r="N1603" s="282"/>
      <c r="O1603" s="282"/>
      <c r="P1603" s="451"/>
      <c r="Q1603" s="283"/>
      <c r="R1603" s="444"/>
      <c r="S1603" s="442" t="s">
        <v>65</v>
      </c>
      <c r="T1603" s="288" t="s">
        <v>58</v>
      </c>
      <c r="U1603" s="278" t="s">
        <v>99</v>
      </c>
      <c r="V1603" s="278" t="s">
        <v>1984</v>
      </c>
      <c r="W1603" s="284"/>
      <c r="X1603" s="284"/>
      <c r="Y1603" s="445"/>
      <c r="Z1603" s="284"/>
      <c r="AA1603" s="285">
        <v>127000.0</v>
      </c>
      <c r="AB1603" s="285">
        <v>444500.0</v>
      </c>
      <c r="AC1603" s="446" t="s">
        <v>4327</v>
      </c>
      <c r="AD1603" s="278">
        <v>16604.0</v>
      </c>
      <c r="AE1603" s="283"/>
      <c r="AF1603" s="447" t="str">
        <f t="shared" si="1"/>
        <v>Córdoba, Argentina</v>
      </c>
      <c r="AG1603" s="448">
        <f t="shared" si="2"/>
        <v>1</v>
      </c>
      <c r="AH1603" s="449">
        <f t="shared" si="17"/>
        <v>0</v>
      </c>
      <c r="AI1603" s="449">
        <f t="shared" si="12"/>
        <v>0</v>
      </c>
      <c r="AJ1603" s="450">
        <f t="shared" si="5"/>
        <v>571500</v>
      </c>
      <c r="AK1603" s="450">
        <f t="shared" si="18"/>
        <v>571500</v>
      </c>
      <c r="AL1603" s="287"/>
      <c r="AM1603" s="287"/>
    </row>
    <row r="1604">
      <c r="A1604" s="278">
        <v>1603.0</v>
      </c>
      <c r="B1604" s="279">
        <v>45607.0</v>
      </c>
      <c r="C1604" s="283"/>
      <c r="D1604" s="441" t="s">
        <v>4328</v>
      </c>
      <c r="E1604" s="442" t="s">
        <v>4025</v>
      </c>
      <c r="F1604" s="280" t="s">
        <v>1415</v>
      </c>
      <c r="G1604" s="278" t="s">
        <v>64</v>
      </c>
      <c r="H1604" s="278" t="s">
        <v>41</v>
      </c>
      <c r="I1604" s="278" t="s">
        <v>42</v>
      </c>
      <c r="J1604" s="282"/>
      <c r="K1604" s="452">
        <v>1.0</v>
      </c>
      <c r="L1604" s="282"/>
      <c r="M1604" s="282"/>
      <c r="N1604" s="282"/>
      <c r="O1604" s="282"/>
      <c r="P1604" s="451"/>
      <c r="Q1604" s="283"/>
      <c r="R1604" s="444"/>
      <c r="S1604" s="442" t="s">
        <v>114</v>
      </c>
      <c r="T1604" s="288" t="s">
        <v>66</v>
      </c>
      <c r="U1604" s="278" t="s">
        <v>99</v>
      </c>
      <c r="V1604" s="278" t="s">
        <v>2922</v>
      </c>
      <c r="W1604" s="284"/>
      <c r="X1604" s="284"/>
      <c r="Y1604" s="445"/>
      <c r="Z1604" s="284"/>
      <c r="AA1604" s="285">
        <v>95250.0</v>
      </c>
      <c r="AB1604" s="285">
        <v>333375.0</v>
      </c>
      <c r="AC1604" s="446" t="s">
        <v>4329</v>
      </c>
      <c r="AD1604" s="278">
        <v>16572.0</v>
      </c>
      <c r="AE1604" s="283"/>
      <c r="AF1604" s="447" t="str">
        <f t="shared" si="1"/>
        <v>Buenos Aires, Argentina</v>
      </c>
      <c r="AG1604" s="448">
        <f t="shared" si="2"/>
        <v>1</v>
      </c>
      <c r="AH1604" s="449">
        <f t="shared" si="17"/>
        <v>0</v>
      </c>
      <c r="AI1604" s="449">
        <f t="shared" si="12"/>
        <v>0</v>
      </c>
      <c r="AJ1604" s="450">
        <f t="shared" si="5"/>
        <v>428625</v>
      </c>
      <c r="AK1604" s="450">
        <f t="shared" si="18"/>
        <v>428625</v>
      </c>
      <c r="AL1604" s="287"/>
      <c r="AM1604" s="287"/>
    </row>
    <row r="1605">
      <c r="A1605" s="278">
        <v>1604.0</v>
      </c>
      <c r="B1605" s="279">
        <v>45607.0</v>
      </c>
      <c r="C1605" s="283"/>
      <c r="D1605" s="441" t="s">
        <v>4078</v>
      </c>
      <c r="E1605" s="442" t="s">
        <v>2707</v>
      </c>
      <c r="F1605" s="280" t="s">
        <v>1463</v>
      </c>
      <c r="G1605" s="278" t="s">
        <v>64</v>
      </c>
      <c r="H1605" s="278" t="s">
        <v>41</v>
      </c>
      <c r="I1605" s="278" t="s">
        <v>643</v>
      </c>
      <c r="J1605" s="452">
        <v>1.0</v>
      </c>
      <c r="K1605" s="452">
        <v>2.0</v>
      </c>
      <c r="L1605" s="282"/>
      <c r="M1605" s="282"/>
      <c r="N1605" s="282"/>
      <c r="O1605" s="282"/>
      <c r="P1605" s="451"/>
      <c r="Q1605" s="283"/>
      <c r="R1605" s="444"/>
      <c r="S1605" s="442" t="s">
        <v>189</v>
      </c>
      <c r="T1605" s="288" t="s">
        <v>73</v>
      </c>
      <c r="U1605" s="278" t="s">
        <v>99</v>
      </c>
      <c r="V1605" s="278" t="s">
        <v>1984</v>
      </c>
      <c r="W1605" s="284"/>
      <c r="X1605" s="284"/>
      <c r="Y1605" s="445"/>
      <c r="Z1605" s="284"/>
      <c r="AA1605" s="285">
        <v>317500.0</v>
      </c>
      <c r="AB1605" s="285">
        <v>1111250.0</v>
      </c>
      <c r="AC1605" s="446" t="s">
        <v>4330</v>
      </c>
      <c r="AD1605" s="278">
        <v>16634.0</v>
      </c>
      <c r="AE1605" s="283"/>
      <c r="AF1605" s="447" t="str">
        <f t="shared" si="1"/>
        <v>Tierra de Fuego, Argentina</v>
      </c>
      <c r="AG1605" s="448">
        <f t="shared" si="2"/>
        <v>3</v>
      </c>
      <c r="AH1605" s="449">
        <f t="shared" si="17"/>
        <v>0</v>
      </c>
      <c r="AI1605" s="449">
        <f t="shared" si="12"/>
        <v>0</v>
      </c>
      <c r="AJ1605" s="450">
        <f t="shared" si="5"/>
        <v>1428750</v>
      </c>
      <c r="AK1605" s="450">
        <f t="shared" si="18"/>
        <v>1428750</v>
      </c>
      <c r="AL1605" s="287"/>
      <c r="AM1605" s="287"/>
    </row>
    <row r="1606">
      <c r="A1606" s="278">
        <v>1605.0</v>
      </c>
      <c r="B1606" s="279">
        <v>45607.0</v>
      </c>
      <c r="C1606" s="283"/>
      <c r="D1606" s="441" t="s">
        <v>4331</v>
      </c>
      <c r="E1606" s="442" t="s">
        <v>4332</v>
      </c>
      <c r="F1606" s="280" t="s">
        <v>1423</v>
      </c>
      <c r="G1606" s="278" t="s">
        <v>64</v>
      </c>
      <c r="H1606" s="278" t="s">
        <v>547</v>
      </c>
      <c r="I1606" s="278" t="s">
        <v>643</v>
      </c>
      <c r="J1606" s="452">
        <v>1.0</v>
      </c>
      <c r="K1606" s="443"/>
      <c r="L1606" s="282"/>
      <c r="M1606" s="282"/>
      <c r="N1606" s="282"/>
      <c r="O1606" s="282"/>
      <c r="P1606" s="451"/>
      <c r="Q1606" s="283"/>
      <c r="R1606" s="444"/>
      <c r="S1606" s="442" t="s">
        <v>43</v>
      </c>
      <c r="T1606" s="288" t="s">
        <v>2609</v>
      </c>
      <c r="U1606" s="278" t="s">
        <v>99</v>
      </c>
      <c r="V1606" s="278" t="s">
        <v>1984</v>
      </c>
      <c r="W1606" s="284"/>
      <c r="X1606" s="284"/>
      <c r="Y1606" s="445"/>
      <c r="Z1606" s="284"/>
      <c r="AA1606" s="285">
        <v>90678.0</v>
      </c>
      <c r="AB1606" s="285">
        <v>317373.0</v>
      </c>
      <c r="AC1606" s="446" t="s">
        <v>4333</v>
      </c>
      <c r="AD1606" s="278">
        <v>16662.0</v>
      </c>
      <c r="AE1606" s="283"/>
      <c r="AF1606" s="447" t="str">
        <f t="shared" si="1"/>
        <v>San Juan, Argentina</v>
      </c>
      <c r="AG1606" s="448">
        <f t="shared" si="2"/>
        <v>1</v>
      </c>
      <c r="AH1606" s="449">
        <f t="shared" si="17"/>
        <v>0</v>
      </c>
      <c r="AI1606" s="449">
        <f t="shared" si="12"/>
        <v>0</v>
      </c>
      <c r="AJ1606" s="450">
        <f t="shared" si="5"/>
        <v>408051</v>
      </c>
      <c r="AK1606" s="450">
        <f t="shared" si="18"/>
        <v>408051</v>
      </c>
      <c r="AL1606" s="287"/>
      <c r="AM1606" s="287"/>
    </row>
    <row r="1607">
      <c r="A1607" s="278">
        <v>1606.0</v>
      </c>
      <c r="B1607" s="279">
        <v>45607.0</v>
      </c>
      <c r="C1607" s="283"/>
      <c r="D1607" s="441" t="s">
        <v>795</v>
      </c>
      <c r="E1607" s="442" t="s">
        <v>796</v>
      </c>
      <c r="F1607" s="280" t="s">
        <v>4334</v>
      </c>
      <c r="G1607" s="278" t="s">
        <v>64</v>
      </c>
      <c r="H1607" s="278" t="s">
        <v>41</v>
      </c>
      <c r="I1607" s="278" t="s">
        <v>643</v>
      </c>
      <c r="J1607" s="282"/>
      <c r="K1607" s="452">
        <v>3.0</v>
      </c>
      <c r="L1607" s="282"/>
      <c r="M1607" s="282"/>
      <c r="N1607" s="282"/>
      <c r="O1607" s="282"/>
      <c r="P1607" s="451"/>
      <c r="Q1607" s="283"/>
      <c r="R1607" s="444"/>
      <c r="S1607" s="442" t="s">
        <v>98</v>
      </c>
      <c r="T1607" s="288" t="s">
        <v>66</v>
      </c>
      <c r="U1607" s="278" t="s">
        <v>99</v>
      </c>
      <c r="V1607" s="278" t="s">
        <v>1984</v>
      </c>
      <c r="W1607" s="284"/>
      <c r="X1607" s="284"/>
      <c r="Y1607" s="445"/>
      <c r="Z1607" s="284"/>
      <c r="AA1607" s="285">
        <v>285750.0</v>
      </c>
      <c r="AB1607" s="285">
        <v>1000125.0</v>
      </c>
      <c r="AC1607" s="446" t="s">
        <v>4335</v>
      </c>
      <c r="AD1607" s="278">
        <v>16648.0</v>
      </c>
      <c r="AE1607" s="283"/>
      <c r="AF1607" s="447" t="str">
        <f t="shared" si="1"/>
        <v>Buenos Aires, Argentina</v>
      </c>
      <c r="AG1607" s="448">
        <f t="shared" si="2"/>
        <v>3</v>
      </c>
      <c r="AH1607" s="449">
        <f t="shared" si="17"/>
        <v>0</v>
      </c>
      <c r="AI1607" s="449">
        <f t="shared" si="12"/>
        <v>0</v>
      </c>
      <c r="AJ1607" s="450">
        <f t="shared" si="5"/>
        <v>1285875</v>
      </c>
      <c r="AK1607" s="450">
        <f t="shared" si="18"/>
        <v>1285875</v>
      </c>
      <c r="AL1607" s="287"/>
      <c r="AM1607" s="287"/>
    </row>
    <row r="1608">
      <c r="A1608" s="278">
        <v>1607.0</v>
      </c>
      <c r="B1608" s="279">
        <v>45607.0</v>
      </c>
      <c r="C1608" s="283"/>
      <c r="D1608" s="441" t="s">
        <v>2153</v>
      </c>
      <c r="E1608" s="442" t="s">
        <v>2154</v>
      </c>
      <c r="F1608" s="280" t="s">
        <v>1423</v>
      </c>
      <c r="G1608" s="278" t="s">
        <v>64</v>
      </c>
      <c r="H1608" s="278" t="s">
        <v>41</v>
      </c>
      <c r="I1608" s="278" t="s">
        <v>643</v>
      </c>
      <c r="J1608" s="452">
        <v>1.0</v>
      </c>
      <c r="K1608" s="443"/>
      <c r="L1608" s="282"/>
      <c r="M1608" s="282"/>
      <c r="N1608" s="282"/>
      <c r="O1608" s="282"/>
      <c r="P1608" s="451"/>
      <c r="Q1608" s="283"/>
      <c r="R1608" s="444"/>
      <c r="S1608" s="442" t="s">
        <v>65</v>
      </c>
      <c r="T1608" s="288" t="s">
        <v>66</v>
      </c>
      <c r="U1608" s="278" t="s">
        <v>99</v>
      </c>
      <c r="V1608" s="278" t="s">
        <v>1984</v>
      </c>
      <c r="W1608" s="284"/>
      <c r="X1608" s="284"/>
      <c r="Y1608" s="445"/>
      <c r="Z1608" s="284"/>
      <c r="AA1608" s="285">
        <v>114300.0</v>
      </c>
      <c r="AB1608" s="285">
        <v>444500.0</v>
      </c>
      <c r="AC1608" s="446" t="s">
        <v>4336</v>
      </c>
      <c r="AD1608" s="278">
        <v>16630.0</v>
      </c>
      <c r="AE1608" s="283"/>
      <c r="AF1608" s="447" t="str">
        <f t="shared" si="1"/>
        <v>Buenos Aires, Argentina</v>
      </c>
      <c r="AG1608" s="448">
        <f t="shared" si="2"/>
        <v>1</v>
      </c>
      <c r="AH1608" s="449">
        <f t="shared" si="17"/>
        <v>0</v>
      </c>
      <c r="AI1608" s="449">
        <f t="shared" si="12"/>
        <v>0</v>
      </c>
      <c r="AJ1608" s="450">
        <f t="shared" si="5"/>
        <v>558800</v>
      </c>
      <c r="AK1608" s="450">
        <f t="shared" si="18"/>
        <v>558800</v>
      </c>
      <c r="AL1608" s="287"/>
      <c r="AM1608" s="287"/>
    </row>
    <row r="1609">
      <c r="A1609" s="278">
        <v>1608.0</v>
      </c>
      <c r="B1609" s="279">
        <v>45607.0</v>
      </c>
      <c r="C1609" s="283"/>
      <c r="D1609" s="441" t="s">
        <v>4337</v>
      </c>
      <c r="E1609" s="442" t="s">
        <v>4338</v>
      </c>
      <c r="F1609" s="280" t="s">
        <v>4339</v>
      </c>
      <c r="G1609" s="278" t="s">
        <v>64</v>
      </c>
      <c r="H1609" s="278" t="s">
        <v>41</v>
      </c>
      <c r="I1609" s="278" t="s">
        <v>643</v>
      </c>
      <c r="J1609" s="452">
        <v>2.0</v>
      </c>
      <c r="K1609" s="452">
        <v>1.0</v>
      </c>
      <c r="L1609" s="282"/>
      <c r="M1609" s="282"/>
      <c r="N1609" s="282"/>
      <c r="O1609" s="282"/>
      <c r="P1609" s="451"/>
      <c r="Q1609" s="283"/>
      <c r="R1609" s="444"/>
      <c r="S1609" s="442" t="s">
        <v>43</v>
      </c>
      <c r="T1609" s="288" t="s">
        <v>497</v>
      </c>
      <c r="U1609" s="278" t="s">
        <v>99</v>
      </c>
      <c r="V1609" s="278" t="s">
        <v>1984</v>
      </c>
      <c r="W1609" s="284"/>
      <c r="X1609" s="284"/>
      <c r="Y1609" s="445"/>
      <c r="Z1609" s="284"/>
      <c r="AA1609" s="285">
        <v>349250.0</v>
      </c>
      <c r="AB1609" s="285">
        <v>1222375.0</v>
      </c>
      <c r="AC1609" s="446" t="s">
        <v>4340</v>
      </c>
      <c r="AD1609" s="278">
        <v>16566.0</v>
      </c>
      <c r="AE1609" s="283"/>
      <c r="AF1609" s="447" t="str">
        <f t="shared" si="1"/>
        <v>Tucumán, Argentina</v>
      </c>
      <c r="AG1609" s="448">
        <f t="shared" si="2"/>
        <v>3</v>
      </c>
      <c r="AH1609" s="449">
        <f t="shared" si="17"/>
        <v>0</v>
      </c>
      <c r="AI1609" s="449">
        <f t="shared" si="12"/>
        <v>0</v>
      </c>
      <c r="AJ1609" s="450">
        <f t="shared" si="5"/>
        <v>1571625</v>
      </c>
      <c r="AK1609" s="450">
        <f t="shared" si="18"/>
        <v>1571625</v>
      </c>
      <c r="AL1609" s="287"/>
      <c r="AM1609" s="287"/>
    </row>
    <row r="1610">
      <c r="A1610" s="278">
        <v>1609.0</v>
      </c>
      <c r="B1610" s="279">
        <v>45607.0</v>
      </c>
      <c r="C1610" s="283"/>
      <c r="D1610" s="441" t="s">
        <v>3701</v>
      </c>
      <c r="E1610" s="442" t="s">
        <v>1739</v>
      </c>
      <c r="F1610" s="280" t="s">
        <v>3490</v>
      </c>
      <c r="G1610" s="278" t="s">
        <v>64</v>
      </c>
      <c r="H1610" s="278" t="s">
        <v>41</v>
      </c>
      <c r="I1610" s="278" t="s">
        <v>643</v>
      </c>
      <c r="J1610" s="282"/>
      <c r="K1610" s="443"/>
      <c r="L1610" s="282"/>
      <c r="M1610" s="282"/>
      <c r="N1610" s="282"/>
      <c r="O1610" s="282"/>
      <c r="P1610" s="281">
        <v>1.0</v>
      </c>
      <c r="Q1610" s="283"/>
      <c r="R1610" s="444"/>
      <c r="S1610" s="442" t="s">
        <v>137</v>
      </c>
      <c r="T1610" s="288" t="s">
        <v>66</v>
      </c>
      <c r="U1610" s="278" t="s">
        <v>99</v>
      </c>
      <c r="V1610" s="278" t="s">
        <v>1984</v>
      </c>
      <c r="W1610" s="284"/>
      <c r="X1610" s="284"/>
      <c r="Y1610" s="445"/>
      <c r="Z1610" s="284"/>
      <c r="AA1610" s="285">
        <v>127000.0</v>
      </c>
      <c r="AB1610" s="285">
        <v>444500.0</v>
      </c>
      <c r="AC1610" s="446" t="s">
        <v>4341</v>
      </c>
      <c r="AD1610" s="278">
        <v>16640.0</v>
      </c>
      <c r="AE1610" s="283"/>
      <c r="AF1610" s="447" t="str">
        <f t="shared" si="1"/>
        <v>Buenos Aires, Argentina</v>
      </c>
      <c r="AG1610" s="448">
        <f t="shared" si="2"/>
        <v>1</v>
      </c>
      <c r="AH1610" s="449">
        <f t="shared" si="17"/>
        <v>0</v>
      </c>
      <c r="AI1610" s="449">
        <f t="shared" si="12"/>
        <v>0</v>
      </c>
      <c r="AJ1610" s="450">
        <f t="shared" si="5"/>
        <v>571500</v>
      </c>
      <c r="AK1610" s="450">
        <f t="shared" si="18"/>
        <v>571500</v>
      </c>
      <c r="AL1610" s="287"/>
      <c r="AM1610" s="287"/>
    </row>
    <row r="1611">
      <c r="A1611" s="278">
        <v>1610.0</v>
      </c>
      <c r="B1611" s="279">
        <v>45607.0</v>
      </c>
      <c r="C1611" s="283"/>
      <c r="D1611" s="441" t="s">
        <v>3701</v>
      </c>
      <c r="E1611" s="442" t="s">
        <v>1739</v>
      </c>
      <c r="F1611" s="280" t="s">
        <v>4342</v>
      </c>
      <c r="G1611" s="278" t="s">
        <v>64</v>
      </c>
      <c r="H1611" s="278" t="s">
        <v>41</v>
      </c>
      <c r="I1611" s="278" t="s">
        <v>643</v>
      </c>
      <c r="J1611" s="282"/>
      <c r="K1611" s="443"/>
      <c r="L1611" s="282"/>
      <c r="M1611" s="282"/>
      <c r="N1611" s="282"/>
      <c r="O1611" s="282"/>
      <c r="P1611" s="451"/>
      <c r="Q1611" s="283"/>
      <c r="R1611" s="444"/>
      <c r="S1611" s="442" t="s">
        <v>137</v>
      </c>
      <c r="T1611" s="288" t="s">
        <v>66</v>
      </c>
      <c r="U1611" s="278" t="s">
        <v>99</v>
      </c>
      <c r="V1611" s="278" t="s">
        <v>1984</v>
      </c>
      <c r="W1611" s="285">
        <v>150967.0</v>
      </c>
      <c r="X1611" s="285">
        <v>679351.0</v>
      </c>
      <c r="Y1611" s="445"/>
      <c r="Z1611" s="284"/>
      <c r="AA1611" s="285">
        <v>0.0</v>
      </c>
      <c r="AB1611" s="285">
        <v>0.0</v>
      </c>
      <c r="AC1611" s="446" t="s">
        <v>4343</v>
      </c>
      <c r="AD1611" s="278">
        <v>15964.0</v>
      </c>
      <c r="AE1611" s="283"/>
      <c r="AF1611" s="447" t="str">
        <f t="shared" si="1"/>
        <v>Buenos Aires, Argentina</v>
      </c>
      <c r="AG1611" s="448">
        <f t="shared" si="2"/>
        <v>0</v>
      </c>
      <c r="AH1611" s="449">
        <f t="shared" si="17"/>
        <v>830318</v>
      </c>
      <c r="AI1611" s="449">
        <f t="shared" si="12"/>
        <v>0</v>
      </c>
      <c r="AJ1611" s="450">
        <f t="shared" si="5"/>
        <v>0</v>
      </c>
      <c r="AK1611" s="450">
        <f t="shared" si="18"/>
        <v>830318</v>
      </c>
      <c r="AL1611" s="287"/>
      <c r="AM1611" s="287"/>
    </row>
    <row r="1612">
      <c r="A1612" s="278">
        <v>1611.0</v>
      </c>
      <c r="B1612" s="279">
        <v>45610.0</v>
      </c>
      <c r="C1612" s="283"/>
      <c r="D1612" s="441" t="s">
        <v>4344</v>
      </c>
      <c r="E1612" s="442" t="s">
        <v>3895</v>
      </c>
      <c r="F1612" s="280" t="s">
        <v>1423</v>
      </c>
      <c r="G1612" s="278" t="s">
        <v>64</v>
      </c>
      <c r="H1612" s="278" t="s">
        <v>41</v>
      </c>
      <c r="I1612" s="278" t="s">
        <v>643</v>
      </c>
      <c r="J1612" s="452">
        <v>1.0</v>
      </c>
      <c r="K1612" s="443"/>
      <c r="L1612" s="282"/>
      <c r="M1612" s="282"/>
      <c r="N1612" s="282"/>
      <c r="O1612" s="282"/>
      <c r="P1612" s="451"/>
      <c r="Q1612" s="283"/>
      <c r="R1612" s="444"/>
      <c r="S1612" s="442" t="s">
        <v>189</v>
      </c>
      <c r="T1612" s="288" t="s">
        <v>66</v>
      </c>
      <c r="U1612" s="278" t="s">
        <v>99</v>
      </c>
      <c r="V1612" s="278" t="s">
        <v>1984</v>
      </c>
      <c r="W1612" s="284"/>
      <c r="X1612" s="284"/>
      <c r="Y1612" s="445"/>
      <c r="Z1612" s="284"/>
      <c r="AA1612" s="285">
        <v>127000.0</v>
      </c>
      <c r="AB1612" s="285">
        <v>285750.0</v>
      </c>
      <c r="AC1612" s="446" t="s">
        <v>4345</v>
      </c>
      <c r="AD1612" s="278">
        <v>16550.0</v>
      </c>
      <c r="AE1612" s="283"/>
      <c r="AF1612" s="447" t="str">
        <f t="shared" si="1"/>
        <v>Buenos Aires, Argentina</v>
      </c>
      <c r="AG1612" s="448">
        <f t="shared" si="2"/>
        <v>1</v>
      </c>
      <c r="AH1612" s="449">
        <f t="shared" si="17"/>
        <v>0</v>
      </c>
      <c r="AI1612" s="449">
        <f t="shared" si="12"/>
        <v>0</v>
      </c>
      <c r="AJ1612" s="450">
        <f t="shared" si="5"/>
        <v>412750</v>
      </c>
      <c r="AK1612" s="450">
        <f t="shared" si="18"/>
        <v>412750</v>
      </c>
      <c r="AL1612" s="287"/>
      <c r="AM1612" s="287"/>
    </row>
    <row r="1613">
      <c r="A1613" s="278">
        <v>1612.0</v>
      </c>
      <c r="B1613" s="279">
        <v>45615.0</v>
      </c>
      <c r="C1613" s="283"/>
      <c r="D1613" s="441" t="s">
        <v>4037</v>
      </c>
      <c r="E1613" s="442" t="s">
        <v>4038</v>
      </c>
      <c r="F1613" s="280" t="s">
        <v>4346</v>
      </c>
      <c r="G1613" s="278" t="s">
        <v>64</v>
      </c>
      <c r="H1613" s="278" t="s">
        <v>41</v>
      </c>
      <c r="I1613" s="278" t="s">
        <v>643</v>
      </c>
      <c r="J1613" s="452">
        <v>1.0</v>
      </c>
      <c r="K1613" s="443"/>
      <c r="L1613" s="282"/>
      <c r="M1613" s="282"/>
      <c r="N1613" s="282"/>
      <c r="O1613" s="282"/>
      <c r="P1613" s="451"/>
      <c r="Q1613" s="283"/>
      <c r="R1613" s="444"/>
      <c r="S1613" s="442" t="s">
        <v>137</v>
      </c>
      <c r="T1613" s="288" t="s">
        <v>66</v>
      </c>
      <c r="U1613" s="278" t="s">
        <v>99</v>
      </c>
      <c r="V1613" s="278" t="s">
        <v>1984</v>
      </c>
      <c r="W1613" s="284"/>
      <c r="X1613" s="284"/>
      <c r="Y1613" s="445"/>
      <c r="Z1613" s="284"/>
      <c r="AA1613" s="285">
        <v>127000.0</v>
      </c>
      <c r="AB1613" s="285">
        <v>889000.0</v>
      </c>
      <c r="AC1613" s="446" t="s">
        <v>4347</v>
      </c>
      <c r="AD1613" s="278">
        <v>16626.0</v>
      </c>
      <c r="AE1613" s="283"/>
      <c r="AF1613" s="447" t="str">
        <f t="shared" si="1"/>
        <v>Buenos Aires, Argentina</v>
      </c>
      <c r="AG1613" s="448">
        <f t="shared" si="2"/>
        <v>1</v>
      </c>
      <c r="AH1613" s="449">
        <f t="shared" si="17"/>
        <v>0</v>
      </c>
      <c r="AI1613" s="449">
        <f t="shared" si="12"/>
        <v>0</v>
      </c>
      <c r="AJ1613" s="450">
        <f t="shared" si="5"/>
        <v>1016000</v>
      </c>
      <c r="AK1613" s="450">
        <f t="shared" si="18"/>
        <v>1016000</v>
      </c>
      <c r="AL1613" s="287"/>
      <c r="AM1613" s="287"/>
    </row>
    <row r="1614">
      <c r="A1614" s="278">
        <v>1613.0</v>
      </c>
      <c r="B1614" s="279">
        <v>45615.0</v>
      </c>
      <c r="C1614" s="283"/>
      <c r="D1614" s="441" t="s">
        <v>4037</v>
      </c>
      <c r="E1614" s="442" t="s">
        <v>4038</v>
      </c>
      <c r="F1614" s="280" t="s">
        <v>3365</v>
      </c>
      <c r="G1614" s="278" t="s">
        <v>64</v>
      </c>
      <c r="H1614" s="278" t="s">
        <v>41</v>
      </c>
      <c r="I1614" s="278" t="s">
        <v>643</v>
      </c>
      <c r="J1614" s="282"/>
      <c r="K1614" s="443"/>
      <c r="L1614" s="282"/>
      <c r="M1614" s="282"/>
      <c r="N1614" s="281">
        <v>1.0</v>
      </c>
      <c r="O1614" s="282"/>
      <c r="P1614" s="451"/>
      <c r="Q1614" s="283"/>
      <c r="R1614" s="444"/>
      <c r="S1614" s="442" t="s">
        <v>137</v>
      </c>
      <c r="T1614" s="288" t="s">
        <v>66</v>
      </c>
      <c r="U1614" s="278" t="s">
        <v>99</v>
      </c>
      <c r="V1614" s="278" t="s">
        <v>1984</v>
      </c>
      <c r="W1614" s="284"/>
      <c r="X1614" s="284"/>
      <c r="Y1614" s="445"/>
      <c r="Z1614" s="284"/>
      <c r="AA1614" s="285">
        <v>127000.0</v>
      </c>
      <c r="AB1614" s="285">
        <v>635000.0</v>
      </c>
      <c r="AC1614" s="446" t="s">
        <v>4348</v>
      </c>
      <c r="AD1614" s="278">
        <v>16498.0</v>
      </c>
      <c r="AE1614" s="283"/>
      <c r="AF1614" s="447" t="str">
        <f t="shared" si="1"/>
        <v>Buenos Aires, Argentina</v>
      </c>
      <c r="AG1614" s="448">
        <f t="shared" si="2"/>
        <v>1</v>
      </c>
      <c r="AH1614" s="449">
        <f t="shared" si="17"/>
        <v>0</v>
      </c>
      <c r="AI1614" s="449">
        <f t="shared" si="12"/>
        <v>0</v>
      </c>
      <c r="AJ1614" s="450">
        <f t="shared" si="5"/>
        <v>762000</v>
      </c>
      <c r="AK1614" s="450">
        <f t="shared" si="18"/>
        <v>762000</v>
      </c>
      <c r="AL1614" s="287"/>
      <c r="AM1614" s="287"/>
    </row>
    <row r="1615">
      <c r="A1615" s="278">
        <v>1614.0</v>
      </c>
      <c r="B1615" s="279">
        <v>45616.0</v>
      </c>
      <c r="C1615" s="283"/>
      <c r="D1615" s="441" t="s">
        <v>4349</v>
      </c>
      <c r="E1615" s="442" t="s">
        <v>4350</v>
      </c>
      <c r="F1615" s="280" t="s">
        <v>4351</v>
      </c>
      <c r="G1615" s="278" t="s">
        <v>40</v>
      </c>
      <c r="H1615" s="278" t="s">
        <v>41</v>
      </c>
      <c r="I1615" s="278" t="s">
        <v>42</v>
      </c>
      <c r="J1615" s="452">
        <v>1.0</v>
      </c>
      <c r="K1615" s="443"/>
      <c r="L1615" s="282"/>
      <c r="M1615" s="281">
        <v>1.0</v>
      </c>
      <c r="N1615" s="282"/>
      <c r="O1615" s="282"/>
      <c r="P1615" s="451"/>
      <c r="Q1615" s="283"/>
      <c r="R1615" s="444"/>
      <c r="S1615" s="442" t="s">
        <v>65</v>
      </c>
      <c r="T1615" s="288" t="s">
        <v>66</v>
      </c>
      <c r="U1615" s="278" t="s">
        <v>342</v>
      </c>
      <c r="V1615" s="278" t="s">
        <v>2922</v>
      </c>
      <c r="W1615" s="284"/>
      <c r="X1615" s="284"/>
      <c r="Y1615" s="445"/>
      <c r="Z1615" s="284"/>
      <c r="AA1615" s="285">
        <v>127000.0</v>
      </c>
      <c r="AB1615" s="285">
        <v>444500.0</v>
      </c>
      <c r="AC1615" s="446" t="s">
        <v>4352</v>
      </c>
      <c r="AD1615" s="278">
        <v>16752.0</v>
      </c>
      <c r="AE1615" s="283"/>
      <c r="AF1615" s="447" t="str">
        <f t="shared" si="1"/>
        <v>Buenos Aires, Argentina</v>
      </c>
      <c r="AG1615" s="448">
        <f t="shared" si="2"/>
        <v>2</v>
      </c>
      <c r="AH1615" s="449">
        <f t="shared" si="17"/>
        <v>0</v>
      </c>
      <c r="AI1615" s="449">
        <f t="shared" si="12"/>
        <v>0</v>
      </c>
      <c r="AJ1615" s="450">
        <f t="shared" si="5"/>
        <v>571500</v>
      </c>
      <c r="AK1615" s="450">
        <f t="shared" si="18"/>
        <v>571500</v>
      </c>
      <c r="AL1615" s="287"/>
      <c r="AM1615" s="287"/>
    </row>
    <row r="1616">
      <c r="A1616" s="278">
        <v>1615.0</v>
      </c>
      <c r="B1616" s="279">
        <v>45618.0</v>
      </c>
      <c r="C1616" s="283"/>
      <c r="D1616" s="441" t="s">
        <v>3635</v>
      </c>
      <c r="E1616" s="442" t="s">
        <v>3636</v>
      </c>
      <c r="F1616" s="280" t="s">
        <v>1423</v>
      </c>
      <c r="G1616" s="278" t="s">
        <v>64</v>
      </c>
      <c r="H1616" s="278" t="s">
        <v>41</v>
      </c>
      <c r="I1616" s="278" t="s">
        <v>643</v>
      </c>
      <c r="J1616" s="452">
        <v>1.0</v>
      </c>
      <c r="K1616" s="443"/>
      <c r="L1616" s="282"/>
      <c r="M1616" s="282"/>
      <c r="N1616" s="282"/>
      <c r="O1616" s="282"/>
      <c r="P1616" s="451"/>
      <c r="Q1616" s="283"/>
      <c r="R1616" s="444"/>
      <c r="S1616" s="442" t="s">
        <v>189</v>
      </c>
      <c r="T1616" s="288" t="s">
        <v>73</v>
      </c>
      <c r="U1616" s="278" t="s">
        <v>99</v>
      </c>
      <c r="V1616" s="278" t="s">
        <v>1984</v>
      </c>
      <c r="W1616" s="284"/>
      <c r="X1616" s="284"/>
      <c r="Y1616" s="445"/>
      <c r="Z1616" s="284"/>
      <c r="AA1616" s="285">
        <v>127000.0</v>
      </c>
      <c r="AB1616" s="285">
        <v>571500.0</v>
      </c>
      <c r="AC1616" s="446" t="s">
        <v>4353</v>
      </c>
      <c r="AD1616" s="278">
        <v>16774.0</v>
      </c>
      <c r="AE1616" s="283"/>
      <c r="AF1616" s="447" t="str">
        <f t="shared" si="1"/>
        <v>Tierra de Fuego, Argentina</v>
      </c>
      <c r="AG1616" s="448">
        <f t="shared" si="2"/>
        <v>1</v>
      </c>
      <c r="AH1616" s="449">
        <f t="shared" si="17"/>
        <v>0</v>
      </c>
      <c r="AI1616" s="449">
        <f t="shared" si="12"/>
        <v>0</v>
      </c>
      <c r="AJ1616" s="450">
        <f t="shared" si="5"/>
        <v>698500</v>
      </c>
      <c r="AK1616" s="450">
        <f t="shared" si="18"/>
        <v>698500</v>
      </c>
      <c r="AL1616" s="287"/>
      <c r="AM1616" s="287"/>
    </row>
    <row r="1617">
      <c r="A1617" s="278">
        <v>1616.0</v>
      </c>
      <c r="B1617" s="279">
        <v>45621.0</v>
      </c>
      <c r="C1617" s="283"/>
      <c r="D1617" s="441" t="s">
        <v>4354</v>
      </c>
      <c r="E1617" s="442" t="s">
        <v>4045</v>
      </c>
      <c r="F1617" s="280" t="s">
        <v>1567</v>
      </c>
      <c r="G1617" s="278" t="s">
        <v>64</v>
      </c>
      <c r="H1617" s="278" t="s">
        <v>41</v>
      </c>
      <c r="I1617" s="278" t="s">
        <v>42</v>
      </c>
      <c r="J1617" s="452">
        <v>4.0</v>
      </c>
      <c r="K1617" s="443"/>
      <c r="L1617" s="282"/>
      <c r="M1617" s="282"/>
      <c r="N1617" s="282"/>
      <c r="O1617" s="282"/>
      <c r="P1617" s="451"/>
      <c r="Q1617" s="283"/>
      <c r="R1617" s="444"/>
      <c r="S1617" s="442" t="s">
        <v>189</v>
      </c>
      <c r="T1617" s="288" t="s">
        <v>66</v>
      </c>
      <c r="U1617" s="278" t="s">
        <v>99</v>
      </c>
      <c r="V1617" s="278" t="s">
        <v>2922</v>
      </c>
      <c r="W1617" s="284"/>
      <c r="X1617" s="284"/>
      <c r="Y1617" s="445"/>
      <c r="Z1617" s="284"/>
      <c r="AA1617" s="285">
        <v>508000.0</v>
      </c>
      <c r="AB1617" s="285">
        <v>1069975.0</v>
      </c>
      <c r="AC1617" s="446" t="s">
        <v>4355</v>
      </c>
      <c r="AD1617" s="278">
        <v>16820.0</v>
      </c>
      <c r="AE1617" s="283"/>
      <c r="AF1617" s="447" t="str">
        <f t="shared" si="1"/>
        <v>Buenos Aires, Argentina</v>
      </c>
      <c r="AG1617" s="448">
        <f t="shared" si="2"/>
        <v>4</v>
      </c>
      <c r="AH1617" s="449">
        <f t="shared" si="17"/>
        <v>0</v>
      </c>
      <c r="AI1617" s="449">
        <f t="shared" si="12"/>
        <v>0</v>
      </c>
      <c r="AJ1617" s="450">
        <f t="shared" si="5"/>
        <v>1577975</v>
      </c>
      <c r="AK1617" s="450">
        <f t="shared" si="18"/>
        <v>1577975</v>
      </c>
      <c r="AL1617" s="287"/>
      <c r="AM1617" s="287"/>
    </row>
    <row r="1618">
      <c r="A1618" s="278">
        <v>1617.0</v>
      </c>
      <c r="B1618" s="279">
        <v>45623.0</v>
      </c>
      <c r="C1618" s="283"/>
      <c r="D1618" s="441" t="s">
        <v>4356</v>
      </c>
      <c r="E1618" s="442" t="s">
        <v>4357</v>
      </c>
      <c r="F1618" s="280" t="s">
        <v>4358</v>
      </c>
      <c r="G1618" s="278" t="s">
        <v>40</v>
      </c>
      <c r="H1618" s="278" t="s">
        <v>41</v>
      </c>
      <c r="I1618" s="278" t="s">
        <v>42</v>
      </c>
      <c r="J1618" s="452">
        <v>2.0</v>
      </c>
      <c r="K1618" s="452">
        <v>13.0</v>
      </c>
      <c r="L1618" s="282"/>
      <c r="M1618" s="281">
        <v>1.0</v>
      </c>
      <c r="N1618" s="282"/>
      <c r="O1618" s="282"/>
      <c r="P1618" s="451"/>
      <c r="Q1618" s="283"/>
      <c r="R1618" s="444"/>
      <c r="S1618" s="442" t="s">
        <v>114</v>
      </c>
      <c r="T1618" s="288" t="s">
        <v>66</v>
      </c>
      <c r="U1618" s="278" t="s">
        <v>45</v>
      </c>
      <c r="V1618" s="278" t="s">
        <v>2922</v>
      </c>
      <c r="W1618" s="284"/>
      <c r="X1618" s="284"/>
      <c r="Y1618" s="445"/>
      <c r="Z1618" s="284"/>
      <c r="AA1618" s="285">
        <v>1492250.0</v>
      </c>
      <c r="AB1618" s="285">
        <v>5578475.0</v>
      </c>
      <c r="AC1618" s="446" t="s">
        <v>4359</v>
      </c>
      <c r="AD1618" s="278">
        <v>16208.0</v>
      </c>
      <c r="AE1618" s="283"/>
      <c r="AF1618" s="447" t="str">
        <f t="shared" si="1"/>
        <v>Buenos Aires, Argentina</v>
      </c>
      <c r="AG1618" s="448">
        <f t="shared" si="2"/>
        <v>16</v>
      </c>
      <c r="AH1618" s="449">
        <f t="shared" si="17"/>
        <v>0</v>
      </c>
      <c r="AI1618" s="449">
        <f t="shared" si="12"/>
        <v>0</v>
      </c>
      <c r="AJ1618" s="450">
        <f t="shared" si="5"/>
        <v>7070725</v>
      </c>
      <c r="AK1618" s="450">
        <f t="shared" si="18"/>
        <v>7070725</v>
      </c>
      <c r="AL1618" s="287"/>
      <c r="AM1618" s="287"/>
    </row>
    <row r="1619">
      <c r="A1619" s="278">
        <v>1618.0</v>
      </c>
      <c r="B1619" s="279">
        <v>45623.0</v>
      </c>
      <c r="C1619" s="283"/>
      <c r="D1619" s="441" t="s">
        <v>3495</v>
      </c>
      <c r="E1619" s="442" t="s">
        <v>2289</v>
      </c>
      <c r="F1619" s="280" t="s">
        <v>1415</v>
      </c>
      <c r="G1619" s="278" t="s">
        <v>64</v>
      </c>
      <c r="H1619" s="278" t="s">
        <v>41</v>
      </c>
      <c r="I1619" s="278" t="s">
        <v>643</v>
      </c>
      <c r="J1619" s="282"/>
      <c r="K1619" s="452">
        <v>1.0</v>
      </c>
      <c r="L1619" s="282"/>
      <c r="M1619" s="282"/>
      <c r="N1619" s="282"/>
      <c r="O1619" s="282"/>
      <c r="P1619" s="451"/>
      <c r="Q1619" s="283"/>
      <c r="R1619" s="444"/>
      <c r="S1619" s="442" t="s">
        <v>114</v>
      </c>
      <c r="T1619" s="288" t="s">
        <v>66</v>
      </c>
      <c r="U1619" s="278" t="s">
        <v>99</v>
      </c>
      <c r="V1619" s="278" t="s">
        <v>1984</v>
      </c>
      <c r="W1619" s="284"/>
      <c r="X1619" s="284"/>
      <c r="Y1619" s="445"/>
      <c r="Z1619" s="284"/>
      <c r="AA1619" s="285">
        <v>95250.0</v>
      </c>
      <c r="AB1619" s="285">
        <v>428625.0</v>
      </c>
      <c r="AC1619" s="446" t="s">
        <v>4360</v>
      </c>
      <c r="AD1619" s="278">
        <v>16876.0</v>
      </c>
      <c r="AE1619" s="283"/>
      <c r="AF1619" s="447" t="str">
        <f t="shared" si="1"/>
        <v>Buenos Aires, Argentina</v>
      </c>
      <c r="AG1619" s="448">
        <f t="shared" si="2"/>
        <v>1</v>
      </c>
      <c r="AH1619" s="449">
        <f t="shared" si="17"/>
        <v>0</v>
      </c>
      <c r="AI1619" s="449">
        <f t="shared" si="12"/>
        <v>0</v>
      </c>
      <c r="AJ1619" s="450">
        <f t="shared" si="5"/>
        <v>523875</v>
      </c>
      <c r="AK1619" s="450">
        <f t="shared" si="18"/>
        <v>523875</v>
      </c>
      <c r="AL1619" s="287"/>
      <c r="AM1619" s="287"/>
    </row>
    <row r="1620">
      <c r="A1620" s="278">
        <v>1619.0</v>
      </c>
      <c r="B1620" s="279">
        <v>45624.0</v>
      </c>
      <c r="C1620" s="283"/>
      <c r="D1620" s="441" t="s">
        <v>4361</v>
      </c>
      <c r="E1620" s="442" t="s">
        <v>2597</v>
      </c>
      <c r="F1620" s="280" t="s">
        <v>3597</v>
      </c>
      <c r="G1620" s="278" t="s">
        <v>64</v>
      </c>
      <c r="H1620" s="278" t="s">
        <v>41</v>
      </c>
      <c r="I1620" s="278" t="s">
        <v>643</v>
      </c>
      <c r="J1620" s="282"/>
      <c r="K1620" s="443"/>
      <c r="L1620" s="282"/>
      <c r="M1620" s="282"/>
      <c r="N1620" s="282"/>
      <c r="O1620" s="282"/>
      <c r="P1620" s="451"/>
      <c r="Q1620" s="283"/>
      <c r="R1620" s="444"/>
      <c r="S1620" s="442" t="s">
        <v>65</v>
      </c>
      <c r="T1620" s="288" t="s">
        <v>66</v>
      </c>
      <c r="U1620" s="278" t="s">
        <v>99</v>
      </c>
      <c r="V1620" s="278" t="s">
        <v>1984</v>
      </c>
      <c r="W1620" s="284"/>
      <c r="X1620" s="284"/>
      <c r="Y1620" s="445"/>
      <c r="Z1620" s="284"/>
      <c r="AA1620" s="285">
        <v>0.0</v>
      </c>
      <c r="AB1620" s="285">
        <v>304800.0</v>
      </c>
      <c r="AC1620" s="446" t="s">
        <v>4362</v>
      </c>
      <c r="AD1620" s="278">
        <v>16914.0</v>
      </c>
      <c r="AE1620" s="283"/>
      <c r="AF1620" s="447" t="str">
        <f t="shared" si="1"/>
        <v>Buenos Aires, Argentina</v>
      </c>
      <c r="AG1620" s="448">
        <f t="shared" si="2"/>
        <v>0</v>
      </c>
      <c r="AH1620" s="449">
        <f t="shared" si="17"/>
        <v>0</v>
      </c>
      <c r="AI1620" s="449">
        <f t="shared" si="12"/>
        <v>0</v>
      </c>
      <c r="AJ1620" s="450">
        <f t="shared" si="5"/>
        <v>304800</v>
      </c>
      <c r="AK1620" s="450">
        <f t="shared" si="18"/>
        <v>304800</v>
      </c>
      <c r="AL1620" s="287"/>
      <c r="AM1620" s="287"/>
    </row>
    <row r="1621">
      <c r="A1621" s="278">
        <v>1620.0</v>
      </c>
      <c r="B1621" s="279">
        <v>45624.0</v>
      </c>
      <c r="C1621" s="283"/>
      <c r="D1621" s="441" t="s">
        <v>4363</v>
      </c>
      <c r="E1621" s="442" t="s">
        <v>3874</v>
      </c>
      <c r="F1621" s="280" t="s">
        <v>4364</v>
      </c>
      <c r="G1621" s="278" t="s">
        <v>64</v>
      </c>
      <c r="H1621" s="278" t="s">
        <v>41</v>
      </c>
      <c r="I1621" s="278" t="s">
        <v>643</v>
      </c>
      <c r="J1621" s="282"/>
      <c r="K1621" s="443"/>
      <c r="L1621" s="282"/>
      <c r="M1621" s="282"/>
      <c r="N1621" s="282"/>
      <c r="O1621" s="282"/>
      <c r="P1621" s="451"/>
      <c r="Q1621" s="283"/>
      <c r="R1621" s="444"/>
      <c r="S1621" s="442" t="s">
        <v>98</v>
      </c>
      <c r="T1621" s="288" t="s">
        <v>66</v>
      </c>
      <c r="U1621" s="278" t="s">
        <v>99</v>
      </c>
      <c r="V1621" s="278" t="s">
        <v>1984</v>
      </c>
      <c r="W1621" s="284"/>
      <c r="X1621" s="284"/>
      <c r="Y1621" s="445"/>
      <c r="Z1621" s="284"/>
      <c r="AA1621" s="285">
        <v>0.0</v>
      </c>
      <c r="AB1621" s="285">
        <v>114300.0</v>
      </c>
      <c r="AC1621" s="446" t="s">
        <v>4365</v>
      </c>
      <c r="AD1621" s="278">
        <v>16660.0</v>
      </c>
      <c r="AE1621" s="283"/>
      <c r="AF1621" s="447" t="str">
        <f t="shared" si="1"/>
        <v>Buenos Aires, Argentina</v>
      </c>
      <c r="AG1621" s="448">
        <f t="shared" si="2"/>
        <v>0</v>
      </c>
      <c r="AH1621" s="449">
        <f t="shared" si="17"/>
        <v>0</v>
      </c>
      <c r="AI1621" s="449">
        <f t="shared" si="12"/>
        <v>0</v>
      </c>
      <c r="AJ1621" s="450">
        <f t="shared" si="5"/>
        <v>114300</v>
      </c>
      <c r="AK1621" s="450">
        <f t="shared" si="18"/>
        <v>114300</v>
      </c>
      <c r="AL1621" s="287"/>
      <c r="AM1621" s="287"/>
    </row>
    <row r="1622">
      <c r="A1622" s="278">
        <v>1621.0</v>
      </c>
      <c r="B1622" s="279">
        <v>45625.0</v>
      </c>
      <c r="C1622" s="283"/>
      <c r="D1622" s="441" t="s">
        <v>4366</v>
      </c>
      <c r="E1622" s="442" t="s">
        <v>4367</v>
      </c>
      <c r="F1622" s="280" t="s">
        <v>3416</v>
      </c>
      <c r="G1622" s="278" t="s">
        <v>40</v>
      </c>
      <c r="H1622" s="278" t="s">
        <v>41</v>
      </c>
      <c r="I1622" s="278" t="s">
        <v>643</v>
      </c>
      <c r="J1622" s="452">
        <v>1.0</v>
      </c>
      <c r="K1622" s="453">
        <v>1.0</v>
      </c>
      <c r="L1622" s="282"/>
      <c r="M1622" s="281">
        <v>1.0</v>
      </c>
      <c r="N1622" s="282"/>
      <c r="O1622" s="282"/>
      <c r="P1622" s="451"/>
      <c r="Q1622" s="283"/>
      <c r="R1622" s="444"/>
      <c r="S1622" s="442" t="s">
        <v>65</v>
      </c>
      <c r="T1622" s="278" t="s">
        <v>66</v>
      </c>
      <c r="U1622" s="278" t="s">
        <v>1616</v>
      </c>
      <c r="V1622" s="278" t="s">
        <v>2935</v>
      </c>
      <c r="W1622" s="284"/>
      <c r="X1622" s="284"/>
      <c r="Y1622" s="445"/>
      <c r="Z1622" s="284"/>
      <c r="AA1622" s="285">
        <v>200025.0</v>
      </c>
      <c r="AB1622" s="285">
        <v>833437.0</v>
      </c>
      <c r="AC1622" s="446" t="s">
        <v>4368</v>
      </c>
      <c r="AD1622" s="278">
        <v>16736.0</v>
      </c>
      <c r="AE1622" s="283"/>
      <c r="AF1622" s="447" t="str">
        <f t="shared" si="1"/>
        <v>Buenos Aires, Argentina</v>
      </c>
      <c r="AG1622" s="278">
        <f t="shared" si="2"/>
        <v>3</v>
      </c>
      <c r="AH1622" s="449">
        <f t="shared" si="17"/>
        <v>0</v>
      </c>
      <c r="AI1622" s="449">
        <f t="shared" si="12"/>
        <v>0</v>
      </c>
      <c r="AJ1622" s="450">
        <f t="shared" si="5"/>
        <v>1033462</v>
      </c>
      <c r="AK1622" s="450">
        <f t="shared" si="18"/>
        <v>1033462</v>
      </c>
      <c r="AL1622" s="287"/>
      <c r="AM1622" s="287"/>
    </row>
    <row r="1623">
      <c r="A1623" s="278">
        <v>1622.0</v>
      </c>
      <c r="B1623" s="279">
        <v>45625.0</v>
      </c>
      <c r="C1623" s="283"/>
      <c r="D1623" s="441" t="s">
        <v>4366</v>
      </c>
      <c r="E1623" s="442" t="s">
        <v>4367</v>
      </c>
      <c r="F1623" s="280" t="s">
        <v>4369</v>
      </c>
      <c r="G1623" s="278" t="s">
        <v>40</v>
      </c>
      <c r="H1623" s="278" t="s">
        <v>41</v>
      </c>
      <c r="I1623" s="278" t="s">
        <v>643</v>
      </c>
      <c r="J1623" s="282"/>
      <c r="K1623" s="443"/>
      <c r="L1623" s="282"/>
      <c r="M1623" s="282"/>
      <c r="N1623" s="282"/>
      <c r="O1623" s="282"/>
      <c r="P1623" s="451"/>
      <c r="Q1623" s="283"/>
      <c r="R1623" s="444"/>
      <c r="S1623" s="442" t="s">
        <v>65</v>
      </c>
      <c r="T1623" s="278" t="s">
        <v>66</v>
      </c>
      <c r="U1623" s="278" t="s">
        <v>1616</v>
      </c>
      <c r="V1623" s="278" t="s">
        <v>2935</v>
      </c>
      <c r="W1623" s="284"/>
      <c r="X1623" s="284"/>
      <c r="Y1623" s="445"/>
      <c r="Z1623" s="284"/>
      <c r="AA1623" s="285">
        <v>0.0</v>
      </c>
      <c r="AB1623" s="285">
        <v>571500.0</v>
      </c>
      <c r="AC1623" s="446" t="s">
        <v>4368</v>
      </c>
      <c r="AD1623" s="278">
        <v>16736.0</v>
      </c>
      <c r="AE1623" s="283"/>
      <c r="AF1623" s="447" t="str">
        <f t="shared" si="1"/>
        <v>Buenos Aires, Argentina</v>
      </c>
      <c r="AG1623" s="278">
        <f t="shared" si="2"/>
        <v>0</v>
      </c>
      <c r="AH1623" s="449">
        <f t="shared" si="17"/>
        <v>0</v>
      </c>
      <c r="AI1623" s="449">
        <f t="shared" si="12"/>
        <v>0</v>
      </c>
      <c r="AJ1623" s="450">
        <f t="shared" si="5"/>
        <v>571500</v>
      </c>
      <c r="AK1623" s="450">
        <f t="shared" si="18"/>
        <v>571500</v>
      </c>
      <c r="AL1623" s="287"/>
      <c r="AM1623" s="287"/>
    </row>
    <row r="1624">
      <c r="A1624" s="278">
        <v>1623.0</v>
      </c>
      <c r="B1624" s="279">
        <v>45625.0</v>
      </c>
      <c r="C1624" s="283"/>
      <c r="D1624" s="441" t="s">
        <v>4370</v>
      </c>
      <c r="E1624" s="442" t="s">
        <v>4048</v>
      </c>
      <c r="F1624" s="280" t="s">
        <v>4371</v>
      </c>
      <c r="G1624" s="278" t="s">
        <v>64</v>
      </c>
      <c r="H1624" s="278" t="s">
        <v>41</v>
      </c>
      <c r="I1624" s="278" t="s">
        <v>42</v>
      </c>
      <c r="J1624" s="282"/>
      <c r="K1624" s="453">
        <v>1.0</v>
      </c>
      <c r="L1624" s="282"/>
      <c r="M1624" s="282"/>
      <c r="N1624" s="282"/>
      <c r="O1624" s="281">
        <v>2.0</v>
      </c>
      <c r="P1624" s="451"/>
      <c r="Q1624" s="283"/>
      <c r="R1624" s="444"/>
      <c r="S1624" s="442" t="s">
        <v>65</v>
      </c>
      <c r="T1624" s="278" t="s">
        <v>66</v>
      </c>
      <c r="U1624" s="278" t="s">
        <v>99</v>
      </c>
      <c r="V1624" s="278" t="s">
        <v>2922</v>
      </c>
      <c r="W1624" s="284"/>
      <c r="X1624" s="284"/>
      <c r="Y1624" s="445"/>
      <c r="Z1624" s="284"/>
      <c r="AA1624" s="285">
        <v>234950.0</v>
      </c>
      <c r="AB1624" s="285">
        <v>939800.0</v>
      </c>
      <c r="AC1624" s="446" t="s">
        <v>4372</v>
      </c>
      <c r="AD1624" s="278">
        <v>16484.0</v>
      </c>
      <c r="AE1624" s="283"/>
      <c r="AF1624" s="447" t="str">
        <f t="shared" si="1"/>
        <v>Buenos Aires, Argentina</v>
      </c>
      <c r="AG1624" s="278">
        <f t="shared" si="2"/>
        <v>3</v>
      </c>
      <c r="AH1624" s="449">
        <f t="shared" si="17"/>
        <v>0</v>
      </c>
      <c r="AI1624" s="449">
        <f t="shared" si="12"/>
        <v>0</v>
      </c>
      <c r="AJ1624" s="450">
        <f t="shared" si="5"/>
        <v>1174750</v>
      </c>
      <c r="AK1624" s="450">
        <f t="shared" si="18"/>
        <v>1174750</v>
      </c>
      <c r="AL1624" s="287"/>
      <c r="AM1624" s="287"/>
    </row>
    <row r="1625">
      <c r="A1625" s="278">
        <v>1624.0</v>
      </c>
      <c r="B1625" s="279">
        <v>45625.0</v>
      </c>
      <c r="C1625" s="283"/>
      <c r="D1625" s="441" t="s">
        <v>4373</v>
      </c>
      <c r="E1625" s="442" t="s">
        <v>4374</v>
      </c>
      <c r="F1625" s="280" t="s">
        <v>4375</v>
      </c>
      <c r="G1625" s="278" t="s">
        <v>40</v>
      </c>
      <c r="H1625" s="278" t="s">
        <v>41</v>
      </c>
      <c r="I1625" s="278" t="s">
        <v>42</v>
      </c>
      <c r="J1625" s="452">
        <v>3.0</v>
      </c>
      <c r="K1625" s="453">
        <v>8.0</v>
      </c>
      <c r="L1625" s="282"/>
      <c r="M1625" s="281">
        <v>1.0</v>
      </c>
      <c r="N1625" s="282"/>
      <c r="O1625" s="282"/>
      <c r="P1625" s="451"/>
      <c r="Q1625" s="283"/>
      <c r="R1625" s="444"/>
      <c r="S1625" s="442" t="s">
        <v>114</v>
      </c>
      <c r="T1625" s="278" t="s">
        <v>66</v>
      </c>
      <c r="U1625" s="278" t="s">
        <v>45</v>
      </c>
      <c r="V1625" s="278" t="s">
        <v>4376</v>
      </c>
      <c r="W1625" s="284"/>
      <c r="X1625" s="284"/>
      <c r="Y1625" s="445"/>
      <c r="Z1625" s="284"/>
      <c r="AA1625" s="285">
        <v>1143000.0</v>
      </c>
      <c r="AB1625" s="285">
        <v>4000500.0</v>
      </c>
      <c r="AC1625" s="446" t="s">
        <v>4377</v>
      </c>
      <c r="AD1625" s="278">
        <v>16756.0</v>
      </c>
      <c r="AE1625" s="283"/>
      <c r="AF1625" s="447" t="str">
        <f t="shared" si="1"/>
        <v>Buenos Aires, Argentina</v>
      </c>
      <c r="AG1625" s="278">
        <f t="shared" si="2"/>
        <v>12</v>
      </c>
      <c r="AH1625" s="449">
        <f t="shared" si="17"/>
        <v>0</v>
      </c>
      <c r="AI1625" s="449">
        <f t="shared" si="12"/>
        <v>0</v>
      </c>
      <c r="AJ1625" s="450">
        <f t="shared" si="5"/>
        <v>5143500</v>
      </c>
      <c r="AK1625" s="450">
        <f t="shared" si="18"/>
        <v>5143500</v>
      </c>
      <c r="AL1625" s="287"/>
      <c r="AM1625" s="287"/>
    </row>
    <row r="1626">
      <c r="A1626" s="278">
        <v>1625.0</v>
      </c>
      <c r="B1626" s="279">
        <v>45625.0</v>
      </c>
      <c r="C1626" s="283"/>
      <c r="D1626" s="441" t="s">
        <v>4187</v>
      </c>
      <c r="E1626" s="442" t="s">
        <v>3997</v>
      </c>
      <c r="F1626" s="280" t="s">
        <v>1427</v>
      </c>
      <c r="G1626" s="278" t="s">
        <v>64</v>
      </c>
      <c r="H1626" s="278" t="s">
        <v>41</v>
      </c>
      <c r="I1626" s="278" t="s">
        <v>643</v>
      </c>
      <c r="J1626" s="282"/>
      <c r="K1626" s="453">
        <v>2.0</v>
      </c>
      <c r="L1626" s="282"/>
      <c r="M1626" s="282"/>
      <c r="N1626" s="282"/>
      <c r="O1626" s="282"/>
      <c r="P1626" s="451"/>
      <c r="Q1626" s="283"/>
      <c r="R1626" s="444"/>
      <c r="S1626" s="442" t="s">
        <v>43</v>
      </c>
      <c r="T1626" s="278" t="s">
        <v>83</v>
      </c>
      <c r="U1626" s="278" t="s">
        <v>99</v>
      </c>
      <c r="V1626" s="278" t="s">
        <v>1984</v>
      </c>
      <c r="W1626" s="284"/>
      <c r="X1626" s="284"/>
      <c r="Y1626" s="445"/>
      <c r="Z1626" s="284"/>
      <c r="AA1626" s="285">
        <v>190500.0</v>
      </c>
      <c r="AB1626" s="285">
        <v>762000.0</v>
      </c>
      <c r="AC1626" s="446" t="s">
        <v>4378</v>
      </c>
      <c r="AD1626" s="278">
        <v>16842.0</v>
      </c>
      <c r="AE1626" s="283"/>
      <c r="AF1626" s="447" t="str">
        <f t="shared" si="1"/>
        <v>Capital Federal, Argentina</v>
      </c>
      <c r="AG1626" s="278">
        <f t="shared" si="2"/>
        <v>2</v>
      </c>
      <c r="AH1626" s="449">
        <f t="shared" si="17"/>
        <v>0</v>
      </c>
      <c r="AI1626" s="449">
        <f t="shared" si="12"/>
        <v>0</v>
      </c>
      <c r="AJ1626" s="450">
        <f t="shared" si="5"/>
        <v>952500</v>
      </c>
      <c r="AK1626" s="450">
        <f t="shared" si="18"/>
        <v>952500</v>
      </c>
      <c r="AL1626" s="287"/>
      <c r="AM1626" s="287"/>
    </row>
    <row r="1627">
      <c r="A1627" s="278">
        <v>1626.0</v>
      </c>
      <c r="B1627" s="279">
        <v>45625.0</v>
      </c>
      <c r="C1627" s="283"/>
      <c r="D1627" s="441" t="s">
        <v>4301</v>
      </c>
      <c r="E1627" s="442" t="s">
        <v>4302</v>
      </c>
      <c r="F1627" s="280" t="s">
        <v>3490</v>
      </c>
      <c r="G1627" s="278" t="s">
        <v>64</v>
      </c>
      <c r="H1627" s="278" t="s">
        <v>41</v>
      </c>
      <c r="I1627" s="278" t="s">
        <v>42</v>
      </c>
      <c r="J1627" s="282"/>
      <c r="K1627" s="443"/>
      <c r="L1627" s="282"/>
      <c r="M1627" s="282"/>
      <c r="N1627" s="282"/>
      <c r="O1627" s="282"/>
      <c r="P1627" s="281">
        <v>1.0</v>
      </c>
      <c r="Q1627" s="283"/>
      <c r="R1627" s="444"/>
      <c r="S1627" s="442" t="s">
        <v>89</v>
      </c>
      <c r="T1627" s="278" t="s">
        <v>83</v>
      </c>
      <c r="U1627" s="278" t="s">
        <v>99</v>
      </c>
      <c r="V1627" s="278" t="s">
        <v>2922</v>
      </c>
      <c r="W1627" s="284"/>
      <c r="X1627" s="284"/>
      <c r="Y1627" s="445"/>
      <c r="Z1627" s="284"/>
      <c r="AA1627" s="285">
        <v>127000.0</v>
      </c>
      <c r="AB1627" s="285">
        <v>508000.0</v>
      </c>
      <c r="AC1627" s="446" t="s">
        <v>4379</v>
      </c>
      <c r="AD1627" s="278">
        <v>16592.0</v>
      </c>
      <c r="AE1627" s="283"/>
      <c r="AF1627" s="447" t="str">
        <f t="shared" si="1"/>
        <v>Capital Federal, Argentina</v>
      </c>
      <c r="AG1627" s="278">
        <f t="shared" si="2"/>
        <v>1</v>
      </c>
      <c r="AH1627" s="449">
        <f t="shared" si="17"/>
        <v>0</v>
      </c>
      <c r="AI1627" s="449">
        <f t="shared" si="12"/>
        <v>0</v>
      </c>
      <c r="AJ1627" s="450">
        <f t="shared" si="5"/>
        <v>635000</v>
      </c>
      <c r="AK1627" s="450">
        <f t="shared" si="18"/>
        <v>635000</v>
      </c>
      <c r="AL1627" s="287"/>
      <c r="AM1627" s="287"/>
    </row>
    <row r="1628">
      <c r="A1628" s="278">
        <v>1627.0</v>
      </c>
      <c r="B1628" s="279">
        <v>45625.0</v>
      </c>
      <c r="C1628" s="283"/>
      <c r="D1628" s="441" t="s">
        <v>4301</v>
      </c>
      <c r="E1628" s="442" t="s">
        <v>4302</v>
      </c>
      <c r="F1628" s="280" t="s">
        <v>4380</v>
      </c>
      <c r="G1628" s="278" t="s">
        <v>64</v>
      </c>
      <c r="H1628" s="278" t="s">
        <v>41</v>
      </c>
      <c r="I1628" s="278" t="s">
        <v>643</v>
      </c>
      <c r="J1628" s="282"/>
      <c r="K1628" s="443"/>
      <c r="L1628" s="282"/>
      <c r="M1628" s="282"/>
      <c r="N1628" s="282"/>
      <c r="O1628" s="282"/>
      <c r="P1628" s="451"/>
      <c r="Q1628" s="283"/>
      <c r="R1628" s="444"/>
      <c r="S1628" s="442" t="s">
        <v>89</v>
      </c>
      <c r="T1628" s="278" t="s">
        <v>83</v>
      </c>
      <c r="U1628" s="278" t="s">
        <v>99</v>
      </c>
      <c r="V1628" s="278" t="s">
        <v>1984</v>
      </c>
      <c r="W1628" s="285">
        <v>237715.0</v>
      </c>
      <c r="X1628" s="285">
        <v>950860.0</v>
      </c>
      <c r="Y1628" s="445"/>
      <c r="Z1628" s="284"/>
      <c r="AA1628" s="285">
        <v>0.0</v>
      </c>
      <c r="AB1628" s="285">
        <v>0.0</v>
      </c>
      <c r="AC1628" s="446" t="s">
        <v>4381</v>
      </c>
      <c r="AD1628" s="278">
        <v>16830.0</v>
      </c>
      <c r="AE1628" s="283"/>
      <c r="AF1628" s="447" t="str">
        <f t="shared" si="1"/>
        <v>Capital Federal, Argentina</v>
      </c>
      <c r="AG1628" s="278">
        <f t="shared" si="2"/>
        <v>0</v>
      </c>
      <c r="AH1628" s="449">
        <f t="shared" si="17"/>
        <v>1188575</v>
      </c>
      <c r="AI1628" s="449">
        <f t="shared" si="12"/>
        <v>0</v>
      </c>
      <c r="AJ1628" s="450">
        <f t="shared" si="5"/>
        <v>0</v>
      </c>
      <c r="AK1628" s="450">
        <f t="shared" si="18"/>
        <v>1188575</v>
      </c>
      <c r="AL1628" s="287"/>
      <c r="AM1628" s="287"/>
    </row>
    <row r="1629">
      <c r="A1629" s="454">
        <v>1628.0</v>
      </c>
      <c r="B1629" s="455">
        <v>45628.0</v>
      </c>
      <c r="C1629" s="21"/>
      <c r="D1629" s="456" t="s">
        <v>3635</v>
      </c>
      <c r="E1629" s="457" t="s">
        <v>3636</v>
      </c>
      <c r="F1629" s="458" t="s">
        <v>4382</v>
      </c>
      <c r="G1629" s="454" t="s">
        <v>64</v>
      </c>
      <c r="H1629" s="454" t="s">
        <v>41</v>
      </c>
      <c r="I1629" s="454" t="s">
        <v>643</v>
      </c>
      <c r="J1629" s="20"/>
      <c r="K1629" s="459">
        <v>1.0</v>
      </c>
      <c r="L1629" s="20"/>
      <c r="M1629" s="20"/>
      <c r="N1629" s="20"/>
      <c r="O1629" s="20"/>
      <c r="P1629" s="460"/>
      <c r="Q1629" s="21"/>
      <c r="R1629" s="461"/>
      <c r="S1629" s="457" t="s">
        <v>189</v>
      </c>
      <c r="T1629" s="454" t="s">
        <v>73</v>
      </c>
      <c r="U1629" s="454" t="s">
        <v>99</v>
      </c>
      <c r="V1629" s="454" t="s">
        <v>1984</v>
      </c>
      <c r="W1629" s="22"/>
      <c r="X1629" s="22"/>
      <c r="Y1629" s="462"/>
      <c r="Z1629" s="22"/>
      <c r="AA1629" s="463">
        <v>98250.0</v>
      </c>
      <c r="AB1629" s="463">
        <v>343875.0</v>
      </c>
      <c r="AC1629" s="464" t="s">
        <v>4383</v>
      </c>
      <c r="AD1629" s="454">
        <v>16998.0</v>
      </c>
      <c r="AE1629" s="21"/>
      <c r="AF1629" s="465" t="str">
        <f t="shared" si="1"/>
        <v>Tierra de Fuego, Argentina</v>
      </c>
      <c r="AG1629" s="466">
        <f t="shared" si="2"/>
        <v>1</v>
      </c>
      <c r="AH1629" s="467">
        <f t="shared" si="17"/>
        <v>0</v>
      </c>
      <c r="AI1629" s="467">
        <f t="shared" si="12"/>
        <v>0</v>
      </c>
      <c r="AJ1629" s="468">
        <f t="shared" si="5"/>
        <v>442125</v>
      </c>
      <c r="AK1629" s="468">
        <f t="shared" si="18"/>
        <v>442125</v>
      </c>
      <c r="AL1629" s="26"/>
      <c r="AM1629" s="26"/>
    </row>
    <row r="1630">
      <c r="A1630" s="454">
        <v>1629.0</v>
      </c>
      <c r="B1630" s="455">
        <v>45631.0</v>
      </c>
      <c r="C1630" s="21"/>
      <c r="D1630" s="456" t="s">
        <v>1791</v>
      </c>
      <c r="E1630" s="457" t="s">
        <v>1792</v>
      </c>
      <c r="F1630" s="458" t="s">
        <v>4384</v>
      </c>
      <c r="G1630" s="454" t="s">
        <v>64</v>
      </c>
      <c r="H1630" s="454" t="s">
        <v>41</v>
      </c>
      <c r="I1630" s="454" t="s">
        <v>643</v>
      </c>
      <c r="J1630" s="20"/>
      <c r="K1630" s="469"/>
      <c r="L1630" s="20"/>
      <c r="M1630" s="20"/>
      <c r="N1630" s="20"/>
      <c r="O1630" s="20"/>
      <c r="P1630" s="460"/>
      <c r="Q1630" s="21"/>
      <c r="R1630" s="461"/>
      <c r="S1630" s="457" t="s">
        <v>72</v>
      </c>
      <c r="T1630" s="454" t="s">
        <v>66</v>
      </c>
      <c r="U1630" s="454" t="s">
        <v>99</v>
      </c>
      <c r="V1630" s="454" t="s">
        <v>1984</v>
      </c>
      <c r="W1630" s="22"/>
      <c r="X1630" s="22"/>
      <c r="Y1630" s="462"/>
      <c r="Z1630" s="22"/>
      <c r="AA1630" s="463">
        <v>0.0</v>
      </c>
      <c r="AB1630" s="463">
        <v>117900.0</v>
      </c>
      <c r="AC1630" s="464" t="s">
        <v>4385</v>
      </c>
      <c r="AD1630" s="454">
        <v>17002.0</v>
      </c>
      <c r="AE1630" s="21"/>
      <c r="AF1630" s="465" t="str">
        <f t="shared" si="1"/>
        <v>Buenos Aires, Argentina</v>
      </c>
      <c r="AG1630" s="466">
        <f t="shared" si="2"/>
        <v>0</v>
      </c>
      <c r="AH1630" s="467">
        <f t="shared" si="17"/>
        <v>0</v>
      </c>
      <c r="AI1630" s="467">
        <f t="shared" si="12"/>
        <v>0</v>
      </c>
      <c r="AJ1630" s="468">
        <f t="shared" si="5"/>
        <v>117900</v>
      </c>
      <c r="AK1630" s="468">
        <f t="shared" si="18"/>
        <v>117900</v>
      </c>
      <c r="AL1630" s="26"/>
      <c r="AM1630" s="26"/>
    </row>
    <row r="1631">
      <c r="A1631" s="454">
        <v>1630.0</v>
      </c>
      <c r="B1631" s="455">
        <v>45631.0</v>
      </c>
      <c r="C1631" s="21"/>
      <c r="D1631" s="456" t="s">
        <v>4040</v>
      </c>
      <c r="E1631" s="457" t="s">
        <v>4041</v>
      </c>
      <c r="F1631" s="458" t="s">
        <v>4386</v>
      </c>
      <c r="G1631" s="454" t="s">
        <v>64</v>
      </c>
      <c r="H1631" s="454" t="s">
        <v>41</v>
      </c>
      <c r="I1631" s="454" t="s">
        <v>42</v>
      </c>
      <c r="J1631" s="470">
        <v>1.0</v>
      </c>
      <c r="K1631" s="470">
        <v>1.0</v>
      </c>
      <c r="L1631" s="20"/>
      <c r="M1631" s="20"/>
      <c r="N1631" s="20"/>
      <c r="O1631" s="470">
        <v>1.0</v>
      </c>
      <c r="P1631" s="460"/>
      <c r="Q1631" s="21"/>
      <c r="R1631" s="461"/>
      <c r="S1631" s="457" t="s">
        <v>98</v>
      </c>
      <c r="T1631" s="454" t="s">
        <v>66</v>
      </c>
      <c r="U1631" s="454" t="s">
        <v>99</v>
      </c>
      <c r="V1631" s="454" t="s">
        <v>2922</v>
      </c>
      <c r="W1631" s="22"/>
      <c r="X1631" s="22"/>
      <c r="Y1631" s="462"/>
      <c r="Z1631" s="22"/>
      <c r="AA1631" s="463">
        <v>299300.0</v>
      </c>
      <c r="AB1631" s="463">
        <v>1047550.0</v>
      </c>
      <c r="AC1631" s="464" t="s">
        <v>4387</v>
      </c>
      <c r="AD1631" s="454">
        <v>17020.0</v>
      </c>
      <c r="AE1631" s="21"/>
      <c r="AF1631" s="465" t="str">
        <f t="shared" si="1"/>
        <v>Buenos Aires, Argentina</v>
      </c>
      <c r="AG1631" s="466">
        <f t="shared" si="2"/>
        <v>3</v>
      </c>
      <c r="AH1631" s="467">
        <f t="shared" si="17"/>
        <v>0</v>
      </c>
      <c r="AI1631" s="467">
        <f t="shared" si="12"/>
        <v>0</v>
      </c>
      <c r="AJ1631" s="468">
        <f t="shared" si="5"/>
        <v>1346850</v>
      </c>
      <c r="AK1631" s="468">
        <f t="shared" si="18"/>
        <v>1346850</v>
      </c>
      <c r="AL1631" s="26"/>
      <c r="AM1631" s="26"/>
    </row>
    <row r="1632">
      <c r="A1632" s="454">
        <v>1631.0</v>
      </c>
      <c r="B1632" s="455">
        <v>45632.0</v>
      </c>
      <c r="C1632" s="21"/>
      <c r="D1632" s="456" t="s">
        <v>3635</v>
      </c>
      <c r="E1632" s="457" t="s">
        <v>3636</v>
      </c>
      <c r="F1632" s="458" t="s">
        <v>1423</v>
      </c>
      <c r="G1632" s="454" t="s">
        <v>64</v>
      </c>
      <c r="H1632" s="454" t="s">
        <v>41</v>
      </c>
      <c r="I1632" s="454" t="s">
        <v>643</v>
      </c>
      <c r="J1632" s="470">
        <v>1.0</v>
      </c>
      <c r="K1632" s="469"/>
      <c r="L1632" s="20"/>
      <c r="M1632" s="20"/>
      <c r="N1632" s="20"/>
      <c r="O1632" s="20"/>
      <c r="P1632" s="460"/>
      <c r="Q1632" s="21"/>
      <c r="R1632" s="461"/>
      <c r="S1632" s="457" t="s">
        <v>189</v>
      </c>
      <c r="T1632" s="454" t="s">
        <v>73</v>
      </c>
      <c r="U1632" s="454" t="s">
        <v>99</v>
      </c>
      <c r="V1632" s="454" t="s">
        <v>1984</v>
      </c>
      <c r="W1632" s="22"/>
      <c r="X1632" s="22"/>
      <c r="Y1632" s="462"/>
      <c r="Z1632" s="22"/>
      <c r="AA1632" s="463">
        <v>131000.0</v>
      </c>
      <c r="AB1632" s="463">
        <v>114625.0</v>
      </c>
      <c r="AC1632" s="464" t="s">
        <v>4388</v>
      </c>
      <c r="AD1632" s="454">
        <v>17018.0</v>
      </c>
      <c r="AE1632" s="21"/>
      <c r="AF1632" s="465" t="str">
        <f t="shared" si="1"/>
        <v>Tierra de Fuego, Argentina</v>
      </c>
      <c r="AG1632" s="466">
        <f t="shared" si="2"/>
        <v>1</v>
      </c>
      <c r="AH1632" s="467">
        <f t="shared" si="17"/>
        <v>0</v>
      </c>
      <c r="AI1632" s="467">
        <f t="shared" si="12"/>
        <v>0</v>
      </c>
      <c r="AJ1632" s="468">
        <f t="shared" si="5"/>
        <v>245625</v>
      </c>
      <c r="AK1632" s="468">
        <f t="shared" si="18"/>
        <v>245625</v>
      </c>
      <c r="AL1632" s="26"/>
      <c r="AM1632" s="26"/>
    </row>
    <row r="1633">
      <c r="A1633" s="454">
        <v>1632.0</v>
      </c>
      <c r="B1633" s="455">
        <v>45635.0</v>
      </c>
      <c r="C1633" s="21"/>
      <c r="D1633" s="456" t="s">
        <v>4328</v>
      </c>
      <c r="E1633" s="457" t="s">
        <v>4025</v>
      </c>
      <c r="F1633" s="458" t="s">
        <v>4389</v>
      </c>
      <c r="G1633" s="454" t="s">
        <v>64</v>
      </c>
      <c r="H1633" s="454" t="s">
        <v>41</v>
      </c>
      <c r="I1633" s="454" t="s">
        <v>643</v>
      </c>
      <c r="J1633" s="20"/>
      <c r="K1633" s="469"/>
      <c r="L1633" s="20"/>
      <c r="M1633" s="20"/>
      <c r="N1633" s="20"/>
      <c r="O1633" s="20"/>
      <c r="P1633" s="460"/>
      <c r="Q1633" s="21"/>
      <c r="R1633" s="461"/>
      <c r="S1633" s="457" t="s">
        <v>114</v>
      </c>
      <c r="T1633" s="454" t="s">
        <v>66</v>
      </c>
      <c r="U1633" s="454" t="s">
        <v>99</v>
      </c>
      <c r="V1633" s="454" t="s">
        <v>1984</v>
      </c>
      <c r="W1633" s="22"/>
      <c r="X1633" s="22"/>
      <c r="Y1633" s="462"/>
      <c r="Z1633" s="22"/>
      <c r="AA1633" s="463">
        <v>0.0</v>
      </c>
      <c r="AB1633" s="463">
        <v>235800.0</v>
      </c>
      <c r="AC1633" s="464" t="s">
        <v>4390</v>
      </c>
      <c r="AD1633" s="454">
        <v>17032.0</v>
      </c>
      <c r="AE1633" s="21"/>
      <c r="AF1633" s="465" t="str">
        <f t="shared" si="1"/>
        <v>Buenos Aires, Argentina</v>
      </c>
      <c r="AG1633" s="466">
        <f t="shared" si="2"/>
        <v>0</v>
      </c>
      <c r="AH1633" s="467">
        <f t="shared" si="17"/>
        <v>0</v>
      </c>
      <c r="AI1633" s="467">
        <f t="shared" si="12"/>
        <v>0</v>
      </c>
      <c r="AJ1633" s="468">
        <f t="shared" si="5"/>
        <v>235800</v>
      </c>
      <c r="AK1633" s="468">
        <f t="shared" si="18"/>
        <v>235800</v>
      </c>
      <c r="AL1633" s="26"/>
      <c r="AM1633" s="26"/>
    </row>
    <row r="1634">
      <c r="A1634" s="454">
        <v>1633.0</v>
      </c>
      <c r="B1634" s="471">
        <v>45636.0</v>
      </c>
      <c r="C1634" s="21"/>
      <c r="D1634" s="456" t="s">
        <v>4033</v>
      </c>
      <c r="E1634" s="457" t="s">
        <v>3286</v>
      </c>
      <c r="F1634" s="458" t="s">
        <v>4382</v>
      </c>
      <c r="G1634" s="454" t="s">
        <v>64</v>
      </c>
      <c r="H1634" s="454" t="s">
        <v>41</v>
      </c>
      <c r="I1634" s="454" t="s">
        <v>643</v>
      </c>
      <c r="J1634" s="20"/>
      <c r="K1634" s="470">
        <v>1.0</v>
      </c>
      <c r="L1634" s="20"/>
      <c r="M1634" s="20"/>
      <c r="N1634" s="20"/>
      <c r="O1634" s="20"/>
      <c r="P1634" s="460"/>
      <c r="Q1634" s="21"/>
      <c r="R1634" s="461"/>
      <c r="S1634" s="457" t="s">
        <v>65</v>
      </c>
      <c r="T1634" s="454" t="s">
        <v>539</v>
      </c>
      <c r="U1634" s="454" t="s">
        <v>99</v>
      </c>
      <c r="V1634" s="454" t="s">
        <v>1984</v>
      </c>
      <c r="W1634" s="22"/>
      <c r="X1634" s="22"/>
      <c r="Y1634" s="462"/>
      <c r="Z1634" s="22"/>
      <c r="AA1634" s="463">
        <v>98250.0</v>
      </c>
      <c r="AB1634" s="463">
        <v>343875.0</v>
      </c>
      <c r="AC1634" s="464" t="s">
        <v>4391</v>
      </c>
      <c r="AD1634" s="454">
        <v>17040.0</v>
      </c>
      <c r="AE1634" s="21"/>
      <c r="AF1634" s="465" t="str">
        <f t="shared" si="1"/>
        <v>Misiones, Argentina</v>
      </c>
      <c r="AG1634" s="466">
        <f t="shared" si="2"/>
        <v>1</v>
      </c>
      <c r="AH1634" s="467">
        <f t="shared" si="17"/>
        <v>0</v>
      </c>
      <c r="AI1634" s="467">
        <f t="shared" si="12"/>
        <v>0</v>
      </c>
      <c r="AJ1634" s="468">
        <f t="shared" si="5"/>
        <v>442125</v>
      </c>
      <c r="AK1634" s="468">
        <f t="shared" si="18"/>
        <v>442125</v>
      </c>
      <c r="AL1634" s="26"/>
      <c r="AM1634" s="26"/>
    </row>
    <row r="1635">
      <c r="A1635" s="454">
        <v>1634.0</v>
      </c>
      <c r="B1635" s="455">
        <v>45637.0</v>
      </c>
      <c r="C1635" s="21"/>
      <c r="D1635" s="456" t="s">
        <v>4277</v>
      </c>
      <c r="E1635" s="457" t="s">
        <v>1796</v>
      </c>
      <c r="F1635" s="458" t="s">
        <v>4392</v>
      </c>
      <c r="G1635" s="454" t="s">
        <v>64</v>
      </c>
      <c r="H1635" s="454" t="s">
        <v>41</v>
      </c>
      <c r="I1635" s="454" t="s">
        <v>643</v>
      </c>
      <c r="J1635" s="20"/>
      <c r="K1635" s="469"/>
      <c r="L1635" s="20"/>
      <c r="M1635" s="20"/>
      <c r="N1635" s="20"/>
      <c r="O1635" s="20"/>
      <c r="P1635" s="460"/>
      <c r="Q1635" s="21"/>
      <c r="R1635" s="461"/>
      <c r="S1635" s="457" t="s">
        <v>89</v>
      </c>
      <c r="T1635" s="454" t="s">
        <v>83</v>
      </c>
      <c r="U1635" s="454" t="s">
        <v>99</v>
      </c>
      <c r="V1635" s="454" t="s">
        <v>1984</v>
      </c>
      <c r="W1635" s="22"/>
      <c r="X1635" s="22"/>
      <c r="Y1635" s="462"/>
      <c r="Z1635" s="22"/>
      <c r="AA1635" s="463">
        <v>0.0</v>
      </c>
      <c r="AB1635" s="463">
        <v>0.0</v>
      </c>
      <c r="AC1635" s="464" t="s">
        <v>4393</v>
      </c>
      <c r="AD1635" s="454">
        <v>17058.0</v>
      </c>
      <c r="AE1635" s="21"/>
      <c r="AF1635" s="465" t="str">
        <f t="shared" si="1"/>
        <v>Capital Federal, Argentina</v>
      </c>
      <c r="AG1635" s="466">
        <f t="shared" si="2"/>
        <v>0</v>
      </c>
      <c r="AH1635" s="467">
        <f t="shared" si="17"/>
        <v>0</v>
      </c>
      <c r="AI1635" s="467">
        <f t="shared" si="12"/>
        <v>0</v>
      </c>
      <c r="AJ1635" s="468">
        <f t="shared" si="5"/>
        <v>0</v>
      </c>
      <c r="AK1635" s="468">
        <f t="shared" si="18"/>
        <v>0</v>
      </c>
      <c r="AL1635" s="26"/>
      <c r="AM1635" s="26"/>
    </row>
    <row r="1636">
      <c r="A1636" s="454">
        <v>1635.0</v>
      </c>
      <c r="B1636" s="455">
        <v>45638.0</v>
      </c>
      <c r="C1636" s="21"/>
      <c r="D1636" s="456" t="s">
        <v>795</v>
      </c>
      <c r="E1636" s="457" t="s">
        <v>796</v>
      </c>
      <c r="F1636" s="458" t="s">
        <v>1427</v>
      </c>
      <c r="G1636" s="454" t="s">
        <v>64</v>
      </c>
      <c r="H1636" s="454" t="s">
        <v>41</v>
      </c>
      <c r="I1636" s="454" t="s">
        <v>643</v>
      </c>
      <c r="J1636" s="20"/>
      <c r="K1636" s="470">
        <v>2.0</v>
      </c>
      <c r="L1636" s="20"/>
      <c r="M1636" s="20"/>
      <c r="N1636" s="20"/>
      <c r="O1636" s="20"/>
      <c r="P1636" s="460"/>
      <c r="Q1636" s="21"/>
      <c r="R1636" s="461"/>
      <c r="S1636" s="457" t="s">
        <v>98</v>
      </c>
      <c r="T1636" s="454" t="s">
        <v>66</v>
      </c>
      <c r="U1636" s="454" t="s">
        <v>99</v>
      </c>
      <c r="V1636" s="454" t="s">
        <v>1984</v>
      </c>
      <c r="W1636" s="22"/>
      <c r="X1636" s="22"/>
      <c r="Y1636" s="462"/>
      <c r="Z1636" s="22"/>
      <c r="AA1636" s="463">
        <v>196500.0</v>
      </c>
      <c r="AB1636" s="463">
        <v>786000.0</v>
      </c>
      <c r="AC1636" s="464" t="s">
        <v>4394</v>
      </c>
      <c r="AD1636" s="454">
        <v>17140.0</v>
      </c>
      <c r="AE1636" s="21"/>
      <c r="AF1636" s="465" t="str">
        <f t="shared" si="1"/>
        <v>Buenos Aires, Argentina</v>
      </c>
      <c r="AG1636" s="466">
        <f t="shared" si="2"/>
        <v>2</v>
      </c>
      <c r="AH1636" s="467">
        <f t="shared" si="17"/>
        <v>0</v>
      </c>
      <c r="AI1636" s="467">
        <f t="shared" si="12"/>
        <v>0</v>
      </c>
      <c r="AJ1636" s="468">
        <f t="shared" si="5"/>
        <v>982500</v>
      </c>
      <c r="AK1636" s="468">
        <f t="shared" si="18"/>
        <v>982500</v>
      </c>
      <c r="AL1636" s="26"/>
      <c r="AM1636" s="26"/>
    </row>
    <row r="1637">
      <c r="A1637" s="454">
        <v>1636.0</v>
      </c>
      <c r="B1637" s="455">
        <v>45642.0</v>
      </c>
      <c r="C1637" s="21"/>
      <c r="D1637" s="456" t="s">
        <v>4208</v>
      </c>
      <c r="E1637" s="457" t="s">
        <v>3360</v>
      </c>
      <c r="F1637" s="458" t="s">
        <v>1463</v>
      </c>
      <c r="G1637" s="454" t="s">
        <v>64</v>
      </c>
      <c r="H1637" s="454" t="s">
        <v>41</v>
      </c>
      <c r="I1637" s="454" t="s">
        <v>643</v>
      </c>
      <c r="J1637" s="470">
        <v>1.0</v>
      </c>
      <c r="K1637" s="470">
        <v>2.0</v>
      </c>
      <c r="L1637" s="20"/>
      <c r="M1637" s="20"/>
      <c r="N1637" s="20"/>
      <c r="O1637" s="20"/>
      <c r="P1637" s="460"/>
      <c r="Q1637" s="21"/>
      <c r="R1637" s="461"/>
      <c r="S1637" s="457" t="s">
        <v>276</v>
      </c>
      <c r="T1637" s="454" t="s">
        <v>52</v>
      </c>
      <c r="U1637" s="454" t="s">
        <v>99</v>
      </c>
      <c r="V1637" s="454" t="s">
        <v>1984</v>
      </c>
      <c r="W1637" s="22"/>
      <c r="X1637" s="22"/>
      <c r="Y1637" s="462"/>
      <c r="Z1637" s="22"/>
      <c r="AA1637" s="463">
        <v>327500.0</v>
      </c>
      <c r="AB1637" s="463">
        <v>1310000.0</v>
      </c>
      <c r="AC1637" s="464" t="s">
        <v>4395</v>
      </c>
      <c r="AD1637" s="454">
        <v>17136.0</v>
      </c>
      <c r="AE1637" s="21"/>
      <c r="AF1637" s="465" t="str">
        <f t="shared" si="1"/>
        <v>San Luis, Argentina</v>
      </c>
      <c r="AG1637" s="466">
        <f t="shared" si="2"/>
        <v>3</v>
      </c>
      <c r="AH1637" s="467">
        <f t="shared" si="17"/>
        <v>0</v>
      </c>
      <c r="AI1637" s="467">
        <f t="shared" si="12"/>
        <v>0</v>
      </c>
      <c r="AJ1637" s="468">
        <f t="shared" si="5"/>
        <v>1637500</v>
      </c>
      <c r="AK1637" s="468">
        <f t="shared" si="18"/>
        <v>1637500</v>
      </c>
      <c r="AL1637" s="26"/>
      <c r="AM1637" s="26"/>
    </row>
    <row r="1638">
      <c r="A1638" s="454">
        <v>1637.0</v>
      </c>
      <c r="B1638" s="455">
        <v>45643.0</v>
      </c>
      <c r="C1638" s="21"/>
      <c r="D1638" s="456" t="s">
        <v>3794</v>
      </c>
      <c r="E1638" s="457" t="s">
        <v>3043</v>
      </c>
      <c r="F1638" s="458" t="s">
        <v>1423</v>
      </c>
      <c r="G1638" s="454" t="s">
        <v>64</v>
      </c>
      <c r="H1638" s="454" t="s">
        <v>41</v>
      </c>
      <c r="I1638" s="454" t="s">
        <v>643</v>
      </c>
      <c r="J1638" s="470">
        <v>1.0</v>
      </c>
      <c r="K1638" s="469"/>
      <c r="L1638" s="20"/>
      <c r="M1638" s="20"/>
      <c r="N1638" s="20"/>
      <c r="O1638" s="20"/>
      <c r="P1638" s="460"/>
      <c r="Q1638" s="21"/>
      <c r="R1638" s="461"/>
      <c r="S1638" s="457" t="s">
        <v>114</v>
      </c>
      <c r="T1638" s="454" t="s">
        <v>66</v>
      </c>
      <c r="U1638" s="454" t="s">
        <v>99</v>
      </c>
      <c r="V1638" s="454" t="s">
        <v>1984</v>
      </c>
      <c r="W1638" s="22"/>
      <c r="X1638" s="22"/>
      <c r="Y1638" s="462"/>
      <c r="Z1638" s="22"/>
      <c r="AA1638" s="463">
        <v>131000.0</v>
      </c>
      <c r="AB1638" s="463">
        <v>589500.0</v>
      </c>
      <c r="AC1638" s="464" t="s">
        <v>4396</v>
      </c>
      <c r="AD1638" s="454">
        <v>17138.0</v>
      </c>
      <c r="AE1638" s="21"/>
      <c r="AF1638" s="465" t="str">
        <f t="shared" si="1"/>
        <v>Buenos Aires, Argentina</v>
      </c>
      <c r="AG1638" s="466">
        <f t="shared" si="2"/>
        <v>1</v>
      </c>
      <c r="AH1638" s="467">
        <f t="shared" si="17"/>
        <v>0</v>
      </c>
      <c r="AI1638" s="467">
        <f t="shared" si="12"/>
        <v>0</v>
      </c>
      <c r="AJ1638" s="468">
        <f t="shared" si="5"/>
        <v>720500</v>
      </c>
      <c r="AK1638" s="468">
        <f t="shared" si="18"/>
        <v>720500</v>
      </c>
      <c r="AL1638" s="26"/>
      <c r="AM1638" s="26"/>
    </row>
    <row r="1639">
      <c r="A1639" s="454">
        <v>1638.0</v>
      </c>
      <c r="B1639" s="455">
        <v>45650.0</v>
      </c>
      <c r="C1639" s="21"/>
      <c r="D1639" s="456" t="s">
        <v>2163</v>
      </c>
      <c r="E1639" s="457" t="s">
        <v>2255</v>
      </c>
      <c r="F1639" s="458" t="s">
        <v>3079</v>
      </c>
      <c r="G1639" s="454" t="s">
        <v>64</v>
      </c>
      <c r="H1639" s="454" t="s">
        <v>41</v>
      </c>
      <c r="I1639" s="454" t="s">
        <v>643</v>
      </c>
      <c r="J1639" s="20"/>
      <c r="K1639" s="469"/>
      <c r="L1639" s="20"/>
      <c r="M1639" s="20"/>
      <c r="N1639" s="20"/>
      <c r="O1639" s="20"/>
      <c r="P1639" s="460"/>
      <c r="Q1639" s="21"/>
      <c r="R1639" s="461"/>
      <c r="S1639" s="457" t="s">
        <v>65</v>
      </c>
      <c r="T1639" s="454" t="s">
        <v>66</v>
      </c>
      <c r="U1639" s="454" t="s">
        <v>99</v>
      </c>
      <c r="V1639" s="454" t="s">
        <v>1984</v>
      </c>
      <c r="W1639" s="22"/>
      <c r="X1639" s="22"/>
      <c r="Y1639" s="462"/>
      <c r="Z1639" s="22"/>
      <c r="AA1639" s="463">
        <v>0.0</v>
      </c>
      <c r="AB1639" s="463">
        <v>1131840.0</v>
      </c>
      <c r="AC1639" s="464" t="s">
        <v>4397</v>
      </c>
      <c r="AD1639" s="454">
        <v>17232.0</v>
      </c>
      <c r="AE1639" s="21"/>
      <c r="AF1639" s="465" t="str">
        <f t="shared" si="1"/>
        <v>Buenos Aires, Argentina</v>
      </c>
      <c r="AG1639" s="466">
        <f t="shared" si="2"/>
        <v>0</v>
      </c>
      <c r="AH1639" s="467">
        <f t="shared" si="17"/>
        <v>0</v>
      </c>
      <c r="AI1639" s="467">
        <f t="shared" si="12"/>
        <v>0</v>
      </c>
      <c r="AJ1639" s="468">
        <f t="shared" si="5"/>
        <v>1131840</v>
      </c>
      <c r="AK1639" s="468">
        <f t="shared" si="18"/>
        <v>1131840</v>
      </c>
      <c r="AL1639" s="26"/>
      <c r="AM1639" s="26"/>
    </row>
    <row r="1640">
      <c r="A1640" s="454">
        <v>1639.0</v>
      </c>
      <c r="B1640" s="455">
        <v>45650.0</v>
      </c>
      <c r="C1640" s="21"/>
      <c r="D1640" s="456" t="s">
        <v>4398</v>
      </c>
      <c r="E1640" s="457" t="s">
        <v>4399</v>
      </c>
      <c r="F1640" s="458" t="s">
        <v>4400</v>
      </c>
      <c r="G1640" s="454" t="s">
        <v>64</v>
      </c>
      <c r="H1640" s="454" t="s">
        <v>41</v>
      </c>
      <c r="I1640" s="454" t="s">
        <v>643</v>
      </c>
      <c r="J1640" s="20"/>
      <c r="K1640" s="469"/>
      <c r="L1640" s="20"/>
      <c r="M1640" s="20"/>
      <c r="N1640" s="20"/>
      <c r="O1640" s="20"/>
      <c r="P1640" s="460"/>
      <c r="Q1640" s="21"/>
      <c r="R1640" s="461"/>
      <c r="S1640" s="457" t="s">
        <v>72</v>
      </c>
      <c r="T1640" s="454" t="s">
        <v>66</v>
      </c>
      <c r="U1640" s="454" t="s">
        <v>99</v>
      </c>
      <c r="V1640" s="454" t="s">
        <v>1984</v>
      </c>
      <c r="W1640" s="22"/>
      <c r="X1640" s="22"/>
      <c r="Y1640" s="462"/>
      <c r="Z1640" s="22"/>
      <c r="AA1640" s="463">
        <v>0.0</v>
      </c>
      <c r="AB1640" s="463">
        <v>235800.0</v>
      </c>
      <c r="AC1640" s="464" t="s">
        <v>4401</v>
      </c>
      <c r="AD1640" s="454">
        <v>17162.0</v>
      </c>
      <c r="AE1640" s="21"/>
      <c r="AF1640" s="465" t="str">
        <f t="shared" si="1"/>
        <v>Buenos Aires, Argentina</v>
      </c>
      <c r="AG1640" s="466">
        <f t="shared" si="2"/>
        <v>0</v>
      </c>
      <c r="AH1640" s="467">
        <f t="shared" si="17"/>
        <v>0</v>
      </c>
      <c r="AI1640" s="467">
        <f t="shared" si="12"/>
        <v>0</v>
      </c>
      <c r="AJ1640" s="468">
        <f t="shared" si="5"/>
        <v>235800</v>
      </c>
      <c r="AK1640" s="468">
        <f t="shared" si="18"/>
        <v>235800</v>
      </c>
      <c r="AL1640" s="26"/>
      <c r="AM1640" s="26"/>
    </row>
    <row r="1641">
      <c r="A1641" s="454">
        <v>1640.0</v>
      </c>
      <c r="B1641" s="471">
        <v>45652.0</v>
      </c>
      <c r="C1641" s="21"/>
      <c r="D1641" s="456" t="s">
        <v>795</v>
      </c>
      <c r="E1641" s="457" t="s">
        <v>796</v>
      </c>
      <c r="F1641" s="458" t="s">
        <v>1423</v>
      </c>
      <c r="G1641" s="454" t="s">
        <v>64</v>
      </c>
      <c r="H1641" s="454" t="s">
        <v>41</v>
      </c>
      <c r="I1641" s="454" t="s">
        <v>643</v>
      </c>
      <c r="J1641" s="470">
        <v>1.0</v>
      </c>
      <c r="K1641" s="469"/>
      <c r="L1641" s="20"/>
      <c r="M1641" s="20"/>
      <c r="N1641" s="20"/>
      <c r="O1641" s="20"/>
      <c r="P1641" s="460"/>
      <c r="Q1641" s="21"/>
      <c r="R1641" s="461"/>
      <c r="S1641" s="457" t="s">
        <v>98</v>
      </c>
      <c r="T1641" s="454" t="s">
        <v>66</v>
      </c>
      <c r="U1641" s="454" t="s">
        <v>99</v>
      </c>
      <c r="V1641" s="454" t="s">
        <v>1984</v>
      </c>
      <c r="W1641" s="22"/>
      <c r="X1641" s="22"/>
      <c r="Y1641" s="462"/>
      <c r="Z1641" s="22"/>
      <c r="AA1641" s="463">
        <v>131000.0</v>
      </c>
      <c r="AB1641" s="463">
        <v>524000.0</v>
      </c>
      <c r="AC1641" s="464" t="s">
        <v>4402</v>
      </c>
      <c r="AD1641" s="454">
        <v>17210.0</v>
      </c>
      <c r="AE1641" s="21"/>
      <c r="AF1641" s="465" t="str">
        <f t="shared" si="1"/>
        <v>Buenos Aires, Argentina</v>
      </c>
      <c r="AG1641" s="466">
        <f t="shared" si="2"/>
        <v>1</v>
      </c>
      <c r="AH1641" s="467">
        <f t="shared" si="17"/>
        <v>0</v>
      </c>
      <c r="AI1641" s="467">
        <f t="shared" si="12"/>
        <v>0</v>
      </c>
      <c r="AJ1641" s="468">
        <f t="shared" si="5"/>
        <v>655000</v>
      </c>
      <c r="AK1641" s="472">
        <f t="shared" si="18"/>
        <v>655000</v>
      </c>
      <c r="AL1641" s="26"/>
      <c r="AM1641" s="26"/>
    </row>
    <row r="1642">
      <c r="A1642" s="454">
        <v>1641.0</v>
      </c>
      <c r="B1642" s="455">
        <v>45657.0</v>
      </c>
      <c r="C1642" s="21"/>
      <c r="D1642" s="456" t="s">
        <v>3261</v>
      </c>
      <c r="E1642" s="457" t="s">
        <v>3262</v>
      </c>
      <c r="F1642" s="458" t="s">
        <v>1415</v>
      </c>
      <c r="G1642" s="454" t="s">
        <v>64</v>
      </c>
      <c r="H1642" s="454" t="s">
        <v>41</v>
      </c>
      <c r="I1642" s="454" t="s">
        <v>643</v>
      </c>
      <c r="J1642" s="20"/>
      <c r="K1642" s="470">
        <v>1.0</v>
      </c>
      <c r="L1642" s="20"/>
      <c r="M1642" s="20"/>
      <c r="N1642" s="20"/>
      <c r="O1642" s="20"/>
      <c r="P1642" s="460"/>
      <c r="Q1642" s="21"/>
      <c r="R1642" s="461"/>
      <c r="S1642" s="457" t="s">
        <v>89</v>
      </c>
      <c r="T1642" s="454" t="s">
        <v>66</v>
      </c>
      <c r="U1642" s="454" t="s">
        <v>99</v>
      </c>
      <c r="V1642" s="454" t="s">
        <v>1984</v>
      </c>
      <c r="W1642" s="22"/>
      <c r="X1642" s="22"/>
      <c r="Y1642" s="462"/>
      <c r="Z1642" s="22"/>
      <c r="AA1642" s="463">
        <v>98250.0</v>
      </c>
      <c r="AB1642" s="463">
        <v>393000.0</v>
      </c>
      <c r="AC1642" s="464" t="s">
        <v>4403</v>
      </c>
      <c r="AD1642" s="454">
        <v>17110.0</v>
      </c>
      <c r="AE1642" s="21"/>
      <c r="AF1642" s="465" t="str">
        <f t="shared" si="1"/>
        <v>Buenos Aires, Argentina</v>
      </c>
      <c r="AG1642" s="466">
        <f t="shared" si="2"/>
        <v>1</v>
      </c>
      <c r="AH1642" s="467">
        <f t="shared" si="17"/>
        <v>0</v>
      </c>
      <c r="AI1642" s="467">
        <f t="shared" si="12"/>
        <v>0</v>
      </c>
      <c r="AJ1642" s="468">
        <f t="shared" si="5"/>
        <v>491250</v>
      </c>
      <c r="AK1642" s="468">
        <f t="shared" si="18"/>
        <v>491250</v>
      </c>
      <c r="AL1642" s="26"/>
      <c r="AM1642" s="26"/>
    </row>
    <row r="1643">
      <c r="A1643" s="454">
        <v>1642.0</v>
      </c>
      <c r="B1643" s="455">
        <v>45657.0</v>
      </c>
      <c r="C1643" s="21"/>
      <c r="D1643" s="456" t="s">
        <v>795</v>
      </c>
      <c r="E1643" s="457" t="s">
        <v>796</v>
      </c>
      <c r="F1643" s="458" t="s">
        <v>1423</v>
      </c>
      <c r="G1643" s="454" t="s">
        <v>64</v>
      </c>
      <c r="H1643" s="454" t="s">
        <v>41</v>
      </c>
      <c r="I1643" s="454" t="s">
        <v>643</v>
      </c>
      <c r="J1643" s="470">
        <v>1.0</v>
      </c>
      <c r="K1643" s="469"/>
      <c r="L1643" s="20"/>
      <c r="M1643" s="20"/>
      <c r="N1643" s="20"/>
      <c r="O1643" s="20"/>
      <c r="P1643" s="460"/>
      <c r="Q1643" s="21"/>
      <c r="R1643" s="461"/>
      <c r="S1643" s="457" t="s">
        <v>98</v>
      </c>
      <c r="T1643" s="454" t="s">
        <v>66</v>
      </c>
      <c r="U1643" s="454" t="s">
        <v>99</v>
      </c>
      <c r="V1643" s="454" t="s">
        <v>1984</v>
      </c>
      <c r="W1643" s="22"/>
      <c r="X1643" s="22"/>
      <c r="Y1643" s="462"/>
      <c r="Z1643" s="22"/>
      <c r="AA1643" s="463">
        <v>131000.0</v>
      </c>
      <c r="AB1643" s="463">
        <v>524000.0</v>
      </c>
      <c r="AC1643" s="464" t="s">
        <v>4404</v>
      </c>
      <c r="AD1643" s="454">
        <v>17480.0</v>
      </c>
      <c r="AE1643" s="21"/>
      <c r="AF1643" s="465" t="str">
        <f t="shared" si="1"/>
        <v>Buenos Aires, Argentina</v>
      </c>
      <c r="AG1643" s="466">
        <f t="shared" si="2"/>
        <v>1</v>
      </c>
      <c r="AH1643" s="467">
        <f t="shared" si="17"/>
        <v>0</v>
      </c>
      <c r="AI1643" s="467">
        <f t="shared" si="12"/>
        <v>0</v>
      </c>
      <c r="AJ1643" s="468">
        <f t="shared" si="5"/>
        <v>655000</v>
      </c>
      <c r="AK1643" s="468">
        <f t="shared" si="18"/>
        <v>655000</v>
      </c>
      <c r="AL1643" s="26"/>
      <c r="AM1643" s="26"/>
    </row>
    <row r="1644">
      <c r="A1644" s="454">
        <v>1643.0</v>
      </c>
      <c r="B1644" s="455">
        <v>45657.0</v>
      </c>
      <c r="C1644" s="21"/>
      <c r="D1644" s="456" t="s">
        <v>4044</v>
      </c>
      <c r="E1644" s="457" t="s">
        <v>4045</v>
      </c>
      <c r="F1644" s="458" t="s">
        <v>1423</v>
      </c>
      <c r="G1644" s="454" t="s">
        <v>64</v>
      </c>
      <c r="H1644" s="454" t="s">
        <v>41</v>
      </c>
      <c r="I1644" s="454" t="s">
        <v>643</v>
      </c>
      <c r="J1644" s="470">
        <v>1.0</v>
      </c>
      <c r="K1644" s="469"/>
      <c r="L1644" s="20"/>
      <c r="M1644" s="20"/>
      <c r="N1644" s="20"/>
      <c r="O1644" s="20"/>
      <c r="P1644" s="460"/>
      <c r="Q1644" s="21"/>
      <c r="R1644" s="461"/>
      <c r="S1644" s="457" t="s">
        <v>43</v>
      </c>
      <c r="T1644" s="454" t="s">
        <v>66</v>
      </c>
      <c r="U1644" s="454" t="s">
        <v>99</v>
      </c>
      <c r="V1644" s="454" t="s">
        <v>1984</v>
      </c>
      <c r="W1644" s="22"/>
      <c r="X1644" s="22"/>
      <c r="Y1644" s="462"/>
      <c r="Z1644" s="22"/>
      <c r="AA1644" s="463">
        <v>134000.0</v>
      </c>
      <c r="AB1644" s="463">
        <v>603000.0</v>
      </c>
      <c r="AC1644" s="464" t="s">
        <v>4405</v>
      </c>
      <c r="AD1644" s="454">
        <v>17474.0</v>
      </c>
      <c r="AE1644" s="21"/>
      <c r="AF1644" s="465" t="str">
        <f t="shared" si="1"/>
        <v>Buenos Aires, Argentina</v>
      </c>
      <c r="AG1644" s="466">
        <f t="shared" si="2"/>
        <v>1</v>
      </c>
      <c r="AH1644" s="467">
        <f t="shared" si="17"/>
        <v>0</v>
      </c>
      <c r="AI1644" s="467">
        <f t="shared" si="12"/>
        <v>0</v>
      </c>
      <c r="AJ1644" s="468">
        <f t="shared" si="5"/>
        <v>737000</v>
      </c>
      <c r="AK1644" s="468">
        <f t="shared" si="18"/>
        <v>737000</v>
      </c>
      <c r="AL1644" s="26"/>
      <c r="AM1644" s="26"/>
    </row>
    <row r="1645">
      <c r="A1645" s="454">
        <v>1644.0</v>
      </c>
      <c r="B1645" s="455">
        <v>45657.0</v>
      </c>
      <c r="C1645" s="21"/>
      <c r="D1645" s="456" t="s">
        <v>4208</v>
      </c>
      <c r="E1645" s="457" t="s">
        <v>3360</v>
      </c>
      <c r="F1645" s="458" t="s">
        <v>1507</v>
      </c>
      <c r="G1645" s="454" t="s">
        <v>64</v>
      </c>
      <c r="H1645" s="454" t="s">
        <v>41</v>
      </c>
      <c r="I1645" s="454" t="s">
        <v>643</v>
      </c>
      <c r="J1645" s="20"/>
      <c r="K1645" s="469"/>
      <c r="L1645" s="473">
        <v>1.0</v>
      </c>
      <c r="M1645" s="20"/>
      <c r="N1645" s="20"/>
      <c r="O1645" s="20"/>
      <c r="P1645" s="460"/>
      <c r="Q1645" s="21"/>
      <c r="R1645" s="461"/>
      <c r="S1645" s="457" t="s">
        <v>276</v>
      </c>
      <c r="T1645" s="454" t="s">
        <v>52</v>
      </c>
      <c r="U1645" s="454" t="s">
        <v>99</v>
      </c>
      <c r="V1645" s="454" t="s">
        <v>1984</v>
      </c>
      <c r="W1645" s="22"/>
      <c r="X1645" s="22"/>
      <c r="Y1645" s="462"/>
      <c r="Z1645" s="22"/>
      <c r="AA1645" s="463">
        <v>45850.0</v>
      </c>
      <c r="AB1645" s="463">
        <v>160475.0</v>
      </c>
      <c r="AC1645" s="464" t="s">
        <v>4406</v>
      </c>
      <c r="AD1645" s="454">
        <v>17192.0</v>
      </c>
      <c r="AE1645" s="21"/>
      <c r="AF1645" s="465" t="str">
        <f t="shared" si="1"/>
        <v>San Luis, Argentina</v>
      </c>
      <c r="AG1645" s="466">
        <f t="shared" si="2"/>
        <v>1</v>
      </c>
      <c r="AH1645" s="467">
        <f t="shared" si="17"/>
        <v>0</v>
      </c>
      <c r="AI1645" s="467">
        <f t="shared" si="12"/>
        <v>0</v>
      </c>
      <c r="AJ1645" s="468">
        <f t="shared" si="5"/>
        <v>206325</v>
      </c>
      <c r="AK1645" s="468">
        <f t="shared" si="18"/>
        <v>206325</v>
      </c>
      <c r="AL1645" s="26"/>
      <c r="AM1645" s="26"/>
    </row>
    <row r="1646">
      <c r="A1646" s="454">
        <v>1645.0</v>
      </c>
      <c r="B1646" s="455">
        <v>45657.0</v>
      </c>
      <c r="C1646" s="21"/>
      <c r="D1646" s="456" t="s">
        <v>4407</v>
      </c>
      <c r="E1646" s="457" t="s">
        <v>4408</v>
      </c>
      <c r="F1646" s="458" t="s">
        <v>4409</v>
      </c>
      <c r="G1646" s="454" t="s">
        <v>40</v>
      </c>
      <c r="H1646" s="454" t="s">
        <v>41</v>
      </c>
      <c r="I1646" s="454" t="s">
        <v>643</v>
      </c>
      <c r="J1646" s="470">
        <v>1.0</v>
      </c>
      <c r="K1646" s="470">
        <v>2.0</v>
      </c>
      <c r="L1646" s="20"/>
      <c r="M1646" s="470">
        <v>1.0</v>
      </c>
      <c r="N1646" s="20"/>
      <c r="O1646" s="20"/>
      <c r="P1646" s="460"/>
      <c r="Q1646" s="21"/>
      <c r="R1646" s="461"/>
      <c r="S1646" s="457" t="s">
        <v>167</v>
      </c>
      <c r="T1646" s="454" t="s">
        <v>497</v>
      </c>
      <c r="U1646" s="454" t="s">
        <v>45</v>
      </c>
      <c r="V1646" s="454" t="s">
        <v>2922</v>
      </c>
      <c r="W1646" s="22"/>
      <c r="X1646" s="22"/>
      <c r="Y1646" s="462"/>
      <c r="Z1646" s="22"/>
      <c r="AA1646" s="463">
        <v>335000.0</v>
      </c>
      <c r="AB1646" s="463">
        <v>1256250.0</v>
      </c>
      <c r="AC1646" s="464" t="s">
        <v>4410</v>
      </c>
      <c r="AD1646" s="454">
        <v>17316.0</v>
      </c>
      <c r="AE1646" s="21"/>
      <c r="AF1646" s="465" t="str">
        <f t="shared" si="1"/>
        <v>Tucumán, Argentina</v>
      </c>
      <c r="AG1646" s="466">
        <f t="shared" si="2"/>
        <v>4</v>
      </c>
      <c r="AH1646" s="467">
        <f t="shared" si="17"/>
        <v>0</v>
      </c>
      <c r="AI1646" s="467">
        <f t="shared" si="12"/>
        <v>0</v>
      </c>
      <c r="AJ1646" s="468">
        <f t="shared" si="5"/>
        <v>1591250</v>
      </c>
      <c r="AK1646" s="468">
        <f t="shared" si="18"/>
        <v>1591250</v>
      </c>
      <c r="AL1646" s="26"/>
      <c r="AM1646" s="26"/>
    </row>
    <row r="1647">
      <c r="A1647" s="454">
        <v>1646.0</v>
      </c>
      <c r="B1647" s="455">
        <v>45657.0</v>
      </c>
      <c r="C1647" s="21"/>
      <c r="D1647" s="456" t="s">
        <v>3992</v>
      </c>
      <c r="E1647" s="457" t="s">
        <v>3993</v>
      </c>
      <c r="F1647" s="458" t="s">
        <v>2327</v>
      </c>
      <c r="G1647" s="454" t="s">
        <v>64</v>
      </c>
      <c r="H1647" s="454" t="s">
        <v>547</v>
      </c>
      <c r="I1647" s="454" t="s">
        <v>643</v>
      </c>
      <c r="J1647" s="470">
        <v>1.0</v>
      </c>
      <c r="K1647" s="469"/>
      <c r="L1647" s="20"/>
      <c r="M1647" s="470">
        <v>1.0</v>
      </c>
      <c r="N1647" s="20"/>
      <c r="O1647" s="20"/>
      <c r="P1647" s="460"/>
      <c r="Q1647" s="21"/>
      <c r="R1647" s="461"/>
      <c r="S1647" s="457" t="s">
        <v>167</v>
      </c>
      <c r="T1647" s="454" t="s">
        <v>66</v>
      </c>
      <c r="U1647" s="454" t="s">
        <v>99</v>
      </c>
      <c r="V1647" s="454" t="s">
        <v>1984</v>
      </c>
      <c r="W1647" s="22"/>
      <c r="X1647" s="22"/>
      <c r="Y1647" s="462"/>
      <c r="Z1647" s="22"/>
      <c r="AA1647" s="463">
        <v>100870.0</v>
      </c>
      <c r="AB1647" s="463">
        <v>0.0</v>
      </c>
      <c r="AC1647" s="464" t="s">
        <v>4411</v>
      </c>
      <c r="AD1647" s="454">
        <v>17176.0</v>
      </c>
      <c r="AE1647" s="21"/>
      <c r="AF1647" s="465" t="str">
        <f t="shared" si="1"/>
        <v>Buenos Aires, Argentina</v>
      </c>
      <c r="AG1647" s="466">
        <f t="shared" si="2"/>
        <v>2</v>
      </c>
      <c r="AH1647" s="467">
        <f t="shared" si="17"/>
        <v>0</v>
      </c>
      <c r="AI1647" s="467">
        <f t="shared" si="12"/>
        <v>0</v>
      </c>
      <c r="AJ1647" s="468">
        <f t="shared" si="5"/>
        <v>100870</v>
      </c>
      <c r="AK1647" s="468">
        <f t="shared" si="18"/>
        <v>100870</v>
      </c>
      <c r="AL1647" s="26"/>
      <c r="AM1647" s="26"/>
    </row>
    <row r="1648">
      <c r="A1648" s="474">
        <v>1647.0</v>
      </c>
      <c r="B1648" s="475">
        <v>45666.0</v>
      </c>
      <c r="C1648" s="476"/>
      <c r="D1648" s="477" t="s">
        <v>4412</v>
      </c>
      <c r="E1648" s="478" t="s">
        <v>3822</v>
      </c>
      <c r="F1648" s="479" t="s">
        <v>1423</v>
      </c>
      <c r="G1648" s="474" t="s">
        <v>64</v>
      </c>
      <c r="H1648" s="474" t="s">
        <v>41</v>
      </c>
      <c r="I1648" s="474" t="s">
        <v>643</v>
      </c>
      <c r="J1648" s="480">
        <v>1.0</v>
      </c>
      <c r="K1648" s="481"/>
      <c r="L1648" s="482"/>
      <c r="M1648" s="482"/>
      <c r="N1648" s="482"/>
      <c r="O1648" s="482"/>
      <c r="P1648" s="483"/>
      <c r="Q1648" s="476"/>
      <c r="R1648" s="484"/>
      <c r="S1648" s="478" t="s">
        <v>105</v>
      </c>
      <c r="T1648" s="474" t="s">
        <v>539</v>
      </c>
      <c r="U1648" s="474" t="s">
        <v>99</v>
      </c>
      <c r="V1648" s="474" t="s">
        <v>1984</v>
      </c>
      <c r="W1648" s="485"/>
      <c r="X1648" s="485"/>
      <c r="Y1648" s="486"/>
      <c r="Z1648" s="485"/>
      <c r="AA1648" s="487">
        <v>134000.0</v>
      </c>
      <c r="AB1648" s="487">
        <v>268000.0</v>
      </c>
      <c r="AC1648" s="488" t="s">
        <v>4413</v>
      </c>
      <c r="AD1648" s="474">
        <v>17572.0</v>
      </c>
      <c r="AE1648" s="476"/>
      <c r="AF1648" s="474" t="str">
        <f t="shared" si="1"/>
        <v>Misiones, Argentina</v>
      </c>
      <c r="AG1648" s="489">
        <f t="shared" si="2"/>
        <v>1</v>
      </c>
      <c r="AH1648" s="490">
        <f t="shared" si="17"/>
        <v>0</v>
      </c>
      <c r="AI1648" s="490">
        <f t="shared" si="12"/>
        <v>0</v>
      </c>
      <c r="AJ1648" s="491">
        <f t="shared" si="5"/>
        <v>402000</v>
      </c>
      <c r="AK1648" s="491">
        <f t="shared" si="18"/>
        <v>402000</v>
      </c>
      <c r="AL1648" s="492"/>
      <c r="AM1648" s="492"/>
    </row>
    <row r="1649">
      <c r="A1649" s="474">
        <v>1648.0</v>
      </c>
      <c r="B1649" s="475">
        <v>45670.0</v>
      </c>
      <c r="C1649" s="476"/>
      <c r="D1649" s="477" t="s">
        <v>4414</v>
      </c>
      <c r="E1649" s="478" t="s">
        <v>4415</v>
      </c>
      <c r="F1649" s="479" t="s">
        <v>2262</v>
      </c>
      <c r="G1649" s="474" t="s">
        <v>40</v>
      </c>
      <c r="H1649" s="474" t="s">
        <v>547</v>
      </c>
      <c r="I1649" s="474" t="s">
        <v>42</v>
      </c>
      <c r="J1649" s="480">
        <v>1.0</v>
      </c>
      <c r="K1649" s="493">
        <v>2.0</v>
      </c>
      <c r="L1649" s="482"/>
      <c r="M1649" s="482"/>
      <c r="N1649" s="482"/>
      <c r="O1649" s="482"/>
      <c r="P1649" s="483"/>
      <c r="Q1649" s="476"/>
      <c r="R1649" s="484"/>
      <c r="S1649" s="478" t="s">
        <v>204</v>
      </c>
      <c r="T1649" s="474" t="s">
        <v>66</v>
      </c>
      <c r="U1649" s="474" t="s">
        <v>342</v>
      </c>
      <c r="V1649" s="474" t="s">
        <v>4376</v>
      </c>
      <c r="W1649" s="485"/>
      <c r="X1649" s="485"/>
      <c r="Y1649" s="486"/>
      <c r="Z1649" s="485"/>
      <c r="AA1649" s="487">
        <v>257950.0</v>
      </c>
      <c r="AB1649" s="487">
        <v>1031800.0</v>
      </c>
      <c r="AC1649" s="488" t="s">
        <v>4416</v>
      </c>
      <c r="AD1649" s="474">
        <v>17562.0</v>
      </c>
      <c r="AE1649" s="476"/>
      <c r="AF1649" s="474" t="str">
        <f t="shared" si="1"/>
        <v>Buenos Aires, Argentina</v>
      </c>
      <c r="AG1649" s="489">
        <f t="shared" si="2"/>
        <v>3</v>
      </c>
      <c r="AH1649" s="490">
        <f t="shared" si="17"/>
        <v>0</v>
      </c>
      <c r="AI1649" s="490">
        <f t="shared" si="12"/>
        <v>0</v>
      </c>
      <c r="AJ1649" s="491">
        <f t="shared" si="5"/>
        <v>1289750</v>
      </c>
      <c r="AK1649" s="491">
        <f t="shared" si="18"/>
        <v>1289750</v>
      </c>
      <c r="AL1649" s="492"/>
      <c r="AM1649" s="492"/>
    </row>
    <row r="1650">
      <c r="A1650" s="474">
        <v>1649.0</v>
      </c>
      <c r="B1650" s="475">
        <v>45671.0</v>
      </c>
      <c r="C1650" s="476"/>
      <c r="D1650" s="477" t="s">
        <v>4417</v>
      </c>
      <c r="E1650" s="478" t="s">
        <v>4418</v>
      </c>
      <c r="F1650" s="479" t="s">
        <v>2327</v>
      </c>
      <c r="G1650" s="474" t="s">
        <v>40</v>
      </c>
      <c r="H1650" s="474" t="s">
        <v>41</v>
      </c>
      <c r="I1650" s="474" t="s">
        <v>42</v>
      </c>
      <c r="J1650" s="480">
        <v>1.0</v>
      </c>
      <c r="K1650" s="481"/>
      <c r="L1650" s="482"/>
      <c r="M1650" s="494">
        <v>1.0</v>
      </c>
      <c r="N1650" s="482"/>
      <c r="O1650" s="482"/>
      <c r="P1650" s="483"/>
      <c r="Q1650" s="476"/>
      <c r="R1650" s="484"/>
      <c r="S1650" s="478" t="s">
        <v>65</v>
      </c>
      <c r="T1650" s="474" t="s">
        <v>83</v>
      </c>
      <c r="U1650" s="474" t="s">
        <v>342</v>
      </c>
      <c r="V1650" s="474" t="s">
        <v>2922</v>
      </c>
      <c r="W1650" s="485"/>
      <c r="X1650" s="485"/>
      <c r="Y1650" s="486"/>
      <c r="Z1650" s="485"/>
      <c r="AA1650" s="487">
        <v>134000.0</v>
      </c>
      <c r="AB1650" s="487">
        <v>502500.0</v>
      </c>
      <c r="AC1650" s="488" t="s">
        <v>4419</v>
      </c>
      <c r="AD1650" s="474">
        <v>17598.0</v>
      </c>
      <c r="AE1650" s="476"/>
      <c r="AF1650" s="474" t="str">
        <f t="shared" si="1"/>
        <v>Capital Federal, Argentina</v>
      </c>
      <c r="AG1650" s="489">
        <f t="shared" si="2"/>
        <v>2</v>
      </c>
      <c r="AH1650" s="490">
        <f t="shared" si="17"/>
        <v>0</v>
      </c>
      <c r="AI1650" s="490">
        <f t="shared" si="12"/>
        <v>0</v>
      </c>
      <c r="AJ1650" s="491">
        <f t="shared" si="5"/>
        <v>636500</v>
      </c>
      <c r="AK1650" s="491">
        <f t="shared" si="18"/>
        <v>636500</v>
      </c>
      <c r="AL1650" s="492"/>
      <c r="AM1650" s="492"/>
    </row>
    <row r="1651">
      <c r="A1651" s="474">
        <v>1650.0</v>
      </c>
      <c r="B1651" s="475">
        <v>45672.0</v>
      </c>
      <c r="C1651" s="476"/>
      <c r="D1651" s="477" t="s">
        <v>4249</v>
      </c>
      <c r="E1651" s="478" t="s">
        <v>4250</v>
      </c>
      <c r="F1651" s="479" t="s">
        <v>2782</v>
      </c>
      <c r="G1651" s="474" t="s">
        <v>64</v>
      </c>
      <c r="H1651" s="474" t="s">
        <v>41</v>
      </c>
      <c r="I1651" s="474" t="s">
        <v>42</v>
      </c>
      <c r="J1651" s="482"/>
      <c r="K1651" s="481"/>
      <c r="L1651" s="482"/>
      <c r="M1651" s="482"/>
      <c r="N1651" s="494">
        <v>2.0</v>
      </c>
      <c r="O1651" s="482"/>
      <c r="P1651" s="483"/>
      <c r="Q1651" s="476"/>
      <c r="R1651" s="484"/>
      <c r="S1651" s="478" t="s">
        <v>105</v>
      </c>
      <c r="T1651" s="474" t="s">
        <v>83</v>
      </c>
      <c r="U1651" s="474" t="s">
        <v>99</v>
      </c>
      <c r="V1651" s="474" t="s">
        <v>2922</v>
      </c>
      <c r="W1651" s="485"/>
      <c r="X1651" s="485"/>
      <c r="Y1651" s="486"/>
      <c r="Z1651" s="485"/>
      <c r="AA1651" s="487">
        <v>268000.0</v>
      </c>
      <c r="AB1651" s="487">
        <v>1206000.0</v>
      </c>
      <c r="AC1651" s="488" t="s">
        <v>4420</v>
      </c>
      <c r="AD1651" s="474">
        <v>17594.0</v>
      </c>
      <c r="AE1651" s="476"/>
      <c r="AF1651" s="474" t="str">
        <f t="shared" si="1"/>
        <v>Capital Federal, Argentina</v>
      </c>
      <c r="AG1651" s="489">
        <f t="shared" si="2"/>
        <v>2</v>
      </c>
      <c r="AH1651" s="490">
        <f t="shared" si="17"/>
        <v>0</v>
      </c>
      <c r="AI1651" s="490">
        <f t="shared" si="12"/>
        <v>0</v>
      </c>
      <c r="AJ1651" s="491">
        <f t="shared" si="5"/>
        <v>1474000</v>
      </c>
      <c r="AK1651" s="491">
        <f t="shared" si="18"/>
        <v>1474000</v>
      </c>
      <c r="AL1651" s="492"/>
      <c r="AM1651" s="492"/>
    </row>
    <row r="1652">
      <c r="A1652" s="474">
        <v>1651.0</v>
      </c>
      <c r="B1652" s="475">
        <v>45674.0</v>
      </c>
      <c r="C1652" s="476"/>
      <c r="D1652" s="477" t="s">
        <v>3179</v>
      </c>
      <c r="E1652" s="478" t="s">
        <v>3418</v>
      </c>
      <c r="F1652" s="479" t="s">
        <v>1427</v>
      </c>
      <c r="G1652" s="474" t="s">
        <v>64</v>
      </c>
      <c r="H1652" s="474" t="s">
        <v>41</v>
      </c>
      <c r="I1652" s="474" t="s">
        <v>643</v>
      </c>
      <c r="J1652" s="482"/>
      <c r="K1652" s="493">
        <v>2.0</v>
      </c>
      <c r="L1652" s="482"/>
      <c r="M1652" s="482"/>
      <c r="N1652" s="482"/>
      <c r="O1652" s="482"/>
      <c r="P1652" s="483"/>
      <c r="Q1652" s="476"/>
      <c r="R1652" s="484"/>
      <c r="S1652" s="478" t="s">
        <v>114</v>
      </c>
      <c r="T1652" s="474" t="s">
        <v>83</v>
      </c>
      <c r="U1652" s="474" t="s">
        <v>99</v>
      </c>
      <c r="V1652" s="474" t="s">
        <v>1984</v>
      </c>
      <c r="W1652" s="485"/>
      <c r="X1652" s="485"/>
      <c r="Y1652" s="486"/>
      <c r="Z1652" s="485"/>
      <c r="AA1652" s="487">
        <v>201000.0</v>
      </c>
      <c r="AB1652" s="487">
        <v>804000.0</v>
      </c>
      <c r="AC1652" s="488" t="s">
        <v>4421</v>
      </c>
      <c r="AD1652" s="474">
        <v>17616.0</v>
      </c>
      <c r="AE1652" s="476"/>
      <c r="AF1652" s="474" t="str">
        <f t="shared" si="1"/>
        <v>Capital Federal, Argentina</v>
      </c>
      <c r="AG1652" s="489">
        <f t="shared" si="2"/>
        <v>2</v>
      </c>
      <c r="AH1652" s="490">
        <f t="shared" si="17"/>
        <v>0</v>
      </c>
      <c r="AI1652" s="490">
        <f t="shared" si="12"/>
        <v>0</v>
      </c>
      <c r="AJ1652" s="491">
        <f t="shared" si="5"/>
        <v>1005000</v>
      </c>
      <c r="AK1652" s="491">
        <f t="shared" si="18"/>
        <v>1005000</v>
      </c>
      <c r="AL1652" s="492"/>
      <c r="AM1652" s="492"/>
    </row>
    <row r="1653">
      <c r="A1653" s="474">
        <v>1652.0</v>
      </c>
      <c r="B1653" s="475">
        <v>45677.0</v>
      </c>
      <c r="C1653" s="476"/>
      <c r="D1653" s="477" t="s">
        <v>4037</v>
      </c>
      <c r="E1653" s="478" t="s">
        <v>4038</v>
      </c>
      <c r="F1653" s="479" t="s">
        <v>4422</v>
      </c>
      <c r="G1653" s="474" t="s">
        <v>64</v>
      </c>
      <c r="H1653" s="474" t="s">
        <v>41</v>
      </c>
      <c r="I1653" s="474" t="s">
        <v>643</v>
      </c>
      <c r="J1653" s="480">
        <v>1.0</v>
      </c>
      <c r="K1653" s="481"/>
      <c r="L1653" s="482"/>
      <c r="M1653" s="482"/>
      <c r="N1653" s="482"/>
      <c r="O1653" s="482"/>
      <c r="P1653" s="483"/>
      <c r="Q1653" s="476"/>
      <c r="R1653" s="484"/>
      <c r="S1653" s="478" t="s">
        <v>137</v>
      </c>
      <c r="T1653" s="474" t="s">
        <v>66</v>
      </c>
      <c r="U1653" s="474" t="s">
        <v>99</v>
      </c>
      <c r="V1653" s="474" t="s">
        <v>1984</v>
      </c>
      <c r="W1653" s="485"/>
      <c r="X1653" s="485"/>
      <c r="Y1653" s="486"/>
      <c r="Z1653" s="485"/>
      <c r="AA1653" s="487">
        <v>134000.0</v>
      </c>
      <c r="AB1653" s="487">
        <v>938000.0</v>
      </c>
      <c r="AC1653" s="488" t="s">
        <v>4423</v>
      </c>
      <c r="AD1653" s="474">
        <v>17546.0</v>
      </c>
      <c r="AE1653" s="476"/>
      <c r="AF1653" s="474" t="str">
        <f t="shared" si="1"/>
        <v>Buenos Aires, Argentina</v>
      </c>
      <c r="AG1653" s="489">
        <f t="shared" si="2"/>
        <v>1</v>
      </c>
      <c r="AH1653" s="490">
        <f t="shared" si="17"/>
        <v>0</v>
      </c>
      <c r="AI1653" s="490">
        <f t="shared" si="12"/>
        <v>0</v>
      </c>
      <c r="AJ1653" s="491">
        <f t="shared" si="5"/>
        <v>1072000</v>
      </c>
      <c r="AK1653" s="491">
        <f t="shared" si="18"/>
        <v>1072000</v>
      </c>
      <c r="AL1653" s="492"/>
      <c r="AM1653" s="492"/>
    </row>
    <row r="1654">
      <c r="A1654" s="474">
        <v>1653.0</v>
      </c>
      <c r="B1654" s="475">
        <v>45679.0</v>
      </c>
      <c r="C1654" s="476"/>
      <c r="D1654" s="477" t="s">
        <v>4254</v>
      </c>
      <c r="E1654" s="478" t="s">
        <v>4255</v>
      </c>
      <c r="F1654" s="479" t="s">
        <v>1423</v>
      </c>
      <c r="G1654" s="474" t="s">
        <v>64</v>
      </c>
      <c r="H1654" s="474" t="s">
        <v>41</v>
      </c>
      <c r="I1654" s="474" t="s">
        <v>643</v>
      </c>
      <c r="J1654" s="480">
        <v>1.0</v>
      </c>
      <c r="K1654" s="481"/>
      <c r="L1654" s="482"/>
      <c r="M1654" s="482"/>
      <c r="N1654" s="482"/>
      <c r="O1654" s="482"/>
      <c r="P1654" s="483"/>
      <c r="Q1654" s="476"/>
      <c r="R1654" s="484"/>
      <c r="S1654" s="478" t="s">
        <v>189</v>
      </c>
      <c r="T1654" s="474" t="s">
        <v>73</v>
      </c>
      <c r="U1654" s="474" t="s">
        <v>99</v>
      </c>
      <c r="V1654" s="474" t="s">
        <v>1984</v>
      </c>
      <c r="W1654" s="485"/>
      <c r="X1654" s="485"/>
      <c r="Y1654" s="486"/>
      <c r="Z1654" s="485"/>
      <c r="AA1654" s="487">
        <v>134000.0</v>
      </c>
      <c r="AB1654" s="487">
        <v>536000.0</v>
      </c>
      <c r="AC1654" s="488" t="s">
        <v>4424</v>
      </c>
      <c r="AD1654" s="474">
        <v>17732.0</v>
      </c>
      <c r="AE1654" s="476"/>
      <c r="AF1654" s="474" t="str">
        <f t="shared" si="1"/>
        <v>Tierra de Fuego, Argentina</v>
      </c>
      <c r="AG1654" s="489">
        <f t="shared" si="2"/>
        <v>1</v>
      </c>
      <c r="AH1654" s="490">
        <f t="shared" si="17"/>
        <v>0</v>
      </c>
      <c r="AI1654" s="490">
        <f t="shared" si="12"/>
        <v>0</v>
      </c>
      <c r="AJ1654" s="491">
        <f t="shared" si="5"/>
        <v>670000</v>
      </c>
      <c r="AK1654" s="491">
        <f t="shared" si="18"/>
        <v>670000</v>
      </c>
      <c r="AL1654" s="492"/>
      <c r="AM1654" s="492"/>
    </row>
    <row r="1655">
      <c r="A1655" s="474">
        <v>1654.0</v>
      </c>
      <c r="B1655" s="475">
        <v>45680.0</v>
      </c>
      <c r="C1655" s="476"/>
      <c r="D1655" s="477" t="s">
        <v>4425</v>
      </c>
      <c r="E1655" s="478" t="s">
        <v>4426</v>
      </c>
      <c r="F1655" s="479" t="s">
        <v>4427</v>
      </c>
      <c r="G1655" s="474" t="s">
        <v>64</v>
      </c>
      <c r="H1655" s="474" t="s">
        <v>41</v>
      </c>
      <c r="I1655" s="474" t="s">
        <v>643</v>
      </c>
      <c r="J1655" s="482"/>
      <c r="K1655" s="481"/>
      <c r="L1655" s="482"/>
      <c r="M1655" s="482"/>
      <c r="N1655" s="482"/>
      <c r="O1655" s="494">
        <v>3.0</v>
      </c>
      <c r="P1655" s="483"/>
      <c r="Q1655" s="476"/>
      <c r="R1655" s="484"/>
      <c r="S1655" s="478" t="s">
        <v>137</v>
      </c>
      <c r="T1655" s="474" t="s">
        <v>66</v>
      </c>
      <c r="U1655" s="474" t="s">
        <v>99</v>
      </c>
      <c r="V1655" s="474" t="s">
        <v>1984</v>
      </c>
      <c r="W1655" s="485"/>
      <c r="X1655" s="485"/>
      <c r="Y1655" s="486"/>
      <c r="Z1655" s="485"/>
      <c r="AA1655" s="487">
        <v>221100.0</v>
      </c>
      <c r="AB1655" s="487">
        <v>884400.0</v>
      </c>
      <c r="AC1655" s="488" t="s">
        <v>4428</v>
      </c>
      <c r="AD1655" s="474">
        <v>17290.0</v>
      </c>
      <c r="AE1655" s="476"/>
      <c r="AF1655" s="474" t="str">
        <f t="shared" si="1"/>
        <v>Buenos Aires, Argentina</v>
      </c>
      <c r="AG1655" s="489">
        <f t="shared" si="2"/>
        <v>3</v>
      </c>
      <c r="AH1655" s="490">
        <f t="shared" si="17"/>
        <v>0</v>
      </c>
      <c r="AI1655" s="490">
        <f t="shared" si="12"/>
        <v>0</v>
      </c>
      <c r="AJ1655" s="491">
        <f t="shared" si="5"/>
        <v>1105500</v>
      </c>
      <c r="AK1655" s="491">
        <f t="shared" si="18"/>
        <v>1105500</v>
      </c>
      <c r="AL1655" s="492"/>
      <c r="AM1655" s="492"/>
    </row>
    <row r="1656">
      <c r="A1656" s="474">
        <v>1655.0</v>
      </c>
      <c r="B1656" s="475">
        <v>45681.0</v>
      </c>
      <c r="C1656" s="476"/>
      <c r="D1656" s="477" t="s">
        <v>999</v>
      </c>
      <c r="E1656" s="478" t="s">
        <v>1000</v>
      </c>
      <c r="F1656" s="479" t="s">
        <v>1415</v>
      </c>
      <c r="G1656" s="474" t="s">
        <v>64</v>
      </c>
      <c r="H1656" s="474" t="s">
        <v>41</v>
      </c>
      <c r="I1656" s="474" t="s">
        <v>643</v>
      </c>
      <c r="J1656" s="482"/>
      <c r="K1656" s="493">
        <v>1.0</v>
      </c>
      <c r="L1656" s="482"/>
      <c r="M1656" s="482"/>
      <c r="N1656" s="482"/>
      <c r="O1656" s="482"/>
      <c r="P1656" s="483"/>
      <c r="Q1656" s="476"/>
      <c r="R1656" s="484"/>
      <c r="S1656" s="478" t="s">
        <v>65</v>
      </c>
      <c r="T1656" s="474" t="s">
        <v>66</v>
      </c>
      <c r="U1656" s="474" t="s">
        <v>99</v>
      </c>
      <c r="V1656" s="474" t="s">
        <v>1984</v>
      </c>
      <c r="W1656" s="485"/>
      <c r="X1656" s="485"/>
      <c r="Y1656" s="486"/>
      <c r="Z1656" s="485"/>
      <c r="AA1656" s="487">
        <v>100500.0</v>
      </c>
      <c r="AB1656" s="487">
        <v>402000.0</v>
      </c>
      <c r="AC1656" s="488" t="s">
        <v>4429</v>
      </c>
      <c r="AD1656" s="474">
        <v>17724.0</v>
      </c>
      <c r="AE1656" s="476"/>
      <c r="AF1656" s="474" t="str">
        <f t="shared" si="1"/>
        <v>Buenos Aires, Argentina</v>
      </c>
      <c r="AG1656" s="489">
        <f t="shared" si="2"/>
        <v>1</v>
      </c>
      <c r="AH1656" s="490">
        <f t="shared" si="17"/>
        <v>0</v>
      </c>
      <c r="AI1656" s="490">
        <f t="shared" si="12"/>
        <v>0</v>
      </c>
      <c r="AJ1656" s="491">
        <f t="shared" si="5"/>
        <v>502500</v>
      </c>
      <c r="AK1656" s="491">
        <f t="shared" si="18"/>
        <v>502500</v>
      </c>
      <c r="AL1656" s="492"/>
      <c r="AM1656" s="492"/>
    </row>
    <row r="1657">
      <c r="A1657" s="474">
        <v>1656.0</v>
      </c>
      <c r="B1657" s="475">
        <v>45681.0</v>
      </c>
      <c r="C1657" s="476"/>
      <c r="D1657" s="477" t="s">
        <v>4430</v>
      </c>
      <c r="E1657" s="478" t="s">
        <v>4431</v>
      </c>
      <c r="F1657" s="479" t="s">
        <v>1463</v>
      </c>
      <c r="G1657" s="474" t="s">
        <v>40</v>
      </c>
      <c r="H1657" s="474" t="s">
        <v>41</v>
      </c>
      <c r="I1657" s="474" t="s">
        <v>42</v>
      </c>
      <c r="J1657" s="480">
        <v>1.0</v>
      </c>
      <c r="K1657" s="493">
        <v>3.0</v>
      </c>
      <c r="L1657" s="482"/>
      <c r="M1657" s="482"/>
      <c r="N1657" s="482"/>
      <c r="O1657" s="482"/>
      <c r="P1657" s="483"/>
      <c r="Q1657" s="476"/>
      <c r="R1657" s="484"/>
      <c r="S1657" s="478" t="s">
        <v>907</v>
      </c>
      <c r="T1657" s="474" t="s">
        <v>66</v>
      </c>
      <c r="U1657" s="474" t="s">
        <v>45</v>
      </c>
      <c r="V1657" s="474" t="s">
        <v>4376</v>
      </c>
      <c r="W1657" s="485"/>
      <c r="X1657" s="485"/>
      <c r="Y1657" s="486"/>
      <c r="Z1657" s="485"/>
      <c r="AA1657" s="487">
        <v>435500.0</v>
      </c>
      <c r="AB1657" s="487">
        <v>1633125.0</v>
      </c>
      <c r="AC1657" s="488" t="s">
        <v>4432</v>
      </c>
      <c r="AD1657" s="474">
        <v>17184.0</v>
      </c>
      <c r="AE1657" s="476"/>
      <c r="AF1657" s="474" t="str">
        <f t="shared" si="1"/>
        <v>Buenos Aires, Argentina</v>
      </c>
      <c r="AG1657" s="489">
        <f t="shared" si="2"/>
        <v>4</v>
      </c>
      <c r="AH1657" s="490">
        <f t="shared" si="17"/>
        <v>0</v>
      </c>
      <c r="AI1657" s="490">
        <f t="shared" si="12"/>
        <v>0</v>
      </c>
      <c r="AJ1657" s="491">
        <f t="shared" si="5"/>
        <v>2068625</v>
      </c>
      <c r="AK1657" s="491">
        <f t="shared" si="18"/>
        <v>2068625</v>
      </c>
      <c r="AL1657" s="492"/>
      <c r="AM1657" s="492"/>
    </row>
    <row r="1658">
      <c r="A1658" s="474">
        <v>1656.0</v>
      </c>
      <c r="B1658" s="475">
        <v>45684.0</v>
      </c>
      <c r="C1658" s="476"/>
      <c r="D1658" s="477" t="s">
        <v>3063</v>
      </c>
      <c r="E1658" s="478" t="s">
        <v>3064</v>
      </c>
      <c r="F1658" s="479" t="s">
        <v>1427</v>
      </c>
      <c r="G1658" s="474" t="s">
        <v>64</v>
      </c>
      <c r="H1658" s="474" t="s">
        <v>41</v>
      </c>
      <c r="I1658" s="474" t="s">
        <v>643</v>
      </c>
      <c r="J1658" s="482"/>
      <c r="K1658" s="493">
        <v>2.0</v>
      </c>
      <c r="L1658" s="482"/>
      <c r="M1658" s="482"/>
      <c r="N1658" s="482"/>
      <c r="O1658" s="482"/>
      <c r="P1658" s="483"/>
      <c r="Q1658" s="476"/>
      <c r="R1658" s="484"/>
      <c r="S1658" s="478" t="s">
        <v>65</v>
      </c>
      <c r="T1658" s="474" t="s">
        <v>972</v>
      </c>
      <c r="U1658" s="474" t="s">
        <v>99</v>
      </c>
      <c r="V1658" s="474" t="s">
        <v>1984</v>
      </c>
      <c r="W1658" s="485"/>
      <c r="X1658" s="485"/>
      <c r="Y1658" s="486"/>
      <c r="Z1658" s="485"/>
      <c r="AA1658" s="487">
        <v>180900.0</v>
      </c>
      <c r="AB1658" s="487">
        <v>804000.0</v>
      </c>
      <c r="AC1658" s="488" t="s">
        <v>4433</v>
      </c>
      <c r="AD1658" s="474">
        <v>17772.0</v>
      </c>
      <c r="AE1658" s="476"/>
      <c r="AF1658" s="474" t="str">
        <f t="shared" si="1"/>
        <v>Río Negro, Argentina</v>
      </c>
      <c r="AG1658" s="489">
        <f t="shared" si="2"/>
        <v>2</v>
      </c>
      <c r="AH1658" s="490">
        <f t="shared" si="17"/>
        <v>0</v>
      </c>
      <c r="AI1658" s="490">
        <f t="shared" si="12"/>
        <v>0</v>
      </c>
      <c r="AJ1658" s="491">
        <f t="shared" si="5"/>
        <v>984900</v>
      </c>
      <c r="AK1658" s="491">
        <f t="shared" si="18"/>
        <v>984900</v>
      </c>
      <c r="AL1658" s="492"/>
      <c r="AM1658" s="492"/>
    </row>
    <row r="1659">
      <c r="A1659" s="474">
        <v>1657.0</v>
      </c>
      <c r="B1659" s="475">
        <v>45685.0</v>
      </c>
      <c r="C1659" s="476"/>
      <c r="D1659" s="477" t="s">
        <v>4269</v>
      </c>
      <c r="E1659" s="478" t="s">
        <v>3190</v>
      </c>
      <c r="F1659" s="479" t="s">
        <v>1423</v>
      </c>
      <c r="G1659" s="474" t="s">
        <v>64</v>
      </c>
      <c r="H1659" s="474" t="s">
        <v>41</v>
      </c>
      <c r="I1659" s="474" t="s">
        <v>643</v>
      </c>
      <c r="J1659" s="480">
        <v>1.0</v>
      </c>
      <c r="K1659" s="481"/>
      <c r="L1659" s="482"/>
      <c r="M1659" s="482"/>
      <c r="N1659" s="482"/>
      <c r="O1659" s="482"/>
      <c r="P1659" s="483"/>
      <c r="Q1659" s="476"/>
      <c r="R1659" s="484"/>
      <c r="S1659" s="478" t="s">
        <v>189</v>
      </c>
      <c r="T1659" s="474" t="s">
        <v>66</v>
      </c>
      <c r="U1659" s="474" t="s">
        <v>99</v>
      </c>
      <c r="V1659" s="474" t="s">
        <v>1984</v>
      </c>
      <c r="W1659" s="485"/>
      <c r="X1659" s="485"/>
      <c r="Y1659" s="486"/>
      <c r="Z1659" s="485"/>
      <c r="AA1659" s="487">
        <v>134000.0</v>
      </c>
      <c r="AB1659" s="487">
        <v>536000.0</v>
      </c>
      <c r="AC1659" s="488" t="s">
        <v>4434</v>
      </c>
      <c r="AD1659" s="474">
        <v>17624.0</v>
      </c>
      <c r="AE1659" s="476"/>
      <c r="AF1659" s="474" t="str">
        <f t="shared" si="1"/>
        <v>Buenos Aires, Argentina</v>
      </c>
      <c r="AG1659" s="489">
        <f t="shared" si="2"/>
        <v>1</v>
      </c>
      <c r="AH1659" s="490">
        <f t="shared" si="17"/>
        <v>0</v>
      </c>
      <c r="AI1659" s="490">
        <f t="shared" si="12"/>
        <v>0</v>
      </c>
      <c r="AJ1659" s="491">
        <f t="shared" si="5"/>
        <v>670000</v>
      </c>
      <c r="AK1659" s="491">
        <f t="shared" si="18"/>
        <v>670000</v>
      </c>
      <c r="AL1659" s="492"/>
      <c r="AM1659" s="492"/>
    </row>
    <row r="1660">
      <c r="A1660" s="474">
        <v>1658.0</v>
      </c>
      <c r="B1660" s="475">
        <v>45686.0</v>
      </c>
      <c r="C1660" s="476"/>
      <c r="D1660" s="477" t="s">
        <v>4414</v>
      </c>
      <c r="E1660" s="478" t="s">
        <v>4415</v>
      </c>
      <c r="F1660" s="479" t="s">
        <v>2528</v>
      </c>
      <c r="G1660" s="474" t="s">
        <v>64</v>
      </c>
      <c r="H1660" s="474" t="s">
        <v>547</v>
      </c>
      <c r="I1660" s="474" t="s">
        <v>42</v>
      </c>
      <c r="J1660" s="482"/>
      <c r="K1660" s="481"/>
      <c r="L1660" s="482"/>
      <c r="M1660" s="494">
        <v>1.0</v>
      </c>
      <c r="N1660" s="482"/>
      <c r="O1660" s="482"/>
      <c r="P1660" s="483"/>
      <c r="Q1660" s="476"/>
      <c r="R1660" s="484"/>
      <c r="S1660" s="478" t="s">
        <v>204</v>
      </c>
      <c r="T1660" s="474" t="s">
        <v>66</v>
      </c>
      <c r="U1660" s="474" t="s">
        <v>99</v>
      </c>
      <c r="V1660" s="474" t="s">
        <v>4376</v>
      </c>
      <c r="W1660" s="485"/>
      <c r="X1660" s="485"/>
      <c r="Y1660" s="486"/>
      <c r="Z1660" s="485"/>
      <c r="AA1660" s="487">
        <v>0.0</v>
      </c>
      <c r="AB1660" s="487">
        <v>0.0</v>
      </c>
      <c r="AC1660" s="488" t="s">
        <v>4435</v>
      </c>
      <c r="AD1660" s="474">
        <v>17784.0</v>
      </c>
      <c r="AE1660" s="476"/>
      <c r="AF1660" s="474" t="str">
        <f t="shared" si="1"/>
        <v>Buenos Aires, Argentina</v>
      </c>
      <c r="AG1660" s="489">
        <f t="shared" si="2"/>
        <v>1</v>
      </c>
      <c r="AH1660" s="490">
        <f t="shared" si="17"/>
        <v>0</v>
      </c>
      <c r="AI1660" s="490">
        <f t="shared" si="12"/>
        <v>0</v>
      </c>
      <c r="AJ1660" s="491">
        <f t="shared" si="5"/>
        <v>0</v>
      </c>
      <c r="AK1660" s="491">
        <f t="shared" si="18"/>
        <v>0</v>
      </c>
      <c r="AL1660" s="492"/>
      <c r="AM1660" s="492"/>
    </row>
    <row r="1661">
      <c r="A1661" s="474">
        <v>1659.0</v>
      </c>
      <c r="B1661" s="475">
        <v>45687.0</v>
      </c>
      <c r="C1661" s="476"/>
      <c r="D1661" s="477" t="s">
        <v>4024</v>
      </c>
      <c r="E1661" s="478" t="s">
        <v>4025</v>
      </c>
      <c r="F1661" s="479" t="s">
        <v>1412</v>
      </c>
      <c r="G1661" s="474" t="s">
        <v>64</v>
      </c>
      <c r="H1661" s="474" t="s">
        <v>41</v>
      </c>
      <c r="I1661" s="474" t="s">
        <v>42</v>
      </c>
      <c r="J1661" s="480">
        <v>2.0</v>
      </c>
      <c r="K1661" s="481"/>
      <c r="L1661" s="482"/>
      <c r="M1661" s="482"/>
      <c r="N1661" s="482"/>
      <c r="O1661" s="482"/>
      <c r="P1661" s="483"/>
      <c r="Q1661" s="476"/>
      <c r="R1661" s="484"/>
      <c r="S1661" s="478" t="s">
        <v>114</v>
      </c>
      <c r="T1661" s="474" t="s">
        <v>66</v>
      </c>
      <c r="U1661" s="474" t="s">
        <v>99</v>
      </c>
      <c r="V1661" s="474" t="s">
        <v>2922</v>
      </c>
      <c r="W1661" s="485"/>
      <c r="X1661" s="485"/>
      <c r="Y1661" s="486"/>
      <c r="Z1661" s="485"/>
      <c r="AA1661" s="487">
        <v>268000.0</v>
      </c>
      <c r="AB1661" s="487">
        <v>1206000.0</v>
      </c>
      <c r="AC1661" s="488" t="s">
        <v>4436</v>
      </c>
      <c r="AD1661" s="474">
        <v>17764.0</v>
      </c>
      <c r="AE1661" s="476"/>
      <c r="AF1661" s="474" t="str">
        <f t="shared" si="1"/>
        <v>Buenos Aires, Argentina</v>
      </c>
      <c r="AG1661" s="489">
        <f t="shared" si="2"/>
        <v>2</v>
      </c>
      <c r="AH1661" s="490">
        <f t="shared" si="17"/>
        <v>0</v>
      </c>
      <c r="AI1661" s="490">
        <f t="shared" si="12"/>
        <v>0</v>
      </c>
      <c r="AJ1661" s="491">
        <f t="shared" si="5"/>
        <v>1474000</v>
      </c>
      <c r="AK1661" s="491">
        <f t="shared" si="18"/>
        <v>1474000</v>
      </c>
      <c r="AL1661" s="492"/>
      <c r="AM1661" s="492"/>
    </row>
    <row r="1662">
      <c r="A1662" s="474">
        <v>1660.0</v>
      </c>
      <c r="B1662" s="475">
        <v>45687.0</v>
      </c>
      <c r="C1662" s="476"/>
      <c r="D1662" s="477" t="s">
        <v>4291</v>
      </c>
      <c r="E1662" s="478" t="s">
        <v>4292</v>
      </c>
      <c r="F1662" s="479" t="s">
        <v>1423</v>
      </c>
      <c r="G1662" s="474" t="s">
        <v>64</v>
      </c>
      <c r="H1662" s="474" t="s">
        <v>41</v>
      </c>
      <c r="I1662" s="474" t="s">
        <v>42</v>
      </c>
      <c r="J1662" s="480">
        <v>1.0</v>
      </c>
      <c r="K1662" s="481"/>
      <c r="L1662" s="482"/>
      <c r="M1662" s="482"/>
      <c r="N1662" s="482"/>
      <c r="O1662" s="482"/>
      <c r="P1662" s="483"/>
      <c r="Q1662" s="476"/>
      <c r="R1662" s="484"/>
      <c r="S1662" s="478" t="s">
        <v>189</v>
      </c>
      <c r="T1662" s="474" t="s">
        <v>83</v>
      </c>
      <c r="U1662" s="474" t="s">
        <v>99</v>
      </c>
      <c r="V1662" s="474" t="s">
        <v>2922</v>
      </c>
      <c r="W1662" s="485"/>
      <c r="X1662" s="485"/>
      <c r="Y1662" s="486"/>
      <c r="Z1662" s="485"/>
      <c r="AA1662" s="487">
        <v>134000.0</v>
      </c>
      <c r="AB1662" s="487">
        <v>217750.0</v>
      </c>
      <c r="AC1662" s="488" t="s">
        <v>4437</v>
      </c>
      <c r="AD1662" s="474">
        <v>17780.0</v>
      </c>
      <c r="AE1662" s="476"/>
      <c r="AF1662" s="474" t="str">
        <f t="shared" si="1"/>
        <v>Capital Federal, Argentina</v>
      </c>
      <c r="AG1662" s="489">
        <f t="shared" si="2"/>
        <v>1</v>
      </c>
      <c r="AH1662" s="490">
        <f t="shared" si="17"/>
        <v>0</v>
      </c>
      <c r="AI1662" s="490">
        <f t="shared" si="12"/>
        <v>0</v>
      </c>
      <c r="AJ1662" s="491">
        <f t="shared" si="5"/>
        <v>351750</v>
      </c>
      <c r="AK1662" s="491">
        <f t="shared" si="18"/>
        <v>351750</v>
      </c>
      <c r="AL1662" s="492"/>
      <c r="AM1662" s="492"/>
    </row>
    <row r="1663">
      <c r="A1663" s="474">
        <v>1661.0</v>
      </c>
      <c r="B1663" s="475">
        <v>45687.0</v>
      </c>
      <c r="C1663" s="476"/>
      <c r="D1663" s="477" t="s">
        <v>4438</v>
      </c>
      <c r="E1663" s="478" t="s">
        <v>2384</v>
      </c>
      <c r="F1663" s="479" t="s">
        <v>1474</v>
      </c>
      <c r="G1663" s="474" t="s">
        <v>64</v>
      </c>
      <c r="H1663" s="474" t="s">
        <v>41</v>
      </c>
      <c r="I1663" s="474" t="s">
        <v>643</v>
      </c>
      <c r="J1663" s="480">
        <v>3.0</v>
      </c>
      <c r="K1663" s="481"/>
      <c r="L1663" s="482"/>
      <c r="M1663" s="482"/>
      <c r="N1663" s="482"/>
      <c r="O1663" s="482"/>
      <c r="P1663" s="483"/>
      <c r="Q1663" s="476"/>
      <c r="R1663" s="484"/>
      <c r="S1663" s="478" t="s">
        <v>141</v>
      </c>
      <c r="T1663" s="474" t="s">
        <v>73</v>
      </c>
      <c r="U1663" s="474" t="s">
        <v>99</v>
      </c>
      <c r="V1663" s="474" t="s">
        <v>1984</v>
      </c>
      <c r="W1663" s="485"/>
      <c r="X1663" s="485"/>
      <c r="Y1663" s="486"/>
      <c r="Z1663" s="485"/>
      <c r="AA1663" s="487">
        <v>402000.0</v>
      </c>
      <c r="AB1663" s="487">
        <v>1608000.0</v>
      </c>
      <c r="AC1663" s="488" t="s">
        <v>4439</v>
      </c>
      <c r="AD1663" s="474">
        <v>17796.0</v>
      </c>
      <c r="AE1663" s="476"/>
      <c r="AF1663" s="474" t="str">
        <f t="shared" si="1"/>
        <v>Tierra de Fuego, Argentina</v>
      </c>
      <c r="AG1663" s="489">
        <f t="shared" si="2"/>
        <v>3</v>
      </c>
      <c r="AH1663" s="490">
        <f t="shared" si="17"/>
        <v>0</v>
      </c>
      <c r="AI1663" s="490">
        <f t="shared" si="12"/>
        <v>0</v>
      </c>
      <c r="AJ1663" s="491">
        <f t="shared" si="5"/>
        <v>2010000</v>
      </c>
      <c r="AK1663" s="491">
        <f t="shared" si="18"/>
        <v>2010000</v>
      </c>
      <c r="AL1663" s="492"/>
      <c r="AM1663" s="492"/>
    </row>
    <row r="1664">
      <c r="A1664" s="474">
        <v>1662.0</v>
      </c>
      <c r="B1664" s="475">
        <v>45688.0</v>
      </c>
      <c r="C1664" s="476"/>
      <c r="D1664" s="477" t="s">
        <v>4310</v>
      </c>
      <c r="E1664" s="478" t="s">
        <v>4311</v>
      </c>
      <c r="F1664" s="479" t="s">
        <v>1463</v>
      </c>
      <c r="G1664" s="474" t="s">
        <v>64</v>
      </c>
      <c r="H1664" s="474" t="s">
        <v>41</v>
      </c>
      <c r="I1664" s="474" t="s">
        <v>42</v>
      </c>
      <c r="J1664" s="480">
        <v>1.0</v>
      </c>
      <c r="K1664" s="480">
        <v>2.0</v>
      </c>
      <c r="L1664" s="482"/>
      <c r="M1664" s="482"/>
      <c r="N1664" s="482"/>
      <c r="O1664" s="482"/>
      <c r="P1664" s="483"/>
      <c r="Q1664" s="476"/>
      <c r="R1664" s="484"/>
      <c r="S1664" s="478" t="s">
        <v>89</v>
      </c>
      <c r="T1664" s="474" t="s">
        <v>66</v>
      </c>
      <c r="U1664" s="474" t="s">
        <v>99</v>
      </c>
      <c r="V1664" s="474" t="s">
        <v>2922</v>
      </c>
      <c r="W1664" s="485"/>
      <c r="X1664" s="485"/>
      <c r="Y1664" s="486"/>
      <c r="Z1664" s="485"/>
      <c r="AA1664" s="487">
        <v>335000.0</v>
      </c>
      <c r="AB1664" s="487">
        <v>1507500.0</v>
      </c>
      <c r="AC1664" s="488" t="s">
        <v>4440</v>
      </c>
      <c r="AD1664" s="474">
        <v>17580.0</v>
      </c>
      <c r="AE1664" s="476"/>
      <c r="AF1664" s="474" t="str">
        <f t="shared" si="1"/>
        <v>Buenos Aires, Argentina</v>
      </c>
      <c r="AG1664" s="489">
        <f t="shared" si="2"/>
        <v>3</v>
      </c>
      <c r="AH1664" s="490">
        <f t="shared" si="17"/>
        <v>0</v>
      </c>
      <c r="AI1664" s="490">
        <f t="shared" si="12"/>
        <v>0</v>
      </c>
      <c r="AJ1664" s="491">
        <f t="shared" si="5"/>
        <v>1842500</v>
      </c>
      <c r="AK1664" s="491">
        <f t="shared" si="18"/>
        <v>1842500</v>
      </c>
      <c r="AL1664" s="492"/>
      <c r="AM1664" s="492"/>
    </row>
    <row r="1665">
      <c r="A1665" s="474">
        <v>1663.0</v>
      </c>
      <c r="B1665" s="475">
        <v>45688.0</v>
      </c>
      <c r="C1665" s="476"/>
      <c r="D1665" s="477" t="s">
        <v>4168</v>
      </c>
      <c r="E1665" s="478" t="s">
        <v>2972</v>
      </c>
      <c r="F1665" s="479" t="s">
        <v>1423</v>
      </c>
      <c r="G1665" s="474" t="s">
        <v>64</v>
      </c>
      <c r="H1665" s="474" t="s">
        <v>41</v>
      </c>
      <c r="I1665" s="474" t="s">
        <v>643</v>
      </c>
      <c r="J1665" s="480">
        <v>1.0</v>
      </c>
      <c r="K1665" s="481"/>
      <c r="L1665" s="482"/>
      <c r="M1665" s="482"/>
      <c r="N1665" s="482"/>
      <c r="O1665" s="482"/>
      <c r="P1665" s="483"/>
      <c r="Q1665" s="476"/>
      <c r="R1665" s="484"/>
      <c r="S1665" s="478" t="s">
        <v>89</v>
      </c>
      <c r="T1665" s="474" t="s">
        <v>66</v>
      </c>
      <c r="U1665" s="474" t="s">
        <v>99</v>
      </c>
      <c r="V1665" s="474" t="s">
        <v>1984</v>
      </c>
      <c r="W1665" s="485"/>
      <c r="X1665" s="485"/>
      <c r="Y1665" s="486"/>
      <c r="Z1665" s="485"/>
      <c r="AA1665" s="487">
        <v>134000.0</v>
      </c>
      <c r="AB1665" s="487">
        <v>536000.0</v>
      </c>
      <c r="AC1665" s="488" t="s">
        <v>4441</v>
      </c>
      <c r="AD1665" s="474">
        <v>17812.0</v>
      </c>
      <c r="AE1665" s="476"/>
      <c r="AF1665" s="474" t="str">
        <f t="shared" si="1"/>
        <v>Buenos Aires, Argentina</v>
      </c>
      <c r="AG1665" s="489">
        <f t="shared" si="2"/>
        <v>1</v>
      </c>
      <c r="AH1665" s="490">
        <f t="shared" si="17"/>
        <v>0</v>
      </c>
      <c r="AI1665" s="490">
        <f t="shared" si="12"/>
        <v>0</v>
      </c>
      <c r="AJ1665" s="491">
        <f t="shared" si="5"/>
        <v>670000</v>
      </c>
      <c r="AK1665" s="491">
        <f t="shared" si="18"/>
        <v>670000</v>
      </c>
      <c r="AL1665" s="492"/>
      <c r="AM1665" s="492"/>
    </row>
    <row r="1666">
      <c r="A1666" s="474">
        <v>1664.0</v>
      </c>
      <c r="B1666" s="475">
        <v>45688.0</v>
      </c>
      <c r="C1666" s="476"/>
      <c r="D1666" s="477" t="s">
        <v>4442</v>
      </c>
      <c r="E1666" s="478" t="s">
        <v>4443</v>
      </c>
      <c r="F1666" s="479" t="s">
        <v>4444</v>
      </c>
      <c r="G1666" s="474" t="s">
        <v>40</v>
      </c>
      <c r="H1666" s="474" t="s">
        <v>41</v>
      </c>
      <c r="I1666" s="474" t="s">
        <v>42</v>
      </c>
      <c r="J1666" s="480">
        <v>2.0</v>
      </c>
      <c r="K1666" s="480">
        <v>3.0</v>
      </c>
      <c r="L1666" s="482"/>
      <c r="M1666" s="494">
        <v>1.0</v>
      </c>
      <c r="N1666" s="482"/>
      <c r="O1666" s="482"/>
      <c r="P1666" s="483"/>
      <c r="Q1666" s="476"/>
      <c r="R1666" s="484"/>
      <c r="S1666" s="478" t="s">
        <v>65</v>
      </c>
      <c r="T1666" s="474" t="s">
        <v>66</v>
      </c>
      <c r="U1666" s="474" t="s">
        <v>45</v>
      </c>
      <c r="V1666" s="474" t="s">
        <v>2922</v>
      </c>
      <c r="W1666" s="485"/>
      <c r="X1666" s="485"/>
      <c r="Y1666" s="486"/>
      <c r="Z1666" s="485"/>
      <c r="AA1666" s="487">
        <v>569500.0</v>
      </c>
      <c r="AB1666" s="487">
        <v>1993250.0</v>
      </c>
      <c r="AC1666" s="488" t="s">
        <v>4445</v>
      </c>
      <c r="AD1666" s="474">
        <v>17568.0</v>
      </c>
      <c r="AE1666" s="476"/>
      <c r="AF1666" s="474" t="str">
        <f t="shared" si="1"/>
        <v>Buenos Aires, Argentina</v>
      </c>
      <c r="AG1666" s="489">
        <f t="shared" si="2"/>
        <v>6</v>
      </c>
      <c r="AH1666" s="490">
        <f t="shared" si="17"/>
        <v>0</v>
      </c>
      <c r="AI1666" s="490">
        <f t="shared" si="12"/>
        <v>0</v>
      </c>
      <c r="AJ1666" s="491">
        <f t="shared" si="5"/>
        <v>2562750</v>
      </c>
      <c r="AK1666" s="491">
        <f t="shared" si="18"/>
        <v>2562750</v>
      </c>
      <c r="AL1666" s="492"/>
      <c r="AM1666" s="492"/>
    </row>
    <row r="1667">
      <c r="A1667" s="474">
        <v>1665.0</v>
      </c>
      <c r="B1667" s="475">
        <v>45688.0</v>
      </c>
      <c r="C1667" s="476"/>
      <c r="D1667" s="477" t="s">
        <v>4446</v>
      </c>
      <c r="E1667" s="478" t="s">
        <v>4447</v>
      </c>
      <c r="F1667" s="479" t="s">
        <v>4448</v>
      </c>
      <c r="G1667" s="474" t="s">
        <v>40</v>
      </c>
      <c r="H1667" s="474" t="s">
        <v>41</v>
      </c>
      <c r="I1667" s="474" t="s">
        <v>42</v>
      </c>
      <c r="J1667" s="480">
        <v>2.0</v>
      </c>
      <c r="K1667" s="482"/>
      <c r="L1667" s="482"/>
      <c r="M1667" s="494">
        <v>1.0</v>
      </c>
      <c r="N1667" s="494">
        <v>1.0</v>
      </c>
      <c r="O1667" s="482"/>
      <c r="P1667" s="494">
        <v>1.0</v>
      </c>
      <c r="Q1667" s="476"/>
      <c r="R1667" s="484"/>
      <c r="S1667" s="478" t="s">
        <v>98</v>
      </c>
      <c r="T1667" s="474" t="s">
        <v>58</v>
      </c>
      <c r="U1667" s="474" t="s">
        <v>45</v>
      </c>
      <c r="V1667" s="474" t="s">
        <v>2922</v>
      </c>
      <c r="W1667" s="485"/>
      <c r="X1667" s="485"/>
      <c r="Y1667" s="486"/>
      <c r="Z1667" s="485"/>
      <c r="AA1667" s="487">
        <v>536000.0</v>
      </c>
      <c r="AB1667" s="487">
        <v>1876000.0</v>
      </c>
      <c r="AC1667" s="488" t="s">
        <v>4449</v>
      </c>
      <c r="AD1667" s="474">
        <v>17654.0</v>
      </c>
      <c r="AE1667" s="476"/>
      <c r="AF1667" s="474" t="str">
        <f t="shared" si="1"/>
        <v>Córdoba, Argentina</v>
      </c>
      <c r="AG1667" s="489">
        <f t="shared" si="2"/>
        <v>5</v>
      </c>
      <c r="AH1667" s="490">
        <f t="shared" si="17"/>
        <v>0</v>
      </c>
      <c r="AI1667" s="490">
        <f t="shared" si="12"/>
        <v>0</v>
      </c>
      <c r="AJ1667" s="491">
        <f t="shared" si="5"/>
        <v>2412000</v>
      </c>
      <c r="AK1667" s="491">
        <f t="shared" si="18"/>
        <v>2412000</v>
      </c>
      <c r="AL1667" s="492"/>
      <c r="AM1667" s="492"/>
    </row>
    <row r="1668">
      <c r="A1668" s="474">
        <v>1666.0</v>
      </c>
      <c r="B1668" s="475">
        <v>45688.0</v>
      </c>
      <c r="C1668" s="476"/>
      <c r="D1668" s="477" t="s">
        <v>4450</v>
      </c>
      <c r="E1668" s="478" t="s">
        <v>4451</v>
      </c>
      <c r="F1668" s="479" t="s">
        <v>3416</v>
      </c>
      <c r="G1668" s="474" t="s">
        <v>40</v>
      </c>
      <c r="H1668" s="474" t="s">
        <v>41</v>
      </c>
      <c r="I1668" s="474" t="s">
        <v>643</v>
      </c>
      <c r="J1668" s="480">
        <v>1.0</v>
      </c>
      <c r="K1668" s="493">
        <v>1.0</v>
      </c>
      <c r="L1668" s="482"/>
      <c r="M1668" s="494">
        <v>1.0</v>
      </c>
      <c r="N1668" s="482"/>
      <c r="O1668" s="482"/>
      <c r="P1668" s="483"/>
      <c r="Q1668" s="476"/>
      <c r="R1668" s="484"/>
      <c r="S1668" s="478" t="s">
        <v>98</v>
      </c>
      <c r="T1668" s="474" t="s">
        <v>83</v>
      </c>
      <c r="U1668" s="474" t="s">
        <v>1616</v>
      </c>
      <c r="V1668" s="474" t="s">
        <v>2935</v>
      </c>
      <c r="W1668" s="485"/>
      <c r="X1668" s="485"/>
      <c r="Y1668" s="486"/>
      <c r="Z1668" s="485"/>
      <c r="AA1668" s="487">
        <v>234500.0</v>
      </c>
      <c r="AB1668" s="487">
        <v>996625.0</v>
      </c>
      <c r="AC1668" s="488" t="s">
        <v>4452</v>
      </c>
      <c r="AD1668" s="474">
        <v>17664.0</v>
      </c>
      <c r="AE1668" s="476"/>
      <c r="AF1668" s="474" t="str">
        <f t="shared" si="1"/>
        <v>Capital Federal, Argentina</v>
      </c>
      <c r="AG1668" s="489">
        <f t="shared" si="2"/>
        <v>3</v>
      </c>
      <c r="AH1668" s="490">
        <f t="shared" si="17"/>
        <v>0</v>
      </c>
      <c r="AI1668" s="490">
        <f t="shared" si="12"/>
        <v>0</v>
      </c>
      <c r="AJ1668" s="491">
        <f t="shared" si="5"/>
        <v>1231125</v>
      </c>
      <c r="AK1668" s="491">
        <f t="shared" si="18"/>
        <v>1231125</v>
      </c>
      <c r="AL1668" s="492"/>
      <c r="AM1668" s="492"/>
    </row>
    <row r="1669">
      <c r="A1669" s="474">
        <v>1667.0</v>
      </c>
      <c r="B1669" s="475">
        <v>45688.0</v>
      </c>
      <c r="C1669" s="476"/>
      <c r="D1669" s="477" t="s">
        <v>4453</v>
      </c>
      <c r="E1669" s="478" t="s">
        <v>4454</v>
      </c>
      <c r="F1669" s="479" t="s">
        <v>4455</v>
      </c>
      <c r="G1669" s="474" t="s">
        <v>40</v>
      </c>
      <c r="H1669" s="474" t="s">
        <v>41</v>
      </c>
      <c r="I1669" s="474" t="s">
        <v>42</v>
      </c>
      <c r="J1669" s="480">
        <v>2.0</v>
      </c>
      <c r="K1669" s="493">
        <v>4.0</v>
      </c>
      <c r="L1669" s="482"/>
      <c r="M1669" s="494">
        <v>1.0</v>
      </c>
      <c r="N1669" s="482"/>
      <c r="O1669" s="482"/>
      <c r="P1669" s="483"/>
      <c r="Q1669" s="476"/>
      <c r="R1669" s="484"/>
      <c r="S1669" s="478" t="s">
        <v>43</v>
      </c>
      <c r="T1669" s="474" t="s">
        <v>879</v>
      </c>
      <c r="U1669" s="474" t="s">
        <v>4456</v>
      </c>
      <c r="V1669" s="474" t="s">
        <v>4185</v>
      </c>
      <c r="W1669" s="485"/>
      <c r="X1669" s="485"/>
      <c r="Y1669" s="486"/>
      <c r="Z1669" s="485"/>
      <c r="AA1669" s="487">
        <v>670000.0</v>
      </c>
      <c r="AB1669" s="487">
        <v>2345000.0</v>
      </c>
      <c r="AC1669" s="488" t="s">
        <v>4457</v>
      </c>
      <c r="AD1669" s="474">
        <v>17768.0</v>
      </c>
      <c r="AE1669" s="476"/>
      <c r="AF1669" s="474" t="str">
        <f t="shared" si="1"/>
        <v>Salta, Argentina</v>
      </c>
      <c r="AG1669" s="489">
        <f t="shared" si="2"/>
        <v>7</v>
      </c>
      <c r="AH1669" s="490">
        <f t="shared" si="17"/>
        <v>0</v>
      </c>
      <c r="AI1669" s="490">
        <f t="shared" si="12"/>
        <v>0</v>
      </c>
      <c r="AJ1669" s="491">
        <f t="shared" si="5"/>
        <v>3015000</v>
      </c>
      <c r="AK1669" s="491">
        <f t="shared" si="18"/>
        <v>3015000</v>
      </c>
      <c r="AL1669" s="492"/>
      <c r="AM1669" s="492"/>
    </row>
    <row r="1670">
      <c r="A1670" s="474">
        <v>1668.0</v>
      </c>
      <c r="B1670" s="475">
        <v>45688.0</v>
      </c>
      <c r="C1670" s="476"/>
      <c r="D1670" s="477" t="s">
        <v>4458</v>
      </c>
      <c r="E1670" s="478" t="s">
        <v>4459</v>
      </c>
      <c r="F1670" s="479" t="s">
        <v>4460</v>
      </c>
      <c r="G1670" s="474" t="s">
        <v>40</v>
      </c>
      <c r="H1670" s="474" t="s">
        <v>41</v>
      </c>
      <c r="I1670" s="474" t="s">
        <v>42</v>
      </c>
      <c r="J1670" s="480">
        <v>2.0</v>
      </c>
      <c r="K1670" s="493">
        <v>6.0</v>
      </c>
      <c r="L1670" s="482"/>
      <c r="M1670" s="494">
        <v>1.0</v>
      </c>
      <c r="N1670" s="482"/>
      <c r="O1670" s="482"/>
      <c r="P1670" s="483"/>
      <c r="Q1670" s="476"/>
      <c r="R1670" s="484"/>
      <c r="S1670" s="478" t="s">
        <v>98</v>
      </c>
      <c r="T1670" s="474" t="s">
        <v>66</v>
      </c>
      <c r="U1670" s="474" t="s">
        <v>45</v>
      </c>
      <c r="V1670" s="474" t="s">
        <v>4185</v>
      </c>
      <c r="W1670" s="485"/>
      <c r="X1670" s="485"/>
      <c r="Y1670" s="486"/>
      <c r="Z1670" s="485"/>
      <c r="AA1670" s="487">
        <v>871000.0</v>
      </c>
      <c r="AB1670" s="487">
        <v>3048500.0</v>
      </c>
      <c r="AC1670" s="488" t="s">
        <v>4461</v>
      </c>
      <c r="AD1670" s="474">
        <v>17832.0</v>
      </c>
      <c r="AE1670" s="476"/>
      <c r="AF1670" s="474" t="str">
        <f t="shared" si="1"/>
        <v>Buenos Aires, Argentina</v>
      </c>
      <c r="AG1670" s="489">
        <f t="shared" si="2"/>
        <v>9</v>
      </c>
      <c r="AH1670" s="490">
        <f t="shared" si="17"/>
        <v>0</v>
      </c>
      <c r="AI1670" s="490">
        <f t="shared" si="12"/>
        <v>0</v>
      </c>
      <c r="AJ1670" s="491">
        <f t="shared" si="5"/>
        <v>3919500</v>
      </c>
      <c r="AK1670" s="491">
        <f t="shared" si="18"/>
        <v>3919500</v>
      </c>
      <c r="AL1670" s="492"/>
      <c r="AM1670" s="492"/>
    </row>
    <row r="1671">
      <c r="A1671" s="474">
        <v>1669.0</v>
      </c>
      <c r="B1671" s="475">
        <v>45688.0</v>
      </c>
      <c r="C1671" s="476"/>
      <c r="D1671" s="477" t="s">
        <v>4462</v>
      </c>
      <c r="E1671" s="478" t="s">
        <v>4463</v>
      </c>
      <c r="F1671" s="479" t="s">
        <v>4464</v>
      </c>
      <c r="G1671" s="474" t="s">
        <v>40</v>
      </c>
      <c r="H1671" s="474" t="s">
        <v>547</v>
      </c>
      <c r="I1671" s="474" t="s">
        <v>42</v>
      </c>
      <c r="J1671" s="480">
        <v>1.0</v>
      </c>
      <c r="K1671" s="493">
        <v>2.0</v>
      </c>
      <c r="L1671" s="482"/>
      <c r="M1671" s="494">
        <v>1.0</v>
      </c>
      <c r="N1671" s="482"/>
      <c r="O1671" s="482"/>
      <c r="P1671" s="483"/>
      <c r="Q1671" s="476"/>
      <c r="R1671" s="484"/>
      <c r="S1671" s="478" t="s">
        <v>105</v>
      </c>
      <c r="T1671" s="474" t="s">
        <v>671</v>
      </c>
      <c r="U1671" s="474" t="s">
        <v>4456</v>
      </c>
      <c r="V1671" s="474" t="s">
        <v>2922</v>
      </c>
      <c r="W1671" s="485"/>
      <c r="X1671" s="485"/>
      <c r="Y1671" s="486"/>
      <c r="Z1671" s="485"/>
      <c r="AA1671" s="487">
        <v>257950.0</v>
      </c>
      <c r="AB1671" s="487">
        <v>967312.0</v>
      </c>
      <c r="AC1671" s="476"/>
      <c r="AD1671" s="474">
        <v>17722.0</v>
      </c>
      <c r="AE1671" s="476"/>
      <c r="AF1671" s="474" t="str">
        <f t="shared" si="1"/>
        <v>Chubut, Argentina</v>
      </c>
      <c r="AG1671" s="489">
        <f t="shared" si="2"/>
        <v>4</v>
      </c>
      <c r="AH1671" s="490">
        <f t="shared" si="17"/>
        <v>0</v>
      </c>
      <c r="AI1671" s="490">
        <f t="shared" si="12"/>
        <v>0</v>
      </c>
      <c r="AJ1671" s="491">
        <f t="shared" si="5"/>
        <v>1225262</v>
      </c>
      <c r="AK1671" s="491">
        <f t="shared" si="18"/>
        <v>1225262</v>
      </c>
      <c r="AL1671" s="492"/>
      <c r="AM1671" s="492"/>
    </row>
    <row r="1672">
      <c r="A1672" s="224">
        <v>1670.0</v>
      </c>
      <c r="B1672" s="225">
        <v>45700.0</v>
      </c>
      <c r="C1672" s="229"/>
      <c r="D1672" s="425" t="s">
        <v>4465</v>
      </c>
      <c r="E1672" s="426" t="s">
        <v>4466</v>
      </c>
      <c r="F1672" s="226" t="s">
        <v>4467</v>
      </c>
      <c r="G1672" s="224" t="s">
        <v>40</v>
      </c>
      <c r="H1672" s="224" t="s">
        <v>227</v>
      </c>
      <c r="I1672" s="224" t="s">
        <v>643</v>
      </c>
      <c r="J1672" s="275">
        <v>2.0</v>
      </c>
      <c r="K1672" s="495">
        <v>1.0</v>
      </c>
      <c r="L1672" s="228"/>
      <c r="M1672" s="227">
        <v>1.0</v>
      </c>
      <c r="N1672" s="228"/>
      <c r="O1672" s="227">
        <v>1.0</v>
      </c>
      <c r="P1672" s="496"/>
      <c r="Q1672" s="229"/>
      <c r="R1672" s="497"/>
      <c r="S1672" s="426" t="s">
        <v>89</v>
      </c>
      <c r="T1672" s="224" t="s">
        <v>83</v>
      </c>
      <c r="U1672" s="224" t="s">
        <v>53</v>
      </c>
      <c r="V1672" s="224" t="s">
        <v>2935</v>
      </c>
      <c r="W1672" s="230"/>
      <c r="X1672" s="230"/>
      <c r="Y1672" s="498"/>
      <c r="Z1672" s="230"/>
      <c r="AA1672" s="231">
        <v>587730.0</v>
      </c>
      <c r="AB1672" s="231">
        <v>2057055.0</v>
      </c>
      <c r="AC1672" s="499" t="s">
        <v>4468</v>
      </c>
      <c r="AD1672" s="224">
        <v>18000.0</v>
      </c>
      <c r="AE1672" s="229"/>
      <c r="AF1672" s="224" t="str">
        <f t="shared" si="1"/>
        <v>Capital Federal, Argentina</v>
      </c>
      <c r="AG1672" s="500">
        <f t="shared" si="2"/>
        <v>5</v>
      </c>
      <c r="AH1672" s="501">
        <f t="shared" si="17"/>
        <v>0</v>
      </c>
      <c r="AI1672" s="501">
        <f t="shared" si="12"/>
        <v>0</v>
      </c>
      <c r="AJ1672" s="431">
        <f t="shared" si="5"/>
        <v>2644785</v>
      </c>
      <c r="AK1672" s="431">
        <f t="shared" si="18"/>
        <v>2644785</v>
      </c>
      <c r="AL1672" s="233"/>
      <c r="AM1672" s="233"/>
    </row>
    <row r="1673">
      <c r="A1673" s="224">
        <v>1671.0</v>
      </c>
      <c r="B1673" s="225">
        <v>45702.0</v>
      </c>
      <c r="C1673" s="229"/>
      <c r="D1673" s="425" t="s">
        <v>4269</v>
      </c>
      <c r="E1673" s="426" t="s">
        <v>3190</v>
      </c>
      <c r="F1673" s="226" t="s">
        <v>1423</v>
      </c>
      <c r="G1673" s="224" t="s">
        <v>64</v>
      </c>
      <c r="H1673" s="224" t="s">
        <v>41</v>
      </c>
      <c r="I1673" s="224" t="s">
        <v>643</v>
      </c>
      <c r="J1673" s="275">
        <v>1.0</v>
      </c>
      <c r="K1673" s="502"/>
      <c r="L1673" s="228"/>
      <c r="M1673" s="228"/>
      <c r="N1673" s="228"/>
      <c r="O1673" s="228"/>
      <c r="P1673" s="496"/>
      <c r="Q1673" s="229"/>
      <c r="R1673" s="497"/>
      <c r="S1673" s="426" t="s">
        <v>189</v>
      </c>
      <c r="T1673" s="224" t="s">
        <v>66</v>
      </c>
      <c r="U1673" s="224" t="s">
        <v>99</v>
      </c>
      <c r="V1673" s="224" t="s">
        <v>1984</v>
      </c>
      <c r="W1673" s="230"/>
      <c r="X1673" s="230"/>
      <c r="Y1673" s="498"/>
      <c r="Z1673" s="230"/>
      <c r="AA1673" s="231">
        <v>137000.0</v>
      </c>
      <c r="AB1673" s="231">
        <v>548000.0</v>
      </c>
      <c r="AC1673" s="428" t="s">
        <v>4469</v>
      </c>
      <c r="AD1673" s="224">
        <v>17998.0</v>
      </c>
      <c r="AE1673" s="229"/>
      <c r="AF1673" s="224" t="str">
        <f t="shared" si="1"/>
        <v>Buenos Aires, Argentina</v>
      </c>
      <c r="AG1673" s="500">
        <f t="shared" si="2"/>
        <v>1</v>
      </c>
      <c r="AH1673" s="501">
        <f t="shared" si="17"/>
        <v>0</v>
      </c>
      <c r="AI1673" s="501">
        <f t="shared" si="12"/>
        <v>0</v>
      </c>
      <c r="AJ1673" s="431">
        <f t="shared" si="5"/>
        <v>685000</v>
      </c>
      <c r="AK1673" s="431">
        <f t="shared" si="18"/>
        <v>685000</v>
      </c>
      <c r="AL1673" s="233"/>
      <c r="AM1673" s="233"/>
    </row>
    <row r="1674">
      <c r="A1674" s="224">
        <v>1672.0</v>
      </c>
      <c r="B1674" s="225">
        <v>45706.0</v>
      </c>
      <c r="C1674" s="229"/>
      <c r="D1674" s="425" t="s">
        <v>4470</v>
      </c>
      <c r="E1674" s="426" t="s">
        <v>3667</v>
      </c>
      <c r="F1674" s="226" t="s">
        <v>3341</v>
      </c>
      <c r="G1674" s="224" t="s">
        <v>64</v>
      </c>
      <c r="H1674" s="224" t="s">
        <v>41</v>
      </c>
      <c r="I1674" s="224" t="s">
        <v>643</v>
      </c>
      <c r="J1674" s="228"/>
      <c r="K1674" s="502"/>
      <c r="L1674" s="228"/>
      <c r="M1674" s="228"/>
      <c r="N1674" s="228"/>
      <c r="O1674" s="228"/>
      <c r="P1674" s="496"/>
      <c r="Q1674" s="229"/>
      <c r="R1674" s="497"/>
      <c r="S1674" s="426" t="s">
        <v>65</v>
      </c>
      <c r="T1674" s="224" t="s">
        <v>66</v>
      </c>
      <c r="U1674" s="224" t="s">
        <v>99</v>
      </c>
      <c r="V1674" s="224" t="s">
        <v>1984</v>
      </c>
      <c r="W1674" s="230"/>
      <c r="X1674" s="230"/>
      <c r="Y1674" s="498"/>
      <c r="Z1674" s="230"/>
      <c r="AA1674" s="231">
        <v>0.0</v>
      </c>
      <c r="AB1674" s="231">
        <v>657600.0</v>
      </c>
      <c r="AC1674" s="499" t="s">
        <v>4471</v>
      </c>
      <c r="AD1674" s="224">
        <v>18034.0</v>
      </c>
      <c r="AE1674" s="229"/>
      <c r="AF1674" s="224" t="str">
        <f t="shared" si="1"/>
        <v>Buenos Aires, Argentina</v>
      </c>
      <c r="AG1674" s="500">
        <f t="shared" si="2"/>
        <v>0</v>
      </c>
      <c r="AH1674" s="501">
        <f t="shared" si="17"/>
        <v>0</v>
      </c>
      <c r="AI1674" s="501">
        <f t="shared" si="12"/>
        <v>0</v>
      </c>
      <c r="AJ1674" s="431">
        <f t="shared" si="5"/>
        <v>657600</v>
      </c>
      <c r="AK1674" s="431">
        <f t="shared" si="18"/>
        <v>657600</v>
      </c>
      <c r="AL1674" s="233"/>
      <c r="AM1674" s="233"/>
    </row>
    <row r="1675">
      <c r="A1675" s="224">
        <v>1673.0</v>
      </c>
      <c r="B1675" s="225">
        <v>45707.0</v>
      </c>
      <c r="C1675" s="229"/>
      <c r="D1675" s="425" t="s">
        <v>3894</v>
      </c>
      <c r="E1675" s="426" t="s">
        <v>3895</v>
      </c>
      <c r="F1675" s="226" t="s">
        <v>1878</v>
      </c>
      <c r="G1675" s="224" t="s">
        <v>64</v>
      </c>
      <c r="H1675" s="224" t="s">
        <v>41</v>
      </c>
      <c r="I1675" s="224" t="s">
        <v>643</v>
      </c>
      <c r="J1675" s="228"/>
      <c r="K1675" s="502"/>
      <c r="L1675" s="228"/>
      <c r="M1675" s="228"/>
      <c r="N1675" s="227">
        <v>1.0</v>
      </c>
      <c r="O1675" s="228"/>
      <c r="P1675" s="496"/>
      <c r="Q1675" s="229"/>
      <c r="R1675" s="497"/>
      <c r="S1675" s="426" t="s">
        <v>189</v>
      </c>
      <c r="T1675" s="224" t="s">
        <v>66</v>
      </c>
      <c r="U1675" s="224" t="s">
        <v>99</v>
      </c>
      <c r="V1675" s="224" t="s">
        <v>1984</v>
      </c>
      <c r="W1675" s="230"/>
      <c r="X1675" s="230"/>
      <c r="Y1675" s="498"/>
      <c r="Z1675" s="230"/>
      <c r="AA1675" s="231">
        <v>137000.0</v>
      </c>
      <c r="AB1675" s="231">
        <v>548000.0</v>
      </c>
      <c r="AC1675" s="499" t="s">
        <v>4472</v>
      </c>
      <c r="AD1675" s="224">
        <v>17958.0</v>
      </c>
      <c r="AE1675" s="229"/>
      <c r="AF1675" s="224" t="str">
        <f t="shared" si="1"/>
        <v>Buenos Aires, Argentina</v>
      </c>
      <c r="AG1675" s="500">
        <f t="shared" si="2"/>
        <v>1</v>
      </c>
      <c r="AH1675" s="501">
        <f t="shared" si="17"/>
        <v>0</v>
      </c>
      <c r="AI1675" s="501">
        <f t="shared" si="12"/>
        <v>0</v>
      </c>
      <c r="AJ1675" s="431">
        <f t="shared" si="5"/>
        <v>685000</v>
      </c>
      <c r="AK1675" s="431">
        <f t="shared" si="18"/>
        <v>685000</v>
      </c>
      <c r="AL1675" s="233"/>
      <c r="AM1675" s="233"/>
    </row>
    <row r="1676">
      <c r="A1676" s="224">
        <v>1674.0</v>
      </c>
      <c r="B1676" s="225">
        <v>45707.0</v>
      </c>
      <c r="C1676" s="229"/>
      <c r="D1676" s="425" t="s">
        <v>4473</v>
      </c>
      <c r="E1676" s="426" t="s">
        <v>4474</v>
      </c>
      <c r="F1676" s="226" t="s">
        <v>2327</v>
      </c>
      <c r="G1676" s="224" t="s">
        <v>40</v>
      </c>
      <c r="H1676" s="224" t="s">
        <v>41</v>
      </c>
      <c r="I1676" s="224" t="s">
        <v>42</v>
      </c>
      <c r="J1676" s="275">
        <v>1.0</v>
      </c>
      <c r="K1676" s="502"/>
      <c r="L1676" s="228"/>
      <c r="M1676" s="227">
        <v>1.0</v>
      </c>
      <c r="N1676" s="228"/>
      <c r="O1676" s="228"/>
      <c r="P1676" s="496"/>
      <c r="Q1676" s="229"/>
      <c r="R1676" s="497"/>
      <c r="S1676" s="426" t="s">
        <v>65</v>
      </c>
      <c r="T1676" s="224" t="s">
        <v>66</v>
      </c>
      <c r="U1676" s="224" t="s">
        <v>4456</v>
      </c>
      <c r="V1676" s="224" t="s">
        <v>2922</v>
      </c>
      <c r="W1676" s="230"/>
      <c r="X1676" s="230"/>
      <c r="Y1676" s="498"/>
      <c r="Z1676" s="230"/>
      <c r="AA1676" s="231">
        <v>137000.0</v>
      </c>
      <c r="AB1676" s="231">
        <v>479500.0</v>
      </c>
      <c r="AC1676" s="499" t="s">
        <v>4475</v>
      </c>
      <c r="AD1676" s="224">
        <v>17574.0</v>
      </c>
      <c r="AE1676" s="229"/>
      <c r="AF1676" s="224" t="str">
        <f t="shared" si="1"/>
        <v>Buenos Aires, Argentina</v>
      </c>
      <c r="AG1676" s="500">
        <f t="shared" si="2"/>
        <v>2</v>
      </c>
      <c r="AH1676" s="501">
        <f t="shared" si="17"/>
        <v>0</v>
      </c>
      <c r="AI1676" s="501">
        <f t="shared" si="12"/>
        <v>0</v>
      </c>
      <c r="AJ1676" s="431">
        <f t="shared" si="5"/>
        <v>616500</v>
      </c>
      <c r="AK1676" s="431">
        <f t="shared" si="18"/>
        <v>616500</v>
      </c>
      <c r="AL1676" s="233"/>
      <c r="AM1676" s="233"/>
    </row>
    <row r="1677">
      <c r="A1677" s="224">
        <v>1675.0</v>
      </c>
      <c r="B1677" s="225">
        <v>45707.0</v>
      </c>
      <c r="C1677" s="229"/>
      <c r="D1677" s="425" t="s">
        <v>4476</v>
      </c>
      <c r="E1677" s="426" t="s">
        <v>3014</v>
      </c>
      <c r="F1677" s="226" t="s">
        <v>4477</v>
      </c>
      <c r="G1677" s="224" t="s">
        <v>64</v>
      </c>
      <c r="H1677" s="224" t="s">
        <v>41</v>
      </c>
      <c r="I1677" s="224" t="s">
        <v>643</v>
      </c>
      <c r="J1677" s="228"/>
      <c r="K1677" s="502"/>
      <c r="L1677" s="228"/>
      <c r="M1677" s="228"/>
      <c r="N1677" s="228"/>
      <c r="O1677" s="228"/>
      <c r="P1677" s="496"/>
      <c r="Q1677" s="229"/>
      <c r="R1677" s="497"/>
      <c r="S1677" s="426" t="s">
        <v>65</v>
      </c>
      <c r="T1677" s="224" t="s">
        <v>66</v>
      </c>
      <c r="U1677" s="224" t="s">
        <v>99</v>
      </c>
      <c r="V1677" s="224" t="s">
        <v>1984</v>
      </c>
      <c r="W1677" s="230"/>
      <c r="X1677" s="230"/>
      <c r="Y1677" s="498"/>
      <c r="Z1677" s="230"/>
      <c r="AA1677" s="231">
        <v>0.0</v>
      </c>
      <c r="AB1677" s="231">
        <v>0.0</v>
      </c>
      <c r="AC1677" s="499" t="s">
        <v>4478</v>
      </c>
      <c r="AD1677" s="224">
        <v>18076.0</v>
      </c>
      <c r="AE1677" s="229"/>
      <c r="AF1677" s="224" t="str">
        <f t="shared" si="1"/>
        <v>Buenos Aires, Argentina</v>
      </c>
      <c r="AG1677" s="500">
        <f t="shared" si="2"/>
        <v>0</v>
      </c>
      <c r="AH1677" s="501">
        <f t="shared" si="17"/>
        <v>0</v>
      </c>
      <c r="AI1677" s="501">
        <f t="shared" si="12"/>
        <v>0</v>
      </c>
      <c r="AJ1677" s="431">
        <f t="shared" si="5"/>
        <v>0</v>
      </c>
      <c r="AK1677" s="431">
        <f t="shared" si="18"/>
        <v>0</v>
      </c>
      <c r="AL1677" s="233"/>
      <c r="AM1677" s="233"/>
    </row>
    <row r="1678">
      <c r="A1678" s="224">
        <v>1676.0</v>
      </c>
      <c r="B1678" s="225">
        <v>45709.0</v>
      </c>
      <c r="C1678" s="229"/>
      <c r="D1678" s="425" t="s">
        <v>4479</v>
      </c>
      <c r="E1678" s="426" t="s">
        <v>4480</v>
      </c>
      <c r="F1678" s="226" t="s">
        <v>3792</v>
      </c>
      <c r="G1678" s="224" t="s">
        <v>40</v>
      </c>
      <c r="H1678" s="224" t="s">
        <v>547</v>
      </c>
      <c r="I1678" s="224" t="s">
        <v>42</v>
      </c>
      <c r="J1678" s="275">
        <v>1.0</v>
      </c>
      <c r="K1678" s="495">
        <v>2.0</v>
      </c>
      <c r="L1678" s="228"/>
      <c r="M1678" s="227">
        <v>1.0</v>
      </c>
      <c r="N1678" s="228"/>
      <c r="O1678" s="228"/>
      <c r="P1678" s="496"/>
      <c r="Q1678" s="229"/>
      <c r="R1678" s="497"/>
      <c r="S1678" s="426" t="s">
        <v>137</v>
      </c>
      <c r="T1678" s="224" t="s">
        <v>972</v>
      </c>
      <c r="U1678" s="224" t="s">
        <v>45</v>
      </c>
      <c r="V1678" s="224" t="s">
        <v>4376</v>
      </c>
      <c r="W1678" s="230"/>
      <c r="X1678" s="230"/>
      <c r="Y1678" s="498"/>
      <c r="Z1678" s="230"/>
      <c r="AA1678" s="231">
        <v>263726.0</v>
      </c>
      <c r="AB1678" s="231">
        <v>988973.0</v>
      </c>
      <c r="AC1678" s="499" t="s">
        <v>4481</v>
      </c>
      <c r="AD1678" s="224">
        <v>17024.0</v>
      </c>
      <c r="AE1678" s="229"/>
      <c r="AF1678" s="224" t="str">
        <f t="shared" si="1"/>
        <v>Río Negro, Argentina</v>
      </c>
      <c r="AG1678" s="500">
        <f t="shared" si="2"/>
        <v>4</v>
      </c>
      <c r="AH1678" s="501">
        <f t="shared" si="17"/>
        <v>0</v>
      </c>
      <c r="AI1678" s="501">
        <f t="shared" si="12"/>
        <v>0</v>
      </c>
      <c r="AJ1678" s="431">
        <f t="shared" si="5"/>
        <v>1252699</v>
      </c>
      <c r="AK1678" s="431">
        <f t="shared" si="18"/>
        <v>1252699</v>
      </c>
      <c r="AL1678" s="233"/>
      <c r="AM1678" s="233"/>
    </row>
    <row r="1679">
      <c r="A1679" s="224">
        <v>1677.0</v>
      </c>
      <c r="B1679" s="225">
        <v>45712.0</v>
      </c>
      <c r="C1679" s="229"/>
      <c r="D1679" s="425" t="s">
        <v>4037</v>
      </c>
      <c r="E1679" s="426" t="s">
        <v>4038</v>
      </c>
      <c r="F1679" s="226" t="s">
        <v>4482</v>
      </c>
      <c r="G1679" s="224" t="s">
        <v>64</v>
      </c>
      <c r="H1679" s="224" t="s">
        <v>41</v>
      </c>
      <c r="I1679" s="224" t="s">
        <v>643</v>
      </c>
      <c r="J1679" s="275">
        <v>1.0</v>
      </c>
      <c r="K1679" s="502"/>
      <c r="L1679" s="228"/>
      <c r="M1679" s="228"/>
      <c r="N1679" s="228"/>
      <c r="O1679" s="228"/>
      <c r="P1679" s="496"/>
      <c r="Q1679" s="229"/>
      <c r="R1679" s="497"/>
      <c r="S1679" s="426" t="s">
        <v>137</v>
      </c>
      <c r="T1679" s="224" t="s">
        <v>66</v>
      </c>
      <c r="U1679" s="224" t="s">
        <v>99</v>
      </c>
      <c r="V1679" s="224" t="s">
        <v>1984</v>
      </c>
      <c r="W1679" s="230"/>
      <c r="X1679" s="230"/>
      <c r="Y1679" s="498"/>
      <c r="Z1679" s="230"/>
      <c r="AA1679" s="231">
        <v>137000.0</v>
      </c>
      <c r="AB1679" s="231">
        <v>959000.0</v>
      </c>
      <c r="AC1679" s="499" t="s">
        <v>4483</v>
      </c>
      <c r="AD1679" s="224">
        <v>17980.0</v>
      </c>
      <c r="AE1679" s="229"/>
      <c r="AF1679" s="224" t="str">
        <f t="shared" si="1"/>
        <v>Buenos Aires, Argentina</v>
      </c>
      <c r="AG1679" s="500">
        <f t="shared" si="2"/>
        <v>1</v>
      </c>
      <c r="AH1679" s="501">
        <f t="shared" si="17"/>
        <v>0</v>
      </c>
      <c r="AI1679" s="501">
        <f t="shared" si="12"/>
        <v>0</v>
      </c>
      <c r="AJ1679" s="431">
        <f t="shared" si="5"/>
        <v>1096000</v>
      </c>
      <c r="AK1679" s="431">
        <f t="shared" si="18"/>
        <v>1096000</v>
      </c>
      <c r="AL1679" s="233"/>
      <c r="AM1679" s="233"/>
    </row>
    <row r="1680">
      <c r="A1680" s="224">
        <v>1678.0</v>
      </c>
      <c r="B1680" s="225">
        <v>45714.0</v>
      </c>
      <c r="C1680" s="229"/>
      <c r="D1680" s="425" t="s">
        <v>4446</v>
      </c>
      <c r="E1680" s="426" t="s">
        <v>4447</v>
      </c>
      <c r="F1680" s="226" t="s">
        <v>4484</v>
      </c>
      <c r="G1680" s="224" t="s">
        <v>64</v>
      </c>
      <c r="H1680" s="224" t="s">
        <v>41</v>
      </c>
      <c r="I1680" s="224" t="s">
        <v>643</v>
      </c>
      <c r="J1680" s="228"/>
      <c r="K1680" s="502"/>
      <c r="L1680" s="228"/>
      <c r="M1680" s="228"/>
      <c r="N1680" s="228"/>
      <c r="O1680" s="228"/>
      <c r="P1680" s="496"/>
      <c r="Q1680" s="229"/>
      <c r="R1680" s="497"/>
      <c r="S1680" s="426" t="s">
        <v>98</v>
      </c>
      <c r="T1680" s="224" t="s">
        <v>58</v>
      </c>
      <c r="U1680" s="224" t="s">
        <v>99</v>
      </c>
      <c r="V1680" s="224" t="s">
        <v>1984</v>
      </c>
      <c r="W1680" s="231">
        <v>198256.0</v>
      </c>
      <c r="X1680" s="231">
        <v>892152.0</v>
      </c>
      <c r="Y1680" s="498"/>
      <c r="Z1680" s="230"/>
      <c r="AA1680" s="231">
        <v>0.0</v>
      </c>
      <c r="AB1680" s="231">
        <v>0.0</v>
      </c>
      <c r="AC1680" s="499" t="s">
        <v>4485</v>
      </c>
      <c r="AD1680" s="224">
        <v>17828.0</v>
      </c>
      <c r="AE1680" s="229"/>
      <c r="AF1680" s="224" t="str">
        <f t="shared" si="1"/>
        <v>Córdoba, Argentina</v>
      </c>
      <c r="AG1680" s="500">
        <f t="shared" si="2"/>
        <v>0</v>
      </c>
      <c r="AH1680" s="501">
        <f t="shared" si="17"/>
        <v>1090408</v>
      </c>
      <c r="AI1680" s="501">
        <f t="shared" si="12"/>
        <v>0</v>
      </c>
      <c r="AJ1680" s="431">
        <f t="shared" si="5"/>
        <v>0</v>
      </c>
      <c r="AK1680" s="431">
        <f t="shared" si="18"/>
        <v>1090408</v>
      </c>
      <c r="AL1680" s="233"/>
      <c r="AM1680" s="233"/>
    </row>
    <row r="1681">
      <c r="A1681" s="224">
        <v>1679.0</v>
      </c>
      <c r="B1681" s="225">
        <v>45715.0</v>
      </c>
      <c r="C1681" s="229"/>
      <c r="D1681" s="425" t="s">
        <v>4033</v>
      </c>
      <c r="E1681" s="426" t="s">
        <v>4034</v>
      </c>
      <c r="F1681" s="226" t="s">
        <v>4486</v>
      </c>
      <c r="G1681" s="224" t="s">
        <v>64</v>
      </c>
      <c r="H1681" s="224" t="s">
        <v>41</v>
      </c>
      <c r="I1681" s="224" t="s">
        <v>643</v>
      </c>
      <c r="J1681" s="275">
        <v>2.0</v>
      </c>
      <c r="K1681" s="495">
        <v>1.0</v>
      </c>
      <c r="L1681" s="228"/>
      <c r="M1681" s="228"/>
      <c r="N1681" s="228"/>
      <c r="O1681" s="227">
        <v>1.0</v>
      </c>
      <c r="P1681" s="496"/>
      <c r="Q1681" s="229"/>
      <c r="R1681" s="497"/>
      <c r="S1681" s="426" t="s">
        <v>72</v>
      </c>
      <c r="T1681" s="224" t="s">
        <v>83</v>
      </c>
      <c r="U1681" s="224" t="s">
        <v>99</v>
      </c>
      <c r="V1681" s="224" t="s">
        <v>1984</v>
      </c>
      <c r="W1681" s="230"/>
      <c r="X1681" s="230"/>
      <c r="Y1681" s="498"/>
      <c r="Z1681" s="230"/>
      <c r="AA1681" s="231">
        <v>452100.0</v>
      </c>
      <c r="AB1681" s="231">
        <v>1479600.0</v>
      </c>
      <c r="AC1681" s="499" t="s">
        <v>4487</v>
      </c>
      <c r="AD1681" s="224">
        <v>18116.0</v>
      </c>
      <c r="AE1681" s="229"/>
      <c r="AF1681" s="224" t="str">
        <f t="shared" si="1"/>
        <v>Capital Federal, Argentina</v>
      </c>
      <c r="AG1681" s="500">
        <f t="shared" si="2"/>
        <v>4</v>
      </c>
      <c r="AH1681" s="501">
        <f t="shared" si="17"/>
        <v>0</v>
      </c>
      <c r="AI1681" s="501">
        <f t="shared" si="12"/>
        <v>0</v>
      </c>
      <c r="AJ1681" s="431">
        <f t="shared" si="5"/>
        <v>1931700</v>
      </c>
      <c r="AK1681" s="431">
        <f t="shared" si="18"/>
        <v>1931700</v>
      </c>
      <c r="AL1681" s="233"/>
      <c r="AM1681" s="233"/>
    </row>
    <row r="1682">
      <c r="A1682" s="224">
        <v>1680.0</v>
      </c>
      <c r="B1682" s="225">
        <v>45715.0</v>
      </c>
      <c r="C1682" s="229"/>
      <c r="D1682" s="425" t="s">
        <v>3063</v>
      </c>
      <c r="E1682" s="426" t="s">
        <v>3064</v>
      </c>
      <c r="F1682" s="226" t="s">
        <v>1423</v>
      </c>
      <c r="G1682" s="224" t="s">
        <v>64</v>
      </c>
      <c r="H1682" s="224" t="s">
        <v>41</v>
      </c>
      <c r="I1682" s="224" t="s">
        <v>643</v>
      </c>
      <c r="J1682" s="275">
        <v>1.0</v>
      </c>
      <c r="K1682" s="502"/>
      <c r="L1682" s="228"/>
      <c r="M1682" s="228"/>
      <c r="N1682" s="228"/>
      <c r="O1682" s="228"/>
      <c r="P1682" s="496"/>
      <c r="Q1682" s="229"/>
      <c r="R1682" s="497"/>
      <c r="S1682" s="426" t="s">
        <v>65</v>
      </c>
      <c r="T1682" s="224" t="s">
        <v>972</v>
      </c>
      <c r="U1682" s="224" t="s">
        <v>99</v>
      </c>
      <c r="V1682" s="224" t="s">
        <v>1984</v>
      </c>
      <c r="W1682" s="230"/>
      <c r="X1682" s="230"/>
      <c r="Y1682" s="498"/>
      <c r="Z1682" s="230"/>
      <c r="AA1682" s="231">
        <v>123300.0</v>
      </c>
      <c r="AB1682" s="231">
        <v>479500.0</v>
      </c>
      <c r="AC1682" s="499" t="s">
        <v>4488</v>
      </c>
      <c r="AD1682" s="224">
        <v>18158.0</v>
      </c>
      <c r="AE1682" s="229"/>
      <c r="AF1682" s="224" t="str">
        <f t="shared" si="1"/>
        <v>Río Negro, Argentina</v>
      </c>
      <c r="AG1682" s="500">
        <f t="shared" si="2"/>
        <v>1</v>
      </c>
      <c r="AH1682" s="501">
        <f t="shared" si="17"/>
        <v>0</v>
      </c>
      <c r="AI1682" s="501">
        <f t="shared" si="12"/>
        <v>0</v>
      </c>
      <c r="AJ1682" s="431">
        <f t="shared" si="5"/>
        <v>602800</v>
      </c>
      <c r="AK1682" s="431">
        <f t="shared" si="18"/>
        <v>602800</v>
      </c>
      <c r="AL1682" s="233"/>
      <c r="AM1682" s="233"/>
    </row>
    <row r="1683">
      <c r="A1683" s="224">
        <v>1681.0</v>
      </c>
      <c r="B1683" s="225">
        <v>45716.0</v>
      </c>
      <c r="C1683" s="229"/>
      <c r="D1683" s="425" t="s">
        <v>4489</v>
      </c>
      <c r="E1683" s="426" t="s">
        <v>4490</v>
      </c>
      <c r="F1683" s="226" t="s">
        <v>2327</v>
      </c>
      <c r="G1683" s="224" t="s">
        <v>40</v>
      </c>
      <c r="H1683" s="224" t="s">
        <v>41</v>
      </c>
      <c r="I1683" s="224" t="s">
        <v>42</v>
      </c>
      <c r="J1683" s="275">
        <v>1.0</v>
      </c>
      <c r="K1683" s="502"/>
      <c r="L1683" s="228"/>
      <c r="M1683" s="227">
        <v>1.0</v>
      </c>
      <c r="N1683" s="228"/>
      <c r="O1683" s="228"/>
      <c r="P1683" s="496"/>
      <c r="Q1683" s="229"/>
      <c r="R1683" s="497"/>
      <c r="S1683" s="426" t="s">
        <v>72</v>
      </c>
      <c r="T1683" s="224" t="s">
        <v>66</v>
      </c>
      <c r="U1683" s="224" t="s">
        <v>342</v>
      </c>
      <c r="V1683" s="224" t="s">
        <v>2922</v>
      </c>
      <c r="W1683" s="230"/>
      <c r="X1683" s="230"/>
      <c r="Y1683" s="498"/>
      <c r="Z1683" s="230"/>
      <c r="AA1683" s="231">
        <v>137000.0</v>
      </c>
      <c r="AB1683" s="231">
        <v>479500.0</v>
      </c>
      <c r="AC1683" s="499" t="s">
        <v>4491</v>
      </c>
      <c r="AD1683" s="224">
        <v>15208.0</v>
      </c>
      <c r="AE1683" s="229"/>
      <c r="AF1683" s="224" t="str">
        <f t="shared" si="1"/>
        <v>Buenos Aires, Argentina</v>
      </c>
      <c r="AG1683" s="500">
        <f t="shared" si="2"/>
        <v>2</v>
      </c>
      <c r="AH1683" s="501">
        <f t="shared" si="17"/>
        <v>0</v>
      </c>
      <c r="AI1683" s="501">
        <f t="shared" si="12"/>
        <v>0</v>
      </c>
      <c r="AJ1683" s="431">
        <f t="shared" si="5"/>
        <v>616500</v>
      </c>
      <c r="AK1683" s="431">
        <f t="shared" si="18"/>
        <v>616500</v>
      </c>
      <c r="AL1683" s="233"/>
      <c r="AM1683" s="233"/>
    </row>
    <row r="1684">
      <c r="A1684" s="224">
        <v>1682.0</v>
      </c>
      <c r="B1684" s="225">
        <v>45716.0</v>
      </c>
      <c r="C1684" s="229"/>
      <c r="D1684" s="425" t="s">
        <v>4291</v>
      </c>
      <c r="E1684" s="426" t="s">
        <v>4292</v>
      </c>
      <c r="F1684" s="226" t="s">
        <v>4492</v>
      </c>
      <c r="G1684" s="224" t="s">
        <v>64</v>
      </c>
      <c r="H1684" s="224" t="s">
        <v>41</v>
      </c>
      <c r="I1684" s="224" t="s">
        <v>42</v>
      </c>
      <c r="J1684" s="228"/>
      <c r="K1684" s="502"/>
      <c r="L1684" s="228"/>
      <c r="M1684" s="228"/>
      <c r="N1684" s="227">
        <v>1.0</v>
      </c>
      <c r="O1684" s="228"/>
      <c r="P1684" s="227">
        <v>1.0</v>
      </c>
      <c r="Q1684" s="229"/>
      <c r="R1684" s="497"/>
      <c r="S1684" s="426" t="s">
        <v>189</v>
      </c>
      <c r="T1684" s="224" t="s">
        <v>83</v>
      </c>
      <c r="U1684" s="224" t="s">
        <v>99</v>
      </c>
      <c r="V1684" s="224" t="s">
        <v>2922</v>
      </c>
      <c r="W1684" s="230"/>
      <c r="X1684" s="230"/>
      <c r="Y1684" s="498"/>
      <c r="Z1684" s="230"/>
      <c r="AA1684" s="231">
        <v>274000.0</v>
      </c>
      <c r="AB1684" s="231">
        <v>1233000.0</v>
      </c>
      <c r="AC1684" s="499" t="s">
        <v>4493</v>
      </c>
      <c r="AD1684" s="224">
        <v>17846.0</v>
      </c>
      <c r="AE1684" s="229"/>
      <c r="AF1684" s="224" t="str">
        <f t="shared" si="1"/>
        <v>Capital Federal, Argentina</v>
      </c>
      <c r="AG1684" s="500">
        <f t="shared" si="2"/>
        <v>2</v>
      </c>
      <c r="AH1684" s="501">
        <f t="shared" si="17"/>
        <v>0</v>
      </c>
      <c r="AI1684" s="501">
        <f t="shared" si="12"/>
        <v>0</v>
      </c>
      <c r="AJ1684" s="431">
        <f t="shared" si="5"/>
        <v>1507000</v>
      </c>
      <c r="AK1684" s="431">
        <f t="shared" si="18"/>
        <v>1507000</v>
      </c>
      <c r="AL1684" s="233"/>
      <c r="AM1684" s="233"/>
    </row>
    <row r="1685">
      <c r="A1685" s="224">
        <v>1683.0</v>
      </c>
      <c r="B1685" s="225">
        <v>45716.0</v>
      </c>
      <c r="C1685" s="229"/>
      <c r="D1685" s="425" t="s">
        <v>4494</v>
      </c>
      <c r="E1685" s="426" t="s">
        <v>4495</v>
      </c>
      <c r="F1685" s="226" t="s">
        <v>3416</v>
      </c>
      <c r="G1685" s="224" t="s">
        <v>40</v>
      </c>
      <c r="H1685" s="224" t="s">
        <v>41</v>
      </c>
      <c r="I1685" s="224" t="s">
        <v>42</v>
      </c>
      <c r="J1685" s="275">
        <v>1.0</v>
      </c>
      <c r="K1685" s="495">
        <v>1.0</v>
      </c>
      <c r="L1685" s="228"/>
      <c r="M1685" s="227">
        <v>1.0</v>
      </c>
      <c r="N1685" s="228"/>
      <c r="O1685" s="228"/>
      <c r="P1685" s="496"/>
      <c r="Q1685" s="229"/>
      <c r="R1685" s="497"/>
      <c r="S1685" s="426" t="s">
        <v>105</v>
      </c>
      <c r="T1685" s="224" t="s">
        <v>66</v>
      </c>
      <c r="U1685" s="224" t="s">
        <v>4456</v>
      </c>
      <c r="V1685" s="224" t="s">
        <v>4185</v>
      </c>
      <c r="W1685" s="230"/>
      <c r="X1685" s="230"/>
      <c r="Y1685" s="498"/>
      <c r="Z1685" s="230"/>
      <c r="AA1685" s="231">
        <v>239750.0</v>
      </c>
      <c r="AB1685" s="231">
        <v>839125.0</v>
      </c>
      <c r="AC1685" s="499" t="s">
        <v>4496</v>
      </c>
      <c r="AD1685" s="224">
        <v>18066.0</v>
      </c>
      <c r="AE1685" s="229"/>
      <c r="AF1685" s="224" t="str">
        <f t="shared" si="1"/>
        <v>Buenos Aires, Argentina</v>
      </c>
      <c r="AG1685" s="500">
        <f t="shared" si="2"/>
        <v>3</v>
      </c>
      <c r="AH1685" s="501">
        <f t="shared" si="17"/>
        <v>0</v>
      </c>
      <c r="AI1685" s="501">
        <f t="shared" si="12"/>
        <v>0</v>
      </c>
      <c r="AJ1685" s="431">
        <f t="shared" si="5"/>
        <v>1078875</v>
      </c>
      <c r="AK1685" s="431">
        <f t="shared" si="18"/>
        <v>1078875</v>
      </c>
      <c r="AL1685" s="233"/>
      <c r="AM1685" s="233"/>
    </row>
    <row r="1686">
      <c r="A1686" s="224">
        <v>1684.0</v>
      </c>
      <c r="B1686" s="225">
        <v>45716.0</v>
      </c>
      <c r="C1686" s="229"/>
      <c r="D1686" s="425" t="s">
        <v>4277</v>
      </c>
      <c r="E1686" s="426" t="s">
        <v>4278</v>
      </c>
      <c r="F1686" s="226" t="s">
        <v>1511</v>
      </c>
      <c r="G1686" s="224" t="s">
        <v>64</v>
      </c>
      <c r="H1686" s="224" t="s">
        <v>227</v>
      </c>
      <c r="I1686" s="224" t="s">
        <v>643</v>
      </c>
      <c r="J1686" s="227">
        <v>2.0</v>
      </c>
      <c r="K1686" s="227">
        <v>2.0</v>
      </c>
      <c r="L1686" s="228"/>
      <c r="M1686" s="228"/>
      <c r="N1686" s="228"/>
      <c r="O1686" s="228"/>
      <c r="P1686" s="228"/>
      <c r="Q1686" s="229"/>
      <c r="R1686" s="229"/>
      <c r="S1686" s="224" t="s">
        <v>89</v>
      </c>
      <c r="T1686" s="427" t="s">
        <v>83</v>
      </c>
      <c r="U1686" s="427" t="s">
        <v>99</v>
      </c>
      <c r="V1686" s="427" t="s">
        <v>1984</v>
      </c>
      <c r="W1686" s="230"/>
      <c r="X1686" s="230"/>
      <c r="Y1686" s="498"/>
      <c r="Z1686" s="230"/>
      <c r="AA1686" s="231">
        <v>623350.0</v>
      </c>
      <c r="AB1686" s="231">
        <v>1723116.0</v>
      </c>
      <c r="AC1686" s="499" t="s">
        <v>4497</v>
      </c>
      <c r="AD1686" s="224">
        <v>18238.0</v>
      </c>
      <c r="AE1686" s="229"/>
      <c r="AF1686" s="224" t="str">
        <f t="shared" si="1"/>
        <v>Capital Federal, Argentina</v>
      </c>
      <c r="AG1686" s="500">
        <f t="shared" si="2"/>
        <v>4</v>
      </c>
      <c r="AH1686" s="501">
        <f t="shared" si="17"/>
        <v>0</v>
      </c>
      <c r="AI1686" s="501">
        <f t="shared" si="12"/>
        <v>0</v>
      </c>
      <c r="AJ1686" s="431">
        <f t="shared" si="5"/>
        <v>2346466</v>
      </c>
      <c r="AK1686" s="431">
        <f t="shared" si="18"/>
        <v>2346466</v>
      </c>
      <c r="AL1686" s="233"/>
      <c r="AM1686" s="233"/>
    </row>
    <row r="1687">
      <c r="A1687" s="224">
        <v>1685.0</v>
      </c>
      <c r="B1687" s="225">
        <v>45716.0</v>
      </c>
      <c r="C1687" s="229"/>
      <c r="D1687" s="425" t="s">
        <v>4291</v>
      </c>
      <c r="E1687" s="426" t="s">
        <v>4292</v>
      </c>
      <c r="F1687" s="226" t="s">
        <v>4498</v>
      </c>
      <c r="G1687" s="224" t="s">
        <v>64</v>
      </c>
      <c r="H1687" s="224" t="s">
        <v>41</v>
      </c>
      <c r="I1687" s="224" t="s">
        <v>643</v>
      </c>
      <c r="J1687" s="228"/>
      <c r="K1687" s="502"/>
      <c r="L1687" s="228"/>
      <c r="M1687" s="228"/>
      <c r="N1687" s="228"/>
      <c r="O1687" s="228"/>
      <c r="P1687" s="496"/>
      <c r="Q1687" s="229"/>
      <c r="R1687" s="497"/>
      <c r="S1687" s="426" t="s">
        <v>189</v>
      </c>
      <c r="T1687" s="224" t="s">
        <v>83</v>
      </c>
      <c r="U1687" s="224" t="s">
        <v>99</v>
      </c>
      <c r="V1687" s="224" t="s">
        <v>1984</v>
      </c>
      <c r="W1687" s="231">
        <v>198256.0</v>
      </c>
      <c r="X1687" s="231">
        <v>892152.0</v>
      </c>
      <c r="Y1687" s="498"/>
      <c r="Z1687" s="230"/>
      <c r="AA1687" s="231">
        <v>0.0</v>
      </c>
      <c r="AB1687" s="231">
        <v>0.0</v>
      </c>
      <c r="AC1687" s="499" t="s">
        <v>4499</v>
      </c>
      <c r="AD1687" s="224">
        <v>17844.0</v>
      </c>
      <c r="AE1687" s="229"/>
      <c r="AF1687" s="224" t="str">
        <f t="shared" si="1"/>
        <v>Capital Federal, Argentina</v>
      </c>
      <c r="AG1687" s="500">
        <f t="shared" si="2"/>
        <v>0</v>
      </c>
      <c r="AH1687" s="501">
        <f t="shared" si="17"/>
        <v>1090408</v>
      </c>
      <c r="AI1687" s="501">
        <f t="shared" si="12"/>
        <v>0</v>
      </c>
      <c r="AJ1687" s="431">
        <f t="shared" si="5"/>
        <v>0</v>
      </c>
      <c r="AK1687" s="431">
        <f t="shared" si="18"/>
        <v>1090408</v>
      </c>
      <c r="AL1687" s="233"/>
      <c r="AM1687" s="233"/>
    </row>
    <row r="1688">
      <c r="A1688" s="224">
        <v>1686.0</v>
      </c>
      <c r="B1688" s="225">
        <v>45723.0</v>
      </c>
      <c r="C1688" s="229"/>
      <c r="D1688" s="425" t="s">
        <v>4500</v>
      </c>
      <c r="E1688" s="426" t="s">
        <v>4501</v>
      </c>
      <c r="F1688" s="226" t="s">
        <v>2327</v>
      </c>
      <c r="G1688" s="224" t="s">
        <v>40</v>
      </c>
      <c r="H1688" s="224" t="s">
        <v>41</v>
      </c>
      <c r="I1688" s="224" t="s">
        <v>42</v>
      </c>
      <c r="J1688" s="275">
        <v>1.0</v>
      </c>
      <c r="K1688" s="502"/>
      <c r="L1688" s="228"/>
      <c r="M1688" s="227">
        <v>1.0</v>
      </c>
      <c r="N1688" s="228"/>
      <c r="O1688" s="228"/>
      <c r="P1688" s="496"/>
      <c r="Q1688" s="229"/>
      <c r="R1688" s="497"/>
      <c r="S1688" s="426" t="s">
        <v>65</v>
      </c>
      <c r="T1688" s="224" t="s">
        <v>66</v>
      </c>
      <c r="U1688" s="224" t="s">
        <v>45</v>
      </c>
      <c r="V1688" s="224" t="s">
        <v>2922</v>
      </c>
      <c r="W1688" s="230"/>
      <c r="X1688" s="230"/>
      <c r="Y1688" s="498"/>
      <c r="Z1688" s="230"/>
      <c r="AA1688" s="231">
        <v>139750.0</v>
      </c>
      <c r="AB1688" s="231">
        <v>524062.0</v>
      </c>
      <c r="AC1688" s="499" t="s">
        <v>4502</v>
      </c>
      <c r="AD1688" s="224">
        <v>18142.0</v>
      </c>
      <c r="AE1688" s="229"/>
      <c r="AF1688" s="224" t="str">
        <f t="shared" si="1"/>
        <v>Buenos Aires, Argentina</v>
      </c>
      <c r="AG1688" s="500">
        <f t="shared" si="2"/>
        <v>2</v>
      </c>
      <c r="AH1688" s="501">
        <f t="shared" si="17"/>
        <v>0</v>
      </c>
      <c r="AI1688" s="501">
        <f t="shared" si="12"/>
        <v>0</v>
      </c>
      <c r="AJ1688" s="431">
        <f t="shared" si="5"/>
        <v>663812</v>
      </c>
      <c r="AK1688" s="431">
        <f t="shared" si="18"/>
        <v>663812</v>
      </c>
      <c r="AL1688" s="233"/>
      <c r="AM1688" s="233"/>
    </row>
    <row r="1689">
      <c r="A1689" s="203">
        <v>1687.0</v>
      </c>
      <c r="B1689" s="204">
        <v>45728.0</v>
      </c>
      <c r="C1689" s="119"/>
      <c r="D1689" s="503" t="s">
        <v>4098</v>
      </c>
      <c r="E1689" s="504" t="s">
        <v>4099</v>
      </c>
      <c r="F1689" s="205" t="s">
        <v>1427</v>
      </c>
      <c r="G1689" s="203" t="s">
        <v>64</v>
      </c>
      <c r="H1689" s="203" t="s">
        <v>41</v>
      </c>
      <c r="I1689" s="203" t="s">
        <v>643</v>
      </c>
      <c r="J1689" s="117"/>
      <c r="K1689" s="505">
        <v>2.0</v>
      </c>
      <c r="L1689" s="117"/>
      <c r="M1689" s="117"/>
      <c r="N1689" s="117"/>
      <c r="O1689" s="117"/>
      <c r="P1689" s="506"/>
      <c r="Q1689" s="119"/>
      <c r="R1689" s="507"/>
      <c r="S1689" s="504" t="s">
        <v>189</v>
      </c>
      <c r="T1689" s="203" t="s">
        <v>66</v>
      </c>
      <c r="U1689" s="203" t="s">
        <v>99</v>
      </c>
      <c r="V1689" s="203" t="s">
        <v>1984</v>
      </c>
      <c r="W1689" s="121"/>
      <c r="X1689" s="121"/>
      <c r="Y1689" s="508"/>
      <c r="Z1689" s="121"/>
      <c r="AA1689" s="207">
        <v>209626.0</v>
      </c>
      <c r="AB1689" s="207">
        <v>943317.0</v>
      </c>
      <c r="AC1689" s="509" t="s">
        <v>4503</v>
      </c>
      <c r="AD1689" s="203">
        <v>18258.0</v>
      </c>
      <c r="AE1689" s="119"/>
      <c r="AF1689" s="203" t="str">
        <f t="shared" si="1"/>
        <v>Buenos Aires, Argentina</v>
      </c>
      <c r="AG1689" s="510">
        <f t="shared" si="2"/>
        <v>2</v>
      </c>
      <c r="AH1689" s="511">
        <f t="shared" si="17"/>
        <v>0</v>
      </c>
      <c r="AI1689" s="511">
        <f t="shared" si="12"/>
        <v>0</v>
      </c>
      <c r="AJ1689" s="512">
        <f t="shared" si="5"/>
        <v>1152943</v>
      </c>
      <c r="AK1689" s="512">
        <f t="shared" si="18"/>
        <v>1152943</v>
      </c>
      <c r="AL1689" s="123"/>
      <c r="AM1689" s="123"/>
    </row>
    <row r="1690">
      <c r="A1690" s="203">
        <v>1688.0</v>
      </c>
      <c r="B1690" s="204">
        <v>45729.0</v>
      </c>
      <c r="C1690" s="119"/>
      <c r="D1690" s="503" t="s">
        <v>4430</v>
      </c>
      <c r="E1690" s="504" t="s">
        <v>4431</v>
      </c>
      <c r="F1690" s="205" t="s">
        <v>1423</v>
      </c>
      <c r="G1690" s="203" t="s">
        <v>64</v>
      </c>
      <c r="H1690" s="203" t="s">
        <v>41</v>
      </c>
      <c r="I1690" s="203" t="s">
        <v>643</v>
      </c>
      <c r="J1690" s="118">
        <v>1.0</v>
      </c>
      <c r="K1690" s="513"/>
      <c r="L1690" s="117"/>
      <c r="M1690" s="117"/>
      <c r="N1690" s="117"/>
      <c r="O1690" s="117"/>
      <c r="P1690" s="506"/>
      <c r="Q1690" s="119"/>
      <c r="R1690" s="507"/>
      <c r="S1690" s="504" t="s">
        <v>907</v>
      </c>
      <c r="T1690" s="203" t="s">
        <v>66</v>
      </c>
      <c r="U1690" s="203" t="s">
        <v>99</v>
      </c>
      <c r="V1690" s="203" t="s">
        <v>1984</v>
      </c>
      <c r="W1690" s="121"/>
      <c r="X1690" s="121"/>
      <c r="Y1690" s="508"/>
      <c r="Z1690" s="121"/>
      <c r="AA1690" s="207">
        <v>139750.0</v>
      </c>
      <c r="AB1690" s="207">
        <v>305701.0</v>
      </c>
      <c r="AC1690" s="509" t="s">
        <v>4504</v>
      </c>
      <c r="AD1690" s="203">
        <v>18266.0</v>
      </c>
      <c r="AE1690" s="119"/>
      <c r="AF1690" s="203" t="str">
        <f t="shared" si="1"/>
        <v>Buenos Aires, Argentina</v>
      </c>
      <c r="AG1690" s="510">
        <f t="shared" si="2"/>
        <v>1</v>
      </c>
      <c r="AH1690" s="511">
        <f t="shared" si="17"/>
        <v>0</v>
      </c>
      <c r="AI1690" s="511">
        <f t="shared" si="12"/>
        <v>0</v>
      </c>
      <c r="AJ1690" s="512">
        <f t="shared" si="5"/>
        <v>445451</v>
      </c>
      <c r="AK1690" s="512">
        <f t="shared" si="18"/>
        <v>445451</v>
      </c>
      <c r="AL1690" s="123"/>
      <c r="AM1690" s="123"/>
    </row>
    <row r="1691">
      <c r="A1691" s="203">
        <v>1689.0</v>
      </c>
      <c r="B1691" s="204">
        <v>45729.0</v>
      </c>
      <c r="C1691" s="119"/>
      <c r="D1691" s="514" t="s">
        <v>4505</v>
      </c>
      <c r="E1691" s="504" t="s">
        <v>4506</v>
      </c>
      <c r="F1691" s="205" t="s">
        <v>4507</v>
      </c>
      <c r="G1691" s="203" t="s">
        <v>64</v>
      </c>
      <c r="H1691" s="203" t="s">
        <v>41</v>
      </c>
      <c r="I1691" s="203" t="s">
        <v>643</v>
      </c>
      <c r="J1691" s="118">
        <v>5.0</v>
      </c>
      <c r="K1691" s="505">
        <v>1.0</v>
      </c>
      <c r="L1691" s="117"/>
      <c r="M1691" s="117"/>
      <c r="N1691" s="117"/>
      <c r="O1691" s="117"/>
      <c r="P1691" s="506"/>
      <c r="Q1691" s="119"/>
      <c r="R1691" s="507"/>
      <c r="S1691" s="504" t="s">
        <v>114</v>
      </c>
      <c r="T1691" s="203" t="s">
        <v>66</v>
      </c>
      <c r="U1691" s="203" t="s">
        <v>99</v>
      </c>
      <c r="V1691" s="203" t="s">
        <v>1984</v>
      </c>
      <c r="W1691" s="121"/>
      <c r="X1691" s="121"/>
      <c r="Y1691" s="508"/>
      <c r="Z1691" s="121"/>
      <c r="AA1691" s="207">
        <v>803563.0</v>
      </c>
      <c r="AB1691" s="207">
        <v>0.0</v>
      </c>
      <c r="AC1691" s="509" t="s">
        <v>4508</v>
      </c>
      <c r="AD1691" s="203">
        <v>18340.0</v>
      </c>
      <c r="AE1691" s="119"/>
      <c r="AF1691" s="203" t="str">
        <f t="shared" si="1"/>
        <v>Buenos Aires, Argentina</v>
      </c>
      <c r="AG1691" s="510">
        <f t="shared" si="2"/>
        <v>6</v>
      </c>
      <c r="AH1691" s="511">
        <f t="shared" si="17"/>
        <v>0</v>
      </c>
      <c r="AI1691" s="511">
        <f t="shared" si="12"/>
        <v>0</v>
      </c>
      <c r="AJ1691" s="512">
        <f t="shared" si="5"/>
        <v>803563</v>
      </c>
      <c r="AK1691" s="512">
        <f t="shared" si="18"/>
        <v>803563</v>
      </c>
      <c r="AL1691" s="123"/>
      <c r="AM1691" s="123"/>
    </row>
    <row r="1692">
      <c r="A1692" s="203">
        <v>1690.0</v>
      </c>
      <c r="B1692" s="204">
        <v>45729.0</v>
      </c>
      <c r="C1692" s="119"/>
      <c r="D1692" s="503" t="s">
        <v>3159</v>
      </c>
      <c r="E1692" s="504" t="s">
        <v>3160</v>
      </c>
      <c r="F1692" s="205" t="s">
        <v>4509</v>
      </c>
      <c r="G1692" s="203" t="s">
        <v>64</v>
      </c>
      <c r="H1692" s="203" t="s">
        <v>41</v>
      </c>
      <c r="I1692" s="203" t="s">
        <v>643</v>
      </c>
      <c r="J1692" s="117"/>
      <c r="K1692" s="513"/>
      <c r="L1692" s="117"/>
      <c r="M1692" s="117"/>
      <c r="N1692" s="206">
        <v>1.0</v>
      </c>
      <c r="O1692" s="117"/>
      <c r="P1692" s="506"/>
      <c r="Q1692" s="119"/>
      <c r="R1692" s="507"/>
      <c r="S1692" s="504" t="s">
        <v>43</v>
      </c>
      <c r="T1692" s="203" t="s">
        <v>879</v>
      </c>
      <c r="U1692" s="203" t="s">
        <v>99</v>
      </c>
      <c r="V1692" s="203" t="s">
        <v>1984</v>
      </c>
      <c r="W1692" s="121"/>
      <c r="X1692" s="121"/>
      <c r="Y1692" s="508"/>
      <c r="Z1692" s="121"/>
      <c r="AA1692" s="207">
        <v>139750.0</v>
      </c>
      <c r="AB1692" s="207">
        <v>559000.0</v>
      </c>
      <c r="AC1692" s="509" t="s">
        <v>4510</v>
      </c>
      <c r="AD1692" s="203">
        <v>18144.0</v>
      </c>
      <c r="AE1692" s="119"/>
      <c r="AF1692" s="203" t="str">
        <f t="shared" si="1"/>
        <v>Salta, Argentina</v>
      </c>
      <c r="AG1692" s="510">
        <f t="shared" si="2"/>
        <v>1</v>
      </c>
      <c r="AH1692" s="511">
        <f t="shared" si="17"/>
        <v>0</v>
      </c>
      <c r="AI1692" s="511">
        <f t="shared" si="12"/>
        <v>0</v>
      </c>
      <c r="AJ1692" s="512">
        <f t="shared" si="5"/>
        <v>698750</v>
      </c>
      <c r="AK1692" s="512">
        <f t="shared" si="18"/>
        <v>698750</v>
      </c>
      <c r="AL1692" s="123"/>
      <c r="AM1692" s="123"/>
    </row>
    <row r="1693">
      <c r="A1693" s="203">
        <v>1691.0</v>
      </c>
      <c r="B1693" s="204">
        <v>45734.0</v>
      </c>
      <c r="C1693" s="119"/>
      <c r="D1693" s="503" t="s">
        <v>4511</v>
      </c>
      <c r="E1693" s="504" t="s">
        <v>3459</v>
      </c>
      <c r="F1693" s="205" t="s">
        <v>4512</v>
      </c>
      <c r="G1693" s="203" t="s">
        <v>64</v>
      </c>
      <c r="H1693" s="203" t="s">
        <v>41</v>
      </c>
      <c r="I1693" s="203" t="s">
        <v>643</v>
      </c>
      <c r="J1693" s="117"/>
      <c r="K1693" s="513"/>
      <c r="L1693" s="117"/>
      <c r="M1693" s="117"/>
      <c r="N1693" s="117"/>
      <c r="O1693" s="117"/>
      <c r="P1693" s="506"/>
      <c r="Q1693" s="119"/>
      <c r="R1693" s="507"/>
      <c r="S1693" s="504" t="s">
        <v>109</v>
      </c>
      <c r="T1693" s="203" t="s">
        <v>66</v>
      </c>
      <c r="U1693" s="203" t="s">
        <v>99</v>
      </c>
      <c r="V1693" s="203" t="s">
        <v>1984</v>
      </c>
      <c r="W1693" s="121"/>
      <c r="X1693" s="121"/>
      <c r="Y1693" s="508"/>
      <c r="Z1693" s="121"/>
      <c r="AA1693" s="207">
        <v>0.0</v>
      </c>
      <c r="AB1693" s="207">
        <v>754650.0</v>
      </c>
      <c r="AC1693" s="509" t="s">
        <v>4513</v>
      </c>
      <c r="AD1693" s="203">
        <v>18346.0</v>
      </c>
      <c r="AE1693" s="119"/>
      <c r="AF1693" s="203" t="str">
        <f t="shared" si="1"/>
        <v>Buenos Aires, Argentina</v>
      </c>
      <c r="AG1693" s="510">
        <f t="shared" si="2"/>
        <v>0</v>
      </c>
      <c r="AH1693" s="511">
        <f t="shared" si="17"/>
        <v>0</v>
      </c>
      <c r="AI1693" s="511">
        <f t="shared" si="12"/>
        <v>0</v>
      </c>
      <c r="AJ1693" s="512">
        <f t="shared" si="5"/>
        <v>754650</v>
      </c>
      <c r="AK1693" s="512">
        <f t="shared" si="18"/>
        <v>754650</v>
      </c>
      <c r="AL1693" s="123"/>
      <c r="AM1693" s="123"/>
    </row>
    <row r="1694">
      <c r="A1694" s="203">
        <v>1692.0</v>
      </c>
      <c r="B1694" s="204">
        <v>45735.0</v>
      </c>
      <c r="C1694" s="119"/>
      <c r="D1694" s="503" t="s">
        <v>4514</v>
      </c>
      <c r="E1694" s="504" t="s">
        <v>4515</v>
      </c>
      <c r="F1694" s="205" t="s">
        <v>4516</v>
      </c>
      <c r="G1694" s="203" t="s">
        <v>40</v>
      </c>
      <c r="H1694" s="203" t="s">
        <v>41</v>
      </c>
      <c r="I1694" s="203" t="s">
        <v>643</v>
      </c>
      <c r="J1694" s="118">
        <v>3.0</v>
      </c>
      <c r="K1694" s="505">
        <v>10.0</v>
      </c>
      <c r="L1694" s="117"/>
      <c r="M1694" s="206">
        <v>1.0</v>
      </c>
      <c r="N1694" s="117"/>
      <c r="O1694" s="117"/>
      <c r="P1694" s="506"/>
      <c r="Q1694" s="119"/>
      <c r="R1694" s="507"/>
      <c r="S1694" s="504" t="s">
        <v>137</v>
      </c>
      <c r="T1694" s="203" t="s">
        <v>83</v>
      </c>
      <c r="U1694" s="203" t="s">
        <v>1616</v>
      </c>
      <c r="V1694" s="203" t="s">
        <v>2935</v>
      </c>
      <c r="W1694" s="121"/>
      <c r="X1694" s="121"/>
      <c r="Y1694" s="508"/>
      <c r="Z1694" s="121"/>
      <c r="AA1694" s="207">
        <v>1467380.0</v>
      </c>
      <c r="AB1694" s="207">
        <v>6236365.0</v>
      </c>
      <c r="AC1694" s="509" t="s">
        <v>4517</v>
      </c>
      <c r="AD1694" s="203">
        <v>18122.0</v>
      </c>
      <c r="AE1694" s="119"/>
      <c r="AF1694" s="203" t="str">
        <f t="shared" si="1"/>
        <v>Capital Federal, Argentina</v>
      </c>
      <c r="AG1694" s="510">
        <f t="shared" si="2"/>
        <v>14</v>
      </c>
      <c r="AH1694" s="511">
        <f t="shared" si="17"/>
        <v>0</v>
      </c>
      <c r="AI1694" s="511">
        <f t="shared" si="12"/>
        <v>0</v>
      </c>
      <c r="AJ1694" s="512">
        <f t="shared" si="5"/>
        <v>7703745</v>
      </c>
      <c r="AK1694" s="512">
        <f t="shared" si="18"/>
        <v>7703745</v>
      </c>
      <c r="AL1694" s="123"/>
      <c r="AM1694" s="123"/>
    </row>
    <row r="1695">
      <c r="A1695" s="203">
        <v>1693.0</v>
      </c>
      <c r="B1695" s="204">
        <v>45736.0</v>
      </c>
      <c r="C1695" s="119"/>
      <c r="D1695" s="503" t="s">
        <v>1514</v>
      </c>
      <c r="E1695" s="504" t="s">
        <v>4374</v>
      </c>
      <c r="F1695" s="205" t="s">
        <v>4518</v>
      </c>
      <c r="G1695" s="203" t="s">
        <v>64</v>
      </c>
      <c r="H1695" s="203" t="s">
        <v>41</v>
      </c>
      <c r="I1695" s="203" t="s">
        <v>643</v>
      </c>
      <c r="J1695" s="117"/>
      <c r="K1695" s="513"/>
      <c r="L1695" s="117"/>
      <c r="M1695" s="117"/>
      <c r="N1695" s="117"/>
      <c r="O1695" s="117"/>
      <c r="P1695" s="506"/>
      <c r="Q1695" s="119"/>
      <c r="R1695" s="507"/>
      <c r="S1695" s="504" t="s">
        <v>65</v>
      </c>
      <c r="T1695" s="203" t="s">
        <v>66</v>
      </c>
      <c r="U1695" s="203" t="s">
        <v>99</v>
      </c>
      <c r="V1695" s="203" t="s">
        <v>1984</v>
      </c>
      <c r="W1695" s="121"/>
      <c r="X1695" s="121"/>
      <c r="Y1695" s="508"/>
      <c r="Z1695" s="121"/>
      <c r="AA1695" s="207">
        <v>0.0</v>
      </c>
      <c r="AB1695" s="207">
        <v>670800.0</v>
      </c>
      <c r="AC1695" s="509" t="s">
        <v>4519</v>
      </c>
      <c r="AD1695" s="203">
        <v>18464.0</v>
      </c>
      <c r="AE1695" s="119"/>
      <c r="AF1695" s="203" t="str">
        <f t="shared" si="1"/>
        <v>Buenos Aires, Argentina</v>
      </c>
      <c r="AG1695" s="510">
        <f t="shared" si="2"/>
        <v>0</v>
      </c>
      <c r="AH1695" s="511">
        <f t="shared" si="17"/>
        <v>0</v>
      </c>
      <c r="AI1695" s="511">
        <f t="shared" si="12"/>
        <v>0</v>
      </c>
      <c r="AJ1695" s="512">
        <f t="shared" si="5"/>
        <v>670800</v>
      </c>
      <c r="AK1695" s="512">
        <f t="shared" si="18"/>
        <v>670800</v>
      </c>
      <c r="AL1695" s="123"/>
      <c r="AM1695" s="123"/>
    </row>
    <row r="1696">
      <c r="A1696" s="203">
        <v>1694.0</v>
      </c>
      <c r="B1696" s="204">
        <v>45736.0</v>
      </c>
      <c r="C1696" s="119"/>
      <c r="D1696" s="503" t="s">
        <v>4291</v>
      </c>
      <c r="E1696" s="504" t="s">
        <v>4292</v>
      </c>
      <c r="F1696" s="205" t="s">
        <v>1415</v>
      </c>
      <c r="G1696" s="203" t="s">
        <v>64</v>
      </c>
      <c r="H1696" s="203" t="s">
        <v>41</v>
      </c>
      <c r="I1696" s="203" t="s">
        <v>643</v>
      </c>
      <c r="J1696" s="117"/>
      <c r="K1696" s="505">
        <v>1.0</v>
      </c>
      <c r="L1696" s="117"/>
      <c r="M1696" s="117"/>
      <c r="N1696" s="117"/>
      <c r="O1696" s="117"/>
      <c r="P1696" s="506"/>
      <c r="Q1696" s="119"/>
      <c r="R1696" s="507"/>
      <c r="S1696" s="504" t="s">
        <v>189</v>
      </c>
      <c r="T1696" s="203" t="s">
        <v>83</v>
      </c>
      <c r="U1696" s="203" t="s">
        <v>99</v>
      </c>
      <c r="V1696" s="203" t="s">
        <v>2922</v>
      </c>
      <c r="W1696" s="121"/>
      <c r="X1696" s="121"/>
      <c r="Y1696" s="508"/>
      <c r="Z1696" s="121"/>
      <c r="AA1696" s="207">
        <v>104813.0</v>
      </c>
      <c r="AB1696" s="207">
        <v>471658.0</v>
      </c>
      <c r="AC1696" s="509" t="s">
        <v>4520</v>
      </c>
      <c r="AD1696" s="203">
        <v>18456.0</v>
      </c>
      <c r="AE1696" s="119"/>
      <c r="AF1696" s="203" t="str">
        <f t="shared" si="1"/>
        <v>Capital Federal, Argentina</v>
      </c>
      <c r="AG1696" s="510">
        <f t="shared" si="2"/>
        <v>1</v>
      </c>
      <c r="AH1696" s="511">
        <f t="shared" si="17"/>
        <v>0</v>
      </c>
      <c r="AI1696" s="511">
        <f t="shared" si="12"/>
        <v>0</v>
      </c>
      <c r="AJ1696" s="512">
        <f t="shared" si="5"/>
        <v>576471</v>
      </c>
      <c r="AK1696" s="512">
        <f t="shared" si="18"/>
        <v>576471</v>
      </c>
      <c r="AL1696" s="123"/>
      <c r="AM1696" s="123"/>
    </row>
    <row r="1697">
      <c r="A1697" s="203">
        <v>1690.0</v>
      </c>
      <c r="B1697" s="204">
        <v>45741.0</v>
      </c>
      <c r="C1697" s="119"/>
      <c r="D1697" s="514" t="s">
        <v>4505</v>
      </c>
      <c r="E1697" s="504" t="s">
        <v>4506</v>
      </c>
      <c r="F1697" s="205" t="s">
        <v>12</v>
      </c>
      <c r="G1697" s="203" t="s">
        <v>64</v>
      </c>
      <c r="H1697" s="203" t="s">
        <v>41</v>
      </c>
      <c r="I1697" s="203" t="s">
        <v>643</v>
      </c>
      <c r="J1697" s="117"/>
      <c r="K1697" s="513"/>
      <c r="L1697" s="117"/>
      <c r="M1697" s="206">
        <v>1.0</v>
      </c>
      <c r="N1697" s="117"/>
      <c r="O1697" s="117"/>
      <c r="P1697" s="506"/>
      <c r="Q1697" s="119"/>
      <c r="R1697" s="507"/>
      <c r="S1697" s="504" t="s">
        <v>114</v>
      </c>
      <c r="T1697" s="203" t="s">
        <v>66</v>
      </c>
      <c r="U1697" s="203" t="s">
        <v>99</v>
      </c>
      <c r="V1697" s="203" t="s">
        <v>1984</v>
      </c>
      <c r="W1697" s="121"/>
      <c r="X1697" s="121"/>
      <c r="Y1697" s="508"/>
      <c r="Z1697" s="121"/>
      <c r="AA1697" s="207">
        <v>139750.0</v>
      </c>
      <c r="AB1697" s="207">
        <v>0.0</v>
      </c>
      <c r="AC1697" s="509" t="s">
        <v>4521</v>
      </c>
      <c r="AD1697" s="203">
        <v>18526.0</v>
      </c>
      <c r="AE1697" s="119"/>
      <c r="AF1697" s="203" t="str">
        <f t="shared" si="1"/>
        <v>Buenos Aires, Argentina</v>
      </c>
      <c r="AG1697" s="510">
        <f t="shared" si="2"/>
        <v>1</v>
      </c>
      <c r="AH1697" s="511">
        <f t="shared" si="17"/>
        <v>0</v>
      </c>
      <c r="AI1697" s="511">
        <f t="shared" si="12"/>
        <v>0</v>
      </c>
      <c r="AJ1697" s="512">
        <f t="shared" si="5"/>
        <v>139750</v>
      </c>
      <c r="AK1697" s="512">
        <f t="shared" si="18"/>
        <v>139750</v>
      </c>
      <c r="AL1697" s="123"/>
      <c r="AM1697" s="123"/>
    </row>
    <row r="1698">
      <c r="A1698" s="203">
        <v>1691.0</v>
      </c>
      <c r="B1698" s="204">
        <v>45741.0</v>
      </c>
      <c r="C1698" s="119"/>
      <c r="D1698" s="503" t="s">
        <v>4522</v>
      </c>
      <c r="E1698" s="504" t="s">
        <v>4523</v>
      </c>
      <c r="F1698" s="205" t="s">
        <v>2172</v>
      </c>
      <c r="G1698" s="203" t="s">
        <v>40</v>
      </c>
      <c r="H1698" s="203" t="s">
        <v>41</v>
      </c>
      <c r="I1698" s="203" t="s">
        <v>42</v>
      </c>
      <c r="J1698" s="118">
        <v>2.0</v>
      </c>
      <c r="K1698" s="513"/>
      <c r="L1698" s="117"/>
      <c r="M1698" s="206">
        <v>1.0</v>
      </c>
      <c r="N1698" s="117"/>
      <c r="O1698" s="117"/>
      <c r="P1698" s="506"/>
      <c r="Q1698" s="119"/>
      <c r="R1698" s="507"/>
      <c r="S1698" s="504" t="s">
        <v>105</v>
      </c>
      <c r="T1698" s="203" t="s">
        <v>263</v>
      </c>
      <c r="U1698" s="203" t="s">
        <v>45</v>
      </c>
      <c r="V1698" s="203" t="s">
        <v>4376</v>
      </c>
      <c r="W1698" s="121"/>
      <c r="X1698" s="121"/>
      <c r="Y1698" s="508"/>
      <c r="Z1698" s="121"/>
      <c r="AA1698" s="207">
        <v>279500.0</v>
      </c>
      <c r="AB1698" s="207">
        <v>1048125.0</v>
      </c>
      <c r="AC1698" s="509" t="s">
        <v>4524</v>
      </c>
      <c r="AD1698" s="203">
        <v>18220.0</v>
      </c>
      <c r="AE1698" s="119"/>
      <c r="AF1698" s="203" t="str">
        <f t="shared" si="1"/>
        <v>Santa Fé, Argentina</v>
      </c>
      <c r="AG1698" s="510">
        <f t="shared" si="2"/>
        <v>3</v>
      </c>
      <c r="AH1698" s="511">
        <f t="shared" si="17"/>
        <v>0</v>
      </c>
      <c r="AI1698" s="511">
        <f t="shared" si="12"/>
        <v>0</v>
      </c>
      <c r="AJ1698" s="512">
        <f t="shared" si="5"/>
        <v>1327625</v>
      </c>
      <c r="AK1698" s="512">
        <f t="shared" si="18"/>
        <v>1327625</v>
      </c>
      <c r="AL1698" s="123"/>
      <c r="AM1698" s="123"/>
    </row>
    <row r="1699">
      <c r="A1699" s="203">
        <v>1692.0</v>
      </c>
      <c r="B1699" s="204">
        <v>45742.0</v>
      </c>
      <c r="C1699" s="119"/>
      <c r="D1699" s="503" t="s">
        <v>1982</v>
      </c>
      <c r="E1699" s="504" t="s">
        <v>1983</v>
      </c>
      <c r="F1699" s="205" t="s">
        <v>4525</v>
      </c>
      <c r="G1699" s="203" t="s">
        <v>64</v>
      </c>
      <c r="H1699" s="203" t="s">
        <v>41</v>
      </c>
      <c r="I1699" s="203" t="s">
        <v>643</v>
      </c>
      <c r="J1699" s="117"/>
      <c r="K1699" s="513"/>
      <c r="L1699" s="117"/>
      <c r="M1699" s="117"/>
      <c r="N1699" s="117"/>
      <c r="O1699" s="117"/>
      <c r="P1699" s="506"/>
      <c r="Q1699" s="119"/>
      <c r="R1699" s="507"/>
      <c r="S1699" s="504" t="s">
        <v>65</v>
      </c>
      <c r="T1699" s="203" t="s">
        <v>66</v>
      </c>
      <c r="U1699" s="203" t="s">
        <v>99</v>
      </c>
      <c r="V1699" s="203" t="s">
        <v>1984</v>
      </c>
      <c r="W1699" s="121"/>
      <c r="X1699" s="121"/>
      <c r="Y1699" s="508"/>
      <c r="Z1699" s="121"/>
      <c r="AA1699" s="207">
        <v>0.0</v>
      </c>
      <c r="AB1699" s="207">
        <v>0.0</v>
      </c>
      <c r="AC1699" s="509" t="s">
        <v>4526</v>
      </c>
      <c r="AD1699" s="203">
        <v>18462.0</v>
      </c>
      <c r="AE1699" s="119"/>
      <c r="AF1699" s="203" t="str">
        <f t="shared" si="1"/>
        <v>Buenos Aires, Argentina</v>
      </c>
      <c r="AG1699" s="510">
        <f t="shared" si="2"/>
        <v>0</v>
      </c>
      <c r="AH1699" s="511">
        <f t="shared" si="17"/>
        <v>0</v>
      </c>
      <c r="AI1699" s="511">
        <f t="shared" si="12"/>
        <v>0</v>
      </c>
      <c r="AJ1699" s="512">
        <f t="shared" si="5"/>
        <v>0</v>
      </c>
      <c r="AK1699" s="512">
        <f t="shared" si="18"/>
        <v>0</v>
      </c>
      <c r="AL1699" s="123"/>
      <c r="AM1699" s="123"/>
    </row>
    <row r="1700">
      <c r="A1700" s="203">
        <v>1693.0</v>
      </c>
      <c r="B1700" s="204">
        <v>45747.0</v>
      </c>
      <c r="C1700" s="119"/>
      <c r="D1700" s="503" t="s">
        <v>4527</v>
      </c>
      <c r="E1700" s="504" t="s">
        <v>2512</v>
      </c>
      <c r="F1700" s="205" t="s">
        <v>1423</v>
      </c>
      <c r="G1700" s="203" t="s">
        <v>64</v>
      </c>
      <c r="H1700" s="203" t="s">
        <v>41</v>
      </c>
      <c r="I1700" s="203" t="s">
        <v>643</v>
      </c>
      <c r="J1700" s="118">
        <v>1.0</v>
      </c>
      <c r="K1700" s="513"/>
      <c r="L1700" s="117"/>
      <c r="M1700" s="117"/>
      <c r="N1700" s="117"/>
      <c r="O1700" s="117"/>
      <c r="P1700" s="506"/>
      <c r="Q1700" s="119"/>
      <c r="R1700" s="507"/>
      <c r="S1700" s="504" t="s">
        <v>114</v>
      </c>
      <c r="T1700" s="203" t="s">
        <v>83</v>
      </c>
      <c r="U1700" s="203" t="s">
        <v>99</v>
      </c>
      <c r="V1700" s="203" t="s">
        <v>1984</v>
      </c>
      <c r="W1700" s="121"/>
      <c r="X1700" s="121"/>
      <c r="Y1700" s="508"/>
      <c r="Z1700" s="121"/>
      <c r="AA1700" s="207">
        <v>139750.0</v>
      </c>
      <c r="AB1700" s="207">
        <v>559000.0</v>
      </c>
      <c r="AC1700" s="509" t="s">
        <v>4528</v>
      </c>
      <c r="AD1700" s="203">
        <v>18550.0</v>
      </c>
      <c r="AE1700" s="119"/>
      <c r="AF1700" s="203" t="str">
        <f t="shared" si="1"/>
        <v>Capital Federal, Argentina</v>
      </c>
      <c r="AG1700" s="510">
        <f t="shared" si="2"/>
        <v>1</v>
      </c>
      <c r="AH1700" s="511">
        <f t="shared" si="17"/>
        <v>0</v>
      </c>
      <c r="AI1700" s="511">
        <f t="shared" si="12"/>
        <v>0</v>
      </c>
      <c r="AJ1700" s="512">
        <f t="shared" si="5"/>
        <v>698750</v>
      </c>
      <c r="AK1700" s="512">
        <f t="shared" si="18"/>
        <v>698750</v>
      </c>
      <c r="AL1700" s="123"/>
      <c r="AM1700" s="123"/>
    </row>
    <row r="1701">
      <c r="A1701" s="203">
        <v>1694.0</v>
      </c>
      <c r="B1701" s="204">
        <v>45747.0</v>
      </c>
      <c r="C1701" s="119"/>
      <c r="D1701" s="503" t="s">
        <v>4529</v>
      </c>
      <c r="E1701" s="504" t="s">
        <v>2099</v>
      </c>
      <c r="F1701" s="205" t="s">
        <v>1503</v>
      </c>
      <c r="G1701" s="203" t="s">
        <v>64</v>
      </c>
      <c r="H1701" s="203" t="s">
        <v>41</v>
      </c>
      <c r="I1701" s="203" t="s">
        <v>643</v>
      </c>
      <c r="J1701" s="117"/>
      <c r="K1701" s="505">
        <v>4.0</v>
      </c>
      <c r="L1701" s="117"/>
      <c r="M1701" s="117"/>
      <c r="N1701" s="117"/>
      <c r="O1701" s="117"/>
      <c r="P1701" s="506"/>
      <c r="Q1701" s="119"/>
      <c r="R1701" s="507"/>
      <c r="S1701" s="504" t="s">
        <v>89</v>
      </c>
      <c r="T1701" s="203" t="s">
        <v>66</v>
      </c>
      <c r="U1701" s="203" t="s">
        <v>99</v>
      </c>
      <c r="V1701" s="203" t="s">
        <v>1984</v>
      </c>
      <c r="W1701" s="121"/>
      <c r="X1701" s="121"/>
      <c r="Y1701" s="508"/>
      <c r="Z1701" s="121"/>
      <c r="AA1701" s="207">
        <v>419252.0</v>
      </c>
      <c r="AB1701" s="207">
        <v>1677008.0</v>
      </c>
      <c r="AC1701" s="509" t="s">
        <v>4530</v>
      </c>
      <c r="AD1701" s="203">
        <v>18534.0</v>
      </c>
      <c r="AE1701" s="119"/>
      <c r="AF1701" s="203" t="str">
        <f t="shared" si="1"/>
        <v>Buenos Aires, Argentina</v>
      </c>
      <c r="AG1701" s="510">
        <f t="shared" si="2"/>
        <v>4</v>
      </c>
      <c r="AH1701" s="511">
        <f t="shared" si="17"/>
        <v>0</v>
      </c>
      <c r="AI1701" s="511">
        <f t="shared" si="12"/>
        <v>0</v>
      </c>
      <c r="AJ1701" s="512">
        <f t="shared" si="5"/>
        <v>2096260</v>
      </c>
      <c r="AK1701" s="512">
        <f t="shared" si="18"/>
        <v>2096260</v>
      </c>
      <c r="AL1701" s="123"/>
      <c r="AM1701" s="123"/>
    </row>
    <row r="1702">
      <c r="A1702" s="203">
        <v>1695.0</v>
      </c>
      <c r="B1702" s="204">
        <v>45747.0</v>
      </c>
      <c r="C1702" s="119"/>
      <c r="D1702" s="503" t="s">
        <v>4531</v>
      </c>
      <c r="E1702" s="504" t="s">
        <v>4532</v>
      </c>
      <c r="F1702" s="205" t="s">
        <v>2237</v>
      </c>
      <c r="G1702" s="203" t="s">
        <v>40</v>
      </c>
      <c r="H1702" s="203" t="s">
        <v>41</v>
      </c>
      <c r="I1702" s="203" t="s">
        <v>42</v>
      </c>
      <c r="J1702" s="118">
        <v>1.0</v>
      </c>
      <c r="K1702" s="505">
        <v>2.0</v>
      </c>
      <c r="L1702" s="117"/>
      <c r="M1702" s="206">
        <v>1.0</v>
      </c>
      <c r="N1702" s="117"/>
      <c r="O1702" s="117"/>
      <c r="P1702" s="506"/>
      <c r="Q1702" s="119"/>
      <c r="R1702" s="507"/>
      <c r="S1702" s="504" t="s">
        <v>72</v>
      </c>
      <c r="T1702" s="203" t="s">
        <v>66</v>
      </c>
      <c r="U1702" s="203" t="s">
        <v>45</v>
      </c>
      <c r="V1702" s="203" t="s">
        <v>2922</v>
      </c>
      <c r="W1702" s="121"/>
      <c r="X1702" s="121"/>
      <c r="Y1702" s="508"/>
      <c r="Z1702" s="121"/>
      <c r="AA1702" s="207">
        <v>349376.0</v>
      </c>
      <c r="AB1702" s="207">
        <v>1310160.0</v>
      </c>
      <c r="AC1702" s="509" t="s">
        <v>4533</v>
      </c>
      <c r="AD1702" s="203">
        <v>18438.0</v>
      </c>
      <c r="AE1702" s="119"/>
      <c r="AF1702" s="203" t="str">
        <f t="shared" si="1"/>
        <v>Buenos Aires, Argentina</v>
      </c>
      <c r="AG1702" s="510">
        <f t="shared" si="2"/>
        <v>4</v>
      </c>
      <c r="AH1702" s="511">
        <f t="shared" si="17"/>
        <v>0</v>
      </c>
      <c r="AI1702" s="511">
        <f t="shared" si="12"/>
        <v>0</v>
      </c>
      <c r="AJ1702" s="512">
        <f t="shared" si="5"/>
        <v>1659536</v>
      </c>
      <c r="AK1702" s="512">
        <f t="shared" si="18"/>
        <v>1659536</v>
      </c>
      <c r="AL1702" s="123"/>
      <c r="AM1702" s="123"/>
    </row>
    <row r="1703">
      <c r="A1703" s="203">
        <v>1695.0</v>
      </c>
      <c r="B1703" s="204">
        <v>45747.0</v>
      </c>
      <c r="C1703" s="119"/>
      <c r="D1703" s="503" t="s">
        <v>4534</v>
      </c>
      <c r="E1703" s="504" t="s">
        <v>2908</v>
      </c>
      <c r="F1703" s="205" t="s">
        <v>1415</v>
      </c>
      <c r="G1703" s="203" t="s">
        <v>64</v>
      </c>
      <c r="H1703" s="203" t="s">
        <v>41</v>
      </c>
      <c r="I1703" s="203" t="s">
        <v>643</v>
      </c>
      <c r="J1703" s="117"/>
      <c r="K1703" s="505">
        <v>1.0</v>
      </c>
      <c r="L1703" s="117"/>
      <c r="M1703" s="117"/>
      <c r="N1703" s="117"/>
      <c r="O1703" s="117"/>
      <c r="P1703" s="506"/>
      <c r="Q1703" s="119"/>
      <c r="R1703" s="507"/>
      <c r="S1703" s="504" t="s">
        <v>189</v>
      </c>
      <c r="T1703" s="203" t="s">
        <v>66</v>
      </c>
      <c r="U1703" s="203" t="s">
        <v>99</v>
      </c>
      <c r="V1703" s="203" t="s">
        <v>1984</v>
      </c>
      <c r="W1703" s="121"/>
      <c r="X1703" s="121"/>
      <c r="Y1703" s="508"/>
      <c r="Z1703" s="121"/>
      <c r="AA1703" s="207">
        <v>106500.0</v>
      </c>
      <c r="AB1703" s="207">
        <v>426000.0</v>
      </c>
      <c r="AC1703" s="509" t="s">
        <v>4535</v>
      </c>
      <c r="AD1703" s="203">
        <v>18586.0</v>
      </c>
      <c r="AE1703" s="119"/>
      <c r="AF1703" s="203" t="str">
        <f t="shared" si="1"/>
        <v>Buenos Aires, Argentina</v>
      </c>
      <c r="AG1703" s="510">
        <f t="shared" si="2"/>
        <v>1</v>
      </c>
      <c r="AH1703" s="511">
        <f t="shared" si="17"/>
        <v>0</v>
      </c>
      <c r="AI1703" s="511">
        <f t="shared" si="12"/>
        <v>0</v>
      </c>
      <c r="AJ1703" s="512">
        <f t="shared" si="5"/>
        <v>532500</v>
      </c>
      <c r="AK1703" s="512">
        <f t="shared" si="18"/>
        <v>532500</v>
      </c>
      <c r="AL1703" s="123"/>
      <c r="AM1703" s="123"/>
    </row>
    <row r="1704">
      <c r="A1704" s="203">
        <v>1696.0</v>
      </c>
      <c r="B1704" s="204">
        <v>45747.0</v>
      </c>
      <c r="C1704" s="119"/>
      <c r="D1704" s="503" t="s">
        <v>4536</v>
      </c>
      <c r="E1704" s="504" t="s">
        <v>4537</v>
      </c>
      <c r="F1704" s="205" t="s">
        <v>2506</v>
      </c>
      <c r="G1704" s="203" t="s">
        <v>40</v>
      </c>
      <c r="H1704" s="203" t="s">
        <v>41</v>
      </c>
      <c r="I1704" s="203" t="s">
        <v>42</v>
      </c>
      <c r="J1704" s="118">
        <v>3.0</v>
      </c>
      <c r="K1704" s="505">
        <v>3.0</v>
      </c>
      <c r="L1704" s="117"/>
      <c r="M1704" s="206">
        <v>1.0</v>
      </c>
      <c r="N1704" s="117"/>
      <c r="O1704" s="117"/>
      <c r="P1704" s="506"/>
      <c r="Q1704" s="119"/>
      <c r="R1704" s="507"/>
      <c r="S1704" s="504" t="s">
        <v>189</v>
      </c>
      <c r="T1704" s="203" t="s">
        <v>539</v>
      </c>
      <c r="U1704" s="203" t="s">
        <v>45</v>
      </c>
      <c r="V1704" s="203" t="s">
        <v>4185</v>
      </c>
      <c r="W1704" s="121"/>
      <c r="X1704" s="121"/>
      <c r="Y1704" s="508"/>
      <c r="Z1704" s="121"/>
      <c r="AA1704" s="207">
        <v>733689.0</v>
      </c>
      <c r="AB1704" s="207">
        <v>2751333.0</v>
      </c>
      <c r="AC1704" s="509" t="s">
        <v>4538</v>
      </c>
      <c r="AD1704" s="203">
        <v>16166.0</v>
      </c>
      <c r="AE1704" s="119"/>
      <c r="AF1704" s="203" t="str">
        <f t="shared" si="1"/>
        <v>Misiones, Argentina</v>
      </c>
      <c r="AG1704" s="510">
        <f t="shared" si="2"/>
        <v>7</v>
      </c>
      <c r="AH1704" s="511">
        <f t="shared" si="17"/>
        <v>0</v>
      </c>
      <c r="AI1704" s="511">
        <f t="shared" si="12"/>
        <v>0</v>
      </c>
      <c r="AJ1704" s="512">
        <f t="shared" si="5"/>
        <v>3485022</v>
      </c>
      <c r="AK1704" s="512">
        <f t="shared" si="18"/>
        <v>3485022</v>
      </c>
      <c r="AL1704" s="123"/>
      <c r="AM1704" s="123"/>
    </row>
    <row r="1705">
      <c r="A1705" s="203">
        <v>1697.0</v>
      </c>
      <c r="B1705" s="204">
        <v>45747.0</v>
      </c>
      <c r="C1705" s="119"/>
      <c r="D1705" s="503" t="s">
        <v>4539</v>
      </c>
      <c r="E1705" s="504" t="s">
        <v>4212</v>
      </c>
      <c r="F1705" s="205" t="s">
        <v>3490</v>
      </c>
      <c r="G1705" s="203" t="s">
        <v>64</v>
      </c>
      <c r="H1705" s="203" t="s">
        <v>41</v>
      </c>
      <c r="I1705" s="203" t="s">
        <v>643</v>
      </c>
      <c r="J1705" s="117"/>
      <c r="K1705" s="513"/>
      <c r="L1705" s="117"/>
      <c r="M1705" s="117"/>
      <c r="N1705" s="117"/>
      <c r="O1705" s="117"/>
      <c r="P1705" s="206">
        <v>1.0</v>
      </c>
      <c r="Q1705" s="119"/>
      <c r="R1705" s="507"/>
      <c r="S1705" s="504" t="s">
        <v>109</v>
      </c>
      <c r="T1705" s="203" t="s">
        <v>83</v>
      </c>
      <c r="U1705" s="203" t="s">
        <v>99</v>
      </c>
      <c r="V1705" s="203" t="s">
        <v>1984</v>
      </c>
      <c r="W1705" s="121"/>
      <c r="X1705" s="121"/>
      <c r="Y1705" s="508"/>
      <c r="Z1705" s="121"/>
      <c r="AA1705" s="207">
        <v>139750.0</v>
      </c>
      <c r="AB1705" s="207">
        <v>559000.0</v>
      </c>
      <c r="AC1705" s="509" t="s">
        <v>4540</v>
      </c>
      <c r="AD1705" s="203">
        <v>18124.0</v>
      </c>
      <c r="AE1705" s="119"/>
      <c r="AF1705" s="203" t="str">
        <f t="shared" si="1"/>
        <v>Capital Federal, Argentina</v>
      </c>
      <c r="AG1705" s="510">
        <f t="shared" si="2"/>
        <v>1</v>
      </c>
      <c r="AH1705" s="511">
        <f t="shared" si="17"/>
        <v>0</v>
      </c>
      <c r="AI1705" s="511">
        <f t="shared" si="12"/>
        <v>0</v>
      </c>
      <c r="AJ1705" s="512">
        <f t="shared" si="5"/>
        <v>698750</v>
      </c>
      <c r="AK1705" s="512">
        <f t="shared" si="18"/>
        <v>698750</v>
      </c>
      <c r="AL1705" s="123"/>
      <c r="AM1705" s="123"/>
    </row>
    <row r="1706">
      <c r="A1706" s="203">
        <v>1698.0</v>
      </c>
      <c r="B1706" s="204">
        <v>45747.0</v>
      </c>
      <c r="C1706" s="119"/>
      <c r="D1706" s="503" t="s">
        <v>4539</v>
      </c>
      <c r="E1706" s="504" t="s">
        <v>4212</v>
      </c>
      <c r="F1706" s="205" t="s">
        <v>4541</v>
      </c>
      <c r="G1706" s="203" t="s">
        <v>64</v>
      </c>
      <c r="H1706" s="203" t="s">
        <v>41</v>
      </c>
      <c r="I1706" s="203" t="s">
        <v>643</v>
      </c>
      <c r="J1706" s="117"/>
      <c r="K1706" s="513"/>
      <c r="L1706" s="117"/>
      <c r="M1706" s="117"/>
      <c r="N1706" s="117"/>
      <c r="O1706" s="117"/>
      <c r="P1706" s="506"/>
      <c r="Q1706" s="119"/>
      <c r="R1706" s="507"/>
      <c r="S1706" s="504" t="s">
        <v>109</v>
      </c>
      <c r="T1706" s="203" t="s">
        <v>83</v>
      </c>
      <c r="U1706" s="203" t="s">
        <v>99</v>
      </c>
      <c r="V1706" s="203" t="s">
        <v>1984</v>
      </c>
      <c r="W1706" s="207">
        <v>262194.0</v>
      </c>
      <c r="X1706" s="207">
        <v>1048776.0</v>
      </c>
      <c r="Y1706" s="508"/>
      <c r="Z1706" s="121"/>
      <c r="AA1706" s="207">
        <v>0.0</v>
      </c>
      <c r="AB1706" s="207">
        <v>0.0</v>
      </c>
      <c r="AC1706" s="509" t="s">
        <v>4540</v>
      </c>
      <c r="AD1706" s="203">
        <v>18124.0</v>
      </c>
      <c r="AE1706" s="119"/>
      <c r="AF1706" s="203" t="str">
        <f t="shared" si="1"/>
        <v>Capital Federal, Argentina</v>
      </c>
      <c r="AG1706" s="510">
        <f t="shared" si="2"/>
        <v>0</v>
      </c>
      <c r="AH1706" s="511">
        <f t="shared" si="17"/>
        <v>1310970</v>
      </c>
      <c r="AI1706" s="511">
        <f t="shared" si="12"/>
        <v>0</v>
      </c>
      <c r="AJ1706" s="512">
        <f t="shared" si="5"/>
        <v>0</v>
      </c>
      <c r="AK1706" s="512">
        <f t="shared" si="18"/>
        <v>1310970</v>
      </c>
      <c r="AL1706" s="123"/>
      <c r="AM1706" s="123"/>
    </row>
    <row r="1707">
      <c r="A1707" s="203">
        <v>1699.0</v>
      </c>
      <c r="B1707" s="204">
        <v>45747.0</v>
      </c>
      <c r="C1707" s="119"/>
      <c r="D1707" s="503" t="s">
        <v>4542</v>
      </c>
      <c r="E1707" s="504" t="s">
        <v>4431</v>
      </c>
      <c r="F1707" s="205" t="s">
        <v>1423</v>
      </c>
      <c r="G1707" s="203" t="s">
        <v>64</v>
      </c>
      <c r="H1707" s="203" t="s">
        <v>41</v>
      </c>
      <c r="I1707" s="203" t="s">
        <v>643</v>
      </c>
      <c r="J1707" s="118">
        <v>1.0</v>
      </c>
      <c r="K1707" s="513"/>
      <c r="L1707" s="117"/>
      <c r="M1707" s="117"/>
      <c r="N1707" s="117"/>
      <c r="O1707" s="117"/>
      <c r="P1707" s="506"/>
      <c r="Q1707" s="119"/>
      <c r="R1707" s="507"/>
      <c r="S1707" s="504" t="s">
        <v>114</v>
      </c>
      <c r="T1707" s="203" t="s">
        <v>66</v>
      </c>
      <c r="U1707" s="203" t="s">
        <v>99</v>
      </c>
      <c r="V1707" s="203" t="s">
        <v>4376</v>
      </c>
      <c r="W1707" s="121"/>
      <c r="X1707" s="121"/>
      <c r="Y1707" s="508"/>
      <c r="Z1707" s="121"/>
      <c r="AA1707" s="207">
        <v>139750.0</v>
      </c>
      <c r="AB1707" s="207">
        <v>559000.0</v>
      </c>
      <c r="AC1707" s="509" t="s">
        <v>4543</v>
      </c>
      <c r="AD1707" s="203">
        <v>18612.0</v>
      </c>
      <c r="AE1707" s="119"/>
      <c r="AF1707" s="203" t="str">
        <f t="shared" si="1"/>
        <v>Buenos Aires, Argentina</v>
      </c>
      <c r="AG1707" s="510">
        <f t="shared" si="2"/>
        <v>1</v>
      </c>
      <c r="AH1707" s="511">
        <f t="shared" si="17"/>
        <v>0</v>
      </c>
      <c r="AI1707" s="511">
        <f t="shared" si="12"/>
        <v>0</v>
      </c>
      <c r="AJ1707" s="512">
        <f t="shared" si="5"/>
        <v>698750</v>
      </c>
      <c r="AK1707" s="512">
        <f t="shared" si="18"/>
        <v>698750</v>
      </c>
      <c r="AL1707" s="123"/>
      <c r="AM1707" s="123"/>
    </row>
    <row r="1708">
      <c r="A1708" s="298">
        <v>1700.0</v>
      </c>
      <c r="B1708" s="299">
        <v>45750.0</v>
      </c>
      <c r="C1708" s="302"/>
      <c r="D1708" s="397" t="s">
        <v>4544</v>
      </c>
      <c r="E1708" s="515" t="s">
        <v>4367</v>
      </c>
      <c r="F1708" s="300" t="s">
        <v>1415</v>
      </c>
      <c r="G1708" s="298" t="s">
        <v>64</v>
      </c>
      <c r="H1708" s="298" t="s">
        <v>41</v>
      </c>
      <c r="I1708" s="298" t="s">
        <v>643</v>
      </c>
      <c r="J1708" s="301"/>
      <c r="K1708" s="516">
        <v>1.0</v>
      </c>
      <c r="L1708" s="301"/>
      <c r="M1708" s="301"/>
      <c r="N1708" s="301"/>
      <c r="O1708" s="301"/>
      <c r="P1708" s="517"/>
      <c r="Q1708" s="302"/>
      <c r="R1708" s="518"/>
      <c r="S1708" s="515" t="s">
        <v>65</v>
      </c>
      <c r="T1708" s="298" t="s">
        <v>66</v>
      </c>
      <c r="U1708" s="298" t="s">
        <v>1259</v>
      </c>
      <c r="V1708" s="298" t="s">
        <v>1984</v>
      </c>
      <c r="W1708" s="303"/>
      <c r="X1708" s="303"/>
      <c r="Y1708" s="519"/>
      <c r="Z1708" s="303"/>
      <c r="AA1708" s="304">
        <v>95850.0</v>
      </c>
      <c r="AB1708" s="304">
        <v>346125.0</v>
      </c>
      <c r="AC1708" s="520" t="s">
        <v>4545</v>
      </c>
      <c r="AD1708" s="298">
        <v>18638.0</v>
      </c>
      <c r="AE1708" s="302"/>
      <c r="AF1708" s="298" t="str">
        <f t="shared" si="1"/>
        <v>Buenos Aires, Argentina</v>
      </c>
      <c r="AG1708" s="521">
        <f t="shared" si="2"/>
        <v>1</v>
      </c>
      <c r="AH1708" s="522">
        <f t="shared" si="17"/>
        <v>0</v>
      </c>
      <c r="AI1708" s="522">
        <f t="shared" si="12"/>
        <v>0</v>
      </c>
      <c r="AJ1708" s="523">
        <f t="shared" si="5"/>
        <v>441975</v>
      </c>
      <c r="AK1708" s="523">
        <f t="shared" si="18"/>
        <v>441975</v>
      </c>
      <c r="AL1708" s="306"/>
      <c r="AM1708" s="306"/>
    </row>
    <row r="1709">
      <c r="A1709" s="298">
        <v>1701.0</v>
      </c>
      <c r="B1709" s="299">
        <v>45751.0</v>
      </c>
      <c r="C1709" s="302"/>
      <c r="D1709" s="397" t="s">
        <v>2748</v>
      </c>
      <c r="E1709" s="515" t="s">
        <v>2749</v>
      </c>
      <c r="F1709" s="300" t="s">
        <v>4546</v>
      </c>
      <c r="G1709" s="298" t="s">
        <v>64</v>
      </c>
      <c r="H1709" s="298" t="s">
        <v>41</v>
      </c>
      <c r="I1709" s="298" t="s">
        <v>643</v>
      </c>
      <c r="J1709" s="301"/>
      <c r="K1709" s="524"/>
      <c r="L1709" s="301"/>
      <c r="M1709" s="301"/>
      <c r="N1709" s="301"/>
      <c r="O1709" s="301"/>
      <c r="P1709" s="517"/>
      <c r="Q1709" s="302"/>
      <c r="R1709" s="518"/>
      <c r="S1709" s="515" t="s">
        <v>65</v>
      </c>
      <c r="T1709" s="298" t="s">
        <v>66</v>
      </c>
      <c r="U1709" s="298" t="s">
        <v>99</v>
      </c>
      <c r="V1709" s="298" t="s">
        <v>1984</v>
      </c>
      <c r="W1709" s="304">
        <v>20894.0</v>
      </c>
      <c r="X1709" s="304">
        <v>0.0</v>
      </c>
      <c r="Y1709" s="519"/>
      <c r="Z1709" s="303"/>
      <c r="AA1709" s="304">
        <v>0.0</v>
      </c>
      <c r="AB1709" s="304">
        <v>0.0</v>
      </c>
      <c r="AC1709" s="520" t="s">
        <v>4547</v>
      </c>
      <c r="AD1709" s="298">
        <v>18680.0</v>
      </c>
      <c r="AE1709" s="302"/>
      <c r="AF1709" s="298" t="str">
        <f t="shared" si="1"/>
        <v>Buenos Aires, Argentina</v>
      </c>
      <c r="AG1709" s="521">
        <f t="shared" si="2"/>
        <v>0</v>
      </c>
      <c r="AH1709" s="522">
        <f t="shared" si="17"/>
        <v>20894</v>
      </c>
      <c r="AI1709" s="522">
        <f t="shared" si="12"/>
        <v>0</v>
      </c>
      <c r="AJ1709" s="523">
        <f t="shared" si="5"/>
        <v>0</v>
      </c>
      <c r="AK1709" s="523">
        <f t="shared" si="18"/>
        <v>20894</v>
      </c>
      <c r="AL1709" s="306"/>
      <c r="AM1709" s="306"/>
    </row>
    <row r="1710">
      <c r="A1710" s="298">
        <v>1702.0</v>
      </c>
      <c r="B1710" s="299">
        <v>45757.0</v>
      </c>
      <c r="C1710" s="302"/>
      <c r="D1710" s="397" t="s">
        <v>4548</v>
      </c>
      <c r="E1710" s="515" t="s">
        <v>4501</v>
      </c>
      <c r="F1710" s="300" t="s">
        <v>4549</v>
      </c>
      <c r="G1710" s="298" t="s">
        <v>64</v>
      </c>
      <c r="H1710" s="298" t="s">
        <v>41</v>
      </c>
      <c r="I1710" s="298" t="s">
        <v>42</v>
      </c>
      <c r="J1710" s="301"/>
      <c r="K1710" s="524"/>
      <c r="L1710" s="301"/>
      <c r="M1710" s="301"/>
      <c r="N1710" s="301"/>
      <c r="O1710" s="301"/>
      <c r="P1710" s="517"/>
      <c r="Q1710" s="302"/>
      <c r="R1710" s="518"/>
      <c r="S1710" s="515" t="s">
        <v>65</v>
      </c>
      <c r="T1710" s="298" t="s">
        <v>66</v>
      </c>
      <c r="U1710" s="298" t="s">
        <v>99</v>
      </c>
      <c r="V1710" s="298" t="s">
        <v>2922</v>
      </c>
      <c r="W1710" s="303"/>
      <c r="X1710" s="303"/>
      <c r="Y1710" s="519"/>
      <c r="Z1710" s="303"/>
      <c r="AA1710" s="304">
        <v>0.0</v>
      </c>
      <c r="AB1710" s="304">
        <v>0.0</v>
      </c>
      <c r="AC1710" s="520" t="s">
        <v>4550</v>
      </c>
      <c r="AD1710" s="298">
        <v>18376.0</v>
      </c>
      <c r="AE1710" s="302"/>
      <c r="AF1710" s="298" t="str">
        <f t="shared" si="1"/>
        <v>Buenos Aires, Argentina</v>
      </c>
      <c r="AG1710" s="521">
        <f t="shared" si="2"/>
        <v>0</v>
      </c>
      <c r="AH1710" s="522">
        <f t="shared" si="17"/>
        <v>0</v>
      </c>
      <c r="AI1710" s="522">
        <f t="shared" si="12"/>
        <v>0</v>
      </c>
      <c r="AJ1710" s="523">
        <f t="shared" si="5"/>
        <v>0</v>
      </c>
      <c r="AK1710" s="523">
        <f t="shared" si="18"/>
        <v>0</v>
      </c>
      <c r="AL1710" s="306"/>
      <c r="AM1710" s="306"/>
    </row>
    <row r="1711">
      <c r="A1711" s="298">
        <v>1703.0</v>
      </c>
      <c r="B1711" s="299">
        <v>45758.0</v>
      </c>
      <c r="C1711" s="302"/>
      <c r="D1711" s="397" t="s">
        <v>4033</v>
      </c>
      <c r="E1711" s="515" t="s">
        <v>4034</v>
      </c>
      <c r="F1711" s="300" t="s">
        <v>3490</v>
      </c>
      <c r="G1711" s="298" t="s">
        <v>64</v>
      </c>
      <c r="H1711" s="298" t="s">
        <v>41</v>
      </c>
      <c r="I1711" s="298" t="s">
        <v>643</v>
      </c>
      <c r="J1711" s="301"/>
      <c r="K1711" s="524"/>
      <c r="L1711" s="301"/>
      <c r="M1711" s="301"/>
      <c r="N1711" s="301"/>
      <c r="O1711" s="301"/>
      <c r="P1711" s="307">
        <v>1.0</v>
      </c>
      <c r="Q1711" s="302"/>
      <c r="R1711" s="518"/>
      <c r="S1711" s="515" t="s">
        <v>72</v>
      </c>
      <c r="T1711" s="298" t="s">
        <v>83</v>
      </c>
      <c r="U1711" s="298" t="s">
        <v>99</v>
      </c>
      <c r="V1711" s="298" t="s">
        <v>1984</v>
      </c>
      <c r="W1711" s="303"/>
      <c r="X1711" s="303"/>
      <c r="Y1711" s="519"/>
      <c r="Z1711" s="303"/>
      <c r="AA1711" s="304">
        <v>142000.0</v>
      </c>
      <c r="AB1711" s="304">
        <v>568000.0</v>
      </c>
      <c r="AC1711" s="520" t="s">
        <v>4551</v>
      </c>
      <c r="AD1711" s="298">
        <v>18522.0</v>
      </c>
      <c r="AE1711" s="302"/>
      <c r="AF1711" s="298" t="str">
        <f t="shared" si="1"/>
        <v>Capital Federal, Argentina</v>
      </c>
      <c r="AG1711" s="521">
        <f t="shared" si="2"/>
        <v>1</v>
      </c>
      <c r="AH1711" s="522">
        <f t="shared" si="17"/>
        <v>0</v>
      </c>
      <c r="AI1711" s="522">
        <f t="shared" si="12"/>
        <v>0</v>
      </c>
      <c r="AJ1711" s="523">
        <f t="shared" si="5"/>
        <v>710000</v>
      </c>
      <c r="AK1711" s="523">
        <f t="shared" si="18"/>
        <v>710000</v>
      </c>
      <c r="AL1711" s="306"/>
      <c r="AM1711" s="306"/>
    </row>
    <row r="1712">
      <c r="A1712" s="298">
        <v>1704.0</v>
      </c>
      <c r="B1712" s="299">
        <v>45758.0</v>
      </c>
      <c r="C1712" s="302"/>
      <c r="D1712" s="397" t="s">
        <v>4033</v>
      </c>
      <c r="E1712" s="515" t="s">
        <v>4034</v>
      </c>
      <c r="F1712" s="300" t="s">
        <v>4552</v>
      </c>
      <c r="G1712" s="298" t="s">
        <v>64</v>
      </c>
      <c r="H1712" s="298" t="s">
        <v>41</v>
      </c>
      <c r="I1712" s="298" t="s">
        <v>643</v>
      </c>
      <c r="J1712" s="301"/>
      <c r="K1712" s="524"/>
      <c r="L1712" s="301"/>
      <c r="M1712" s="301"/>
      <c r="N1712" s="301"/>
      <c r="O1712" s="301"/>
      <c r="P1712" s="517"/>
      <c r="Q1712" s="302"/>
      <c r="R1712" s="518"/>
      <c r="S1712" s="515" t="s">
        <v>72</v>
      </c>
      <c r="T1712" s="298" t="s">
        <v>83</v>
      </c>
      <c r="U1712" s="298" t="s">
        <v>99</v>
      </c>
      <c r="V1712" s="298" t="s">
        <v>1984</v>
      </c>
      <c r="W1712" s="304">
        <v>275933.0</v>
      </c>
      <c r="X1712" s="304">
        <v>551866.0</v>
      </c>
      <c r="Y1712" s="519"/>
      <c r="Z1712" s="303"/>
      <c r="AA1712" s="304">
        <v>0.0</v>
      </c>
      <c r="AB1712" s="304">
        <v>0.0</v>
      </c>
      <c r="AC1712" s="520" t="s">
        <v>4551</v>
      </c>
      <c r="AD1712" s="298">
        <v>18522.0</v>
      </c>
      <c r="AE1712" s="302"/>
      <c r="AF1712" s="298" t="str">
        <f t="shared" si="1"/>
        <v>Capital Federal, Argentina</v>
      </c>
      <c r="AG1712" s="521">
        <f t="shared" si="2"/>
        <v>0</v>
      </c>
      <c r="AH1712" s="522">
        <f t="shared" si="17"/>
        <v>827799</v>
      </c>
      <c r="AI1712" s="522">
        <f t="shared" si="12"/>
        <v>0</v>
      </c>
      <c r="AJ1712" s="523">
        <f t="shared" si="5"/>
        <v>0</v>
      </c>
      <c r="AK1712" s="523">
        <f t="shared" si="18"/>
        <v>827799</v>
      </c>
      <c r="AL1712" s="306"/>
      <c r="AM1712" s="306"/>
    </row>
    <row r="1713">
      <c r="A1713" s="298">
        <v>1705.0</v>
      </c>
      <c r="B1713" s="299">
        <v>45762.0</v>
      </c>
      <c r="C1713" s="302"/>
      <c r="D1713" s="397" t="s">
        <v>4553</v>
      </c>
      <c r="E1713" s="515" t="s">
        <v>2512</v>
      </c>
      <c r="F1713" s="300" t="s">
        <v>1415</v>
      </c>
      <c r="G1713" s="298" t="s">
        <v>64</v>
      </c>
      <c r="H1713" s="298" t="s">
        <v>41</v>
      </c>
      <c r="I1713" s="298" t="s">
        <v>643</v>
      </c>
      <c r="J1713" s="301"/>
      <c r="K1713" s="516">
        <v>1.0</v>
      </c>
      <c r="L1713" s="301"/>
      <c r="M1713" s="301"/>
      <c r="N1713" s="301"/>
      <c r="O1713" s="301"/>
      <c r="P1713" s="517"/>
      <c r="Q1713" s="302"/>
      <c r="R1713" s="518"/>
      <c r="S1713" s="515" t="s">
        <v>114</v>
      </c>
      <c r="T1713" s="298" t="s">
        <v>83</v>
      </c>
      <c r="U1713" s="298" t="s">
        <v>99</v>
      </c>
      <c r="V1713" s="298" t="s">
        <v>1984</v>
      </c>
      <c r="W1713" s="303"/>
      <c r="X1713" s="303"/>
      <c r="Y1713" s="519"/>
      <c r="Z1713" s="303"/>
      <c r="AA1713" s="304">
        <v>106500.0</v>
      </c>
      <c r="AB1713" s="304">
        <v>426000.0</v>
      </c>
      <c r="AC1713" s="520" t="s">
        <v>4554</v>
      </c>
      <c r="AD1713" s="298">
        <v>18946.0</v>
      </c>
      <c r="AE1713" s="302"/>
      <c r="AF1713" s="298" t="str">
        <f t="shared" si="1"/>
        <v>Capital Federal, Argentina</v>
      </c>
      <c r="AG1713" s="521">
        <f t="shared" si="2"/>
        <v>1</v>
      </c>
      <c r="AH1713" s="522">
        <f t="shared" si="17"/>
        <v>0</v>
      </c>
      <c r="AI1713" s="522">
        <f t="shared" si="12"/>
        <v>0</v>
      </c>
      <c r="AJ1713" s="523">
        <f t="shared" si="5"/>
        <v>532500</v>
      </c>
      <c r="AK1713" s="523">
        <f t="shared" si="18"/>
        <v>532500</v>
      </c>
      <c r="AL1713" s="306"/>
      <c r="AM1713" s="306"/>
    </row>
    <row r="1714">
      <c r="A1714" s="298">
        <v>1706.0</v>
      </c>
      <c r="B1714" s="299">
        <v>45762.0</v>
      </c>
      <c r="C1714" s="302"/>
      <c r="D1714" s="397" t="s">
        <v>4555</v>
      </c>
      <c r="E1714" s="515" t="s">
        <v>4556</v>
      </c>
      <c r="F1714" s="300" t="s">
        <v>1415</v>
      </c>
      <c r="G1714" s="298" t="s">
        <v>64</v>
      </c>
      <c r="H1714" s="298" t="s">
        <v>41</v>
      </c>
      <c r="I1714" s="298" t="s">
        <v>643</v>
      </c>
      <c r="J1714" s="301"/>
      <c r="K1714" s="516">
        <v>1.0</v>
      </c>
      <c r="L1714" s="301"/>
      <c r="M1714" s="301"/>
      <c r="N1714" s="301"/>
      <c r="O1714" s="301"/>
      <c r="P1714" s="517"/>
      <c r="Q1714" s="302"/>
      <c r="R1714" s="518"/>
      <c r="S1714" s="515" t="s">
        <v>65</v>
      </c>
      <c r="T1714" s="298" t="s">
        <v>254</v>
      </c>
      <c r="U1714" s="298" t="s">
        <v>1259</v>
      </c>
      <c r="V1714" s="298" t="s">
        <v>1984</v>
      </c>
      <c r="W1714" s="303"/>
      <c r="X1714" s="303"/>
      <c r="Y1714" s="519"/>
      <c r="Z1714" s="303"/>
      <c r="AA1714" s="304">
        <v>106500.0</v>
      </c>
      <c r="AB1714" s="304">
        <v>399375.0</v>
      </c>
      <c r="AC1714" s="520" t="s">
        <v>4557</v>
      </c>
      <c r="AD1714" s="298">
        <v>19082.0</v>
      </c>
      <c r="AE1714" s="302"/>
      <c r="AF1714" s="298" t="str">
        <f t="shared" si="1"/>
        <v>La Rioja, Argentina</v>
      </c>
      <c r="AG1714" s="521">
        <f t="shared" si="2"/>
        <v>1</v>
      </c>
      <c r="AH1714" s="522">
        <f t="shared" si="17"/>
        <v>0</v>
      </c>
      <c r="AI1714" s="522">
        <f t="shared" si="12"/>
        <v>0</v>
      </c>
      <c r="AJ1714" s="523">
        <f t="shared" si="5"/>
        <v>505875</v>
      </c>
      <c r="AK1714" s="523">
        <f t="shared" si="18"/>
        <v>505875</v>
      </c>
      <c r="AL1714" s="306"/>
      <c r="AM1714" s="306"/>
    </row>
    <row r="1715">
      <c r="A1715" s="298">
        <v>1707.0</v>
      </c>
      <c r="B1715" s="299">
        <v>45762.0</v>
      </c>
      <c r="C1715" s="302"/>
      <c r="D1715" s="397" t="s">
        <v>4558</v>
      </c>
      <c r="E1715" s="515" t="s">
        <v>4559</v>
      </c>
      <c r="F1715" s="300" t="s">
        <v>2991</v>
      </c>
      <c r="G1715" s="298" t="s">
        <v>40</v>
      </c>
      <c r="H1715" s="298" t="s">
        <v>547</v>
      </c>
      <c r="I1715" s="298" t="s">
        <v>42</v>
      </c>
      <c r="J1715" s="399">
        <v>1.0</v>
      </c>
      <c r="K1715" s="516">
        <v>4.0</v>
      </c>
      <c r="L1715" s="301"/>
      <c r="M1715" s="307">
        <v>1.0</v>
      </c>
      <c r="N1715" s="301"/>
      <c r="O1715" s="301"/>
      <c r="P1715" s="517"/>
      <c r="Q1715" s="302"/>
      <c r="R1715" s="518"/>
      <c r="S1715" s="515" t="s">
        <v>114</v>
      </c>
      <c r="T1715" s="298" t="s">
        <v>66</v>
      </c>
      <c r="U1715" s="298" t="s">
        <v>45</v>
      </c>
      <c r="V1715" s="298" t="s">
        <v>2922</v>
      </c>
      <c r="W1715" s="303"/>
      <c r="X1715" s="303"/>
      <c r="Y1715" s="519"/>
      <c r="Z1715" s="303"/>
      <c r="AA1715" s="304">
        <v>437360.0</v>
      </c>
      <c r="AB1715" s="304">
        <v>1749440.0</v>
      </c>
      <c r="AC1715" s="520" t="s">
        <v>4560</v>
      </c>
      <c r="AD1715" s="298">
        <v>18636.0</v>
      </c>
      <c r="AE1715" s="302"/>
      <c r="AF1715" s="298" t="str">
        <f t="shared" si="1"/>
        <v>Buenos Aires, Argentina</v>
      </c>
      <c r="AG1715" s="521">
        <f t="shared" si="2"/>
        <v>6</v>
      </c>
      <c r="AH1715" s="522">
        <f t="shared" si="17"/>
        <v>0</v>
      </c>
      <c r="AI1715" s="522">
        <f t="shared" si="12"/>
        <v>0</v>
      </c>
      <c r="AJ1715" s="523">
        <f t="shared" si="5"/>
        <v>2186800</v>
      </c>
      <c r="AK1715" s="523">
        <f t="shared" si="18"/>
        <v>2186800</v>
      </c>
      <c r="AL1715" s="306"/>
      <c r="AM1715" s="306"/>
    </row>
    <row r="1716">
      <c r="A1716" s="298">
        <v>1708.0</v>
      </c>
      <c r="B1716" s="299">
        <v>45762.0</v>
      </c>
      <c r="C1716" s="302"/>
      <c r="D1716" s="397" t="s">
        <v>4328</v>
      </c>
      <c r="E1716" s="515" t="s">
        <v>4025</v>
      </c>
      <c r="F1716" s="300" t="s">
        <v>4561</v>
      </c>
      <c r="G1716" s="298" t="s">
        <v>64</v>
      </c>
      <c r="H1716" s="298" t="s">
        <v>41</v>
      </c>
      <c r="I1716" s="298" t="s">
        <v>643</v>
      </c>
      <c r="J1716" s="301"/>
      <c r="K1716" s="524"/>
      <c r="L1716" s="301"/>
      <c r="M1716" s="301"/>
      <c r="N1716" s="301"/>
      <c r="O1716" s="301"/>
      <c r="P1716" s="517"/>
      <c r="Q1716" s="302"/>
      <c r="R1716" s="518"/>
      <c r="S1716" s="515" t="s">
        <v>114</v>
      </c>
      <c r="T1716" s="298" t="s">
        <v>66</v>
      </c>
      <c r="U1716" s="298" t="s">
        <v>99</v>
      </c>
      <c r="V1716" s="298" t="s">
        <v>1984</v>
      </c>
      <c r="W1716" s="303"/>
      <c r="X1716" s="303"/>
      <c r="Y1716" s="519"/>
      <c r="Z1716" s="303"/>
      <c r="AA1716" s="304">
        <v>0.0</v>
      </c>
      <c r="AB1716" s="304">
        <v>0.0</v>
      </c>
      <c r="AC1716" s="520" t="s">
        <v>4562</v>
      </c>
      <c r="AD1716" s="298">
        <v>18948.0</v>
      </c>
      <c r="AE1716" s="302"/>
      <c r="AF1716" s="298" t="str">
        <f t="shared" si="1"/>
        <v>Buenos Aires, Argentina</v>
      </c>
      <c r="AG1716" s="521">
        <f t="shared" si="2"/>
        <v>0</v>
      </c>
      <c r="AH1716" s="522">
        <f t="shared" si="17"/>
        <v>0</v>
      </c>
      <c r="AI1716" s="522">
        <f t="shared" si="12"/>
        <v>0</v>
      </c>
      <c r="AJ1716" s="523">
        <f t="shared" si="5"/>
        <v>0</v>
      </c>
      <c r="AK1716" s="523">
        <f t="shared" si="18"/>
        <v>0</v>
      </c>
      <c r="AL1716" s="306"/>
      <c r="AM1716" s="306"/>
    </row>
    <row r="1717">
      <c r="A1717" s="298">
        <v>1709.0</v>
      </c>
      <c r="B1717" s="299">
        <v>45762.0</v>
      </c>
      <c r="C1717" s="302"/>
      <c r="D1717" s="397" t="s">
        <v>4446</v>
      </c>
      <c r="E1717" s="515" t="s">
        <v>4447</v>
      </c>
      <c r="F1717" s="300" t="s">
        <v>1415</v>
      </c>
      <c r="G1717" s="298" t="s">
        <v>64</v>
      </c>
      <c r="H1717" s="298" t="s">
        <v>41</v>
      </c>
      <c r="I1717" s="298" t="s">
        <v>42</v>
      </c>
      <c r="J1717" s="301"/>
      <c r="K1717" s="516">
        <v>1.0</v>
      </c>
      <c r="L1717" s="301"/>
      <c r="M1717" s="301"/>
      <c r="N1717" s="301"/>
      <c r="O1717" s="301"/>
      <c r="P1717" s="517"/>
      <c r="Q1717" s="302"/>
      <c r="R1717" s="518"/>
      <c r="S1717" s="515" t="s">
        <v>98</v>
      </c>
      <c r="T1717" s="298" t="s">
        <v>58</v>
      </c>
      <c r="U1717" s="298" t="s">
        <v>99</v>
      </c>
      <c r="V1717" s="298" t="s">
        <v>2922</v>
      </c>
      <c r="W1717" s="303"/>
      <c r="X1717" s="303"/>
      <c r="Y1717" s="519"/>
      <c r="Z1717" s="303"/>
      <c r="AA1717" s="304">
        <v>106500.0</v>
      </c>
      <c r="AB1717" s="304">
        <v>479250.0</v>
      </c>
      <c r="AC1717" s="520" t="s">
        <v>4563</v>
      </c>
      <c r="AD1717" s="298">
        <v>18700.0</v>
      </c>
      <c r="AE1717" s="302"/>
      <c r="AF1717" s="298" t="str">
        <f t="shared" si="1"/>
        <v>Córdoba, Argentina</v>
      </c>
      <c r="AG1717" s="521">
        <f t="shared" si="2"/>
        <v>1</v>
      </c>
      <c r="AH1717" s="522">
        <f t="shared" si="17"/>
        <v>0</v>
      </c>
      <c r="AI1717" s="522">
        <f t="shared" si="12"/>
        <v>0</v>
      </c>
      <c r="AJ1717" s="523">
        <f t="shared" si="5"/>
        <v>585750</v>
      </c>
      <c r="AK1717" s="523">
        <f t="shared" si="18"/>
        <v>585750</v>
      </c>
      <c r="AL1717" s="306"/>
      <c r="AM1717" s="306"/>
    </row>
    <row r="1718">
      <c r="A1718" s="298">
        <v>1710.0</v>
      </c>
      <c r="B1718" s="299">
        <v>45768.0</v>
      </c>
      <c r="C1718" s="302"/>
      <c r="D1718" s="397" t="s">
        <v>2576</v>
      </c>
      <c r="E1718" s="515" t="s">
        <v>2577</v>
      </c>
      <c r="F1718" s="300" t="s">
        <v>1412</v>
      </c>
      <c r="G1718" s="298" t="s">
        <v>64</v>
      </c>
      <c r="H1718" s="298" t="s">
        <v>41</v>
      </c>
      <c r="I1718" s="298" t="s">
        <v>643</v>
      </c>
      <c r="J1718" s="399">
        <v>2.0</v>
      </c>
      <c r="K1718" s="524"/>
      <c r="L1718" s="301"/>
      <c r="M1718" s="301"/>
      <c r="N1718" s="301"/>
      <c r="O1718" s="301"/>
      <c r="P1718" s="517"/>
      <c r="Q1718" s="302"/>
      <c r="R1718" s="518"/>
      <c r="S1718" s="515" t="s">
        <v>98</v>
      </c>
      <c r="T1718" s="298" t="s">
        <v>66</v>
      </c>
      <c r="U1718" s="298" t="s">
        <v>1259</v>
      </c>
      <c r="V1718" s="298" t="s">
        <v>1984</v>
      </c>
      <c r="W1718" s="303"/>
      <c r="X1718" s="303"/>
      <c r="Y1718" s="519"/>
      <c r="Z1718" s="303"/>
      <c r="AA1718" s="304">
        <v>284000.0</v>
      </c>
      <c r="AB1718" s="304">
        <v>994000.0</v>
      </c>
      <c r="AC1718" s="520" t="s">
        <v>4564</v>
      </c>
      <c r="AD1718" s="298">
        <v>18934.0</v>
      </c>
      <c r="AE1718" s="302"/>
      <c r="AF1718" s="298" t="str">
        <f t="shared" si="1"/>
        <v>Buenos Aires, Argentina</v>
      </c>
      <c r="AG1718" s="521">
        <f t="shared" si="2"/>
        <v>2</v>
      </c>
      <c r="AH1718" s="522">
        <f t="shared" si="17"/>
        <v>0</v>
      </c>
      <c r="AI1718" s="522">
        <f t="shared" si="12"/>
        <v>0</v>
      </c>
      <c r="AJ1718" s="523">
        <f t="shared" si="5"/>
        <v>1278000</v>
      </c>
      <c r="AK1718" s="523">
        <f t="shared" si="18"/>
        <v>1278000</v>
      </c>
      <c r="AL1718" s="306"/>
      <c r="AM1718" s="306"/>
    </row>
    <row r="1719">
      <c r="A1719" s="298">
        <v>1711.0</v>
      </c>
      <c r="B1719" s="299">
        <v>45768.0</v>
      </c>
      <c r="C1719" s="302"/>
      <c r="D1719" s="397" t="s">
        <v>4514</v>
      </c>
      <c r="E1719" s="515" t="s">
        <v>4515</v>
      </c>
      <c r="F1719" s="300" t="s">
        <v>1878</v>
      </c>
      <c r="G1719" s="298" t="s">
        <v>64</v>
      </c>
      <c r="H1719" s="298" t="s">
        <v>41</v>
      </c>
      <c r="I1719" s="298" t="s">
        <v>42</v>
      </c>
      <c r="J1719" s="301"/>
      <c r="K1719" s="524"/>
      <c r="L1719" s="301"/>
      <c r="M1719" s="301"/>
      <c r="N1719" s="307">
        <v>1.0</v>
      </c>
      <c r="O1719" s="301"/>
      <c r="P1719" s="517"/>
      <c r="Q1719" s="302"/>
      <c r="R1719" s="518"/>
      <c r="S1719" s="515" t="s">
        <v>137</v>
      </c>
      <c r="T1719" s="298" t="s">
        <v>66</v>
      </c>
      <c r="U1719" s="298" t="s">
        <v>99</v>
      </c>
      <c r="V1719" s="298" t="s">
        <v>1984</v>
      </c>
      <c r="W1719" s="303"/>
      <c r="X1719" s="303"/>
      <c r="Y1719" s="519"/>
      <c r="Z1719" s="303"/>
      <c r="AA1719" s="304">
        <v>139750.0</v>
      </c>
      <c r="AB1719" s="304">
        <v>603500.0</v>
      </c>
      <c r="AC1719" s="520" t="s">
        <v>4565</v>
      </c>
      <c r="AD1719" s="298">
        <v>19210.0</v>
      </c>
      <c r="AE1719" s="302"/>
      <c r="AF1719" s="298" t="str">
        <f t="shared" si="1"/>
        <v>Buenos Aires, Argentina</v>
      </c>
      <c r="AG1719" s="521">
        <f t="shared" si="2"/>
        <v>1</v>
      </c>
      <c r="AH1719" s="522">
        <f t="shared" si="17"/>
        <v>0</v>
      </c>
      <c r="AI1719" s="522">
        <f t="shared" si="12"/>
        <v>0</v>
      </c>
      <c r="AJ1719" s="523">
        <f t="shared" si="5"/>
        <v>743250</v>
      </c>
      <c r="AK1719" s="523">
        <f t="shared" si="18"/>
        <v>743250</v>
      </c>
      <c r="AL1719" s="306"/>
      <c r="AM1719" s="306"/>
    </row>
    <row r="1720">
      <c r="A1720" s="298">
        <v>1712.0</v>
      </c>
      <c r="B1720" s="299">
        <v>45768.0</v>
      </c>
      <c r="C1720" s="302"/>
      <c r="D1720" s="397" t="s">
        <v>4514</v>
      </c>
      <c r="E1720" s="515" t="s">
        <v>4515</v>
      </c>
      <c r="F1720" s="300" t="s">
        <v>4566</v>
      </c>
      <c r="G1720" s="298" t="s">
        <v>64</v>
      </c>
      <c r="H1720" s="298" t="s">
        <v>41</v>
      </c>
      <c r="I1720" s="298" t="s">
        <v>42</v>
      </c>
      <c r="J1720" s="301"/>
      <c r="K1720" s="524"/>
      <c r="L1720" s="301"/>
      <c r="M1720" s="301"/>
      <c r="N1720" s="301"/>
      <c r="O1720" s="301"/>
      <c r="P1720" s="517"/>
      <c r="Q1720" s="302"/>
      <c r="R1720" s="518"/>
      <c r="S1720" s="515" t="s">
        <v>137</v>
      </c>
      <c r="T1720" s="298" t="s">
        <v>66</v>
      </c>
      <c r="U1720" s="298" t="s">
        <v>99</v>
      </c>
      <c r="V1720" s="298" t="s">
        <v>1984</v>
      </c>
      <c r="W1720" s="304">
        <v>244260.0</v>
      </c>
      <c r="X1720" s="304">
        <v>228994.0</v>
      </c>
      <c r="Y1720" s="519"/>
      <c r="Z1720" s="303"/>
      <c r="AA1720" s="304">
        <v>0.0</v>
      </c>
      <c r="AB1720" s="304">
        <v>0.0</v>
      </c>
      <c r="AC1720" s="401" t="s">
        <v>4565</v>
      </c>
      <c r="AD1720" s="298">
        <v>19210.0</v>
      </c>
      <c r="AE1720" s="302"/>
      <c r="AF1720" s="298" t="str">
        <f t="shared" si="1"/>
        <v>Buenos Aires, Argentina</v>
      </c>
      <c r="AG1720" s="521">
        <f t="shared" si="2"/>
        <v>0</v>
      </c>
      <c r="AH1720" s="522">
        <f t="shared" si="17"/>
        <v>473254</v>
      </c>
      <c r="AI1720" s="522">
        <f t="shared" si="12"/>
        <v>0</v>
      </c>
      <c r="AJ1720" s="523">
        <f t="shared" si="5"/>
        <v>0</v>
      </c>
      <c r="AK1720" s="523">
        <f t="shared" si="18"/>
        <v>473254</v>
      </c>
      <c r="AL1720" s="306"/>
      <c r="AM1720" s="306"/>
    </row>
    <row r="1721">
      <c r="A1721" s="298">
        <v>1713.0</v>
      </c>
      <c r="B1721" s="299">
        <v>45768.0</v>
      </c>
      <c r="C1721" s="302"/>
      <c r="D1721" s="397" t="s">
        <v>4536</v>
      </c>
      <c r="E1721" s="515" t="s">
        <v>4537</v>
      </c>
      <c r="F1721" s="300" t="s">
        <v>3490</v>
      </c>
      <c r="G1721" s="298" t="s">
        <v>64</v>
      </c>
      <c r="H1721" s="298" t="s">
        <v>41</v>
      </c>
      <c r="I1721" s="298" t="s">
        <v>42</v>
      </c>
      <c r="J1721" s="301"/>
      <c r="K1721" s="524"/>
      <c r="L1721" s="301"/>
      <c r="M1721" s="301"/>
      <c r="N1721" s="301"/>
      <c r="O1721" s="301"/>
      <c r="P1721" s="307">
        <v>1.0</v>
      </c>
      <c r="Q1721" s="302"/>
      <c r="R1721" s="518"/>
      <c r="S1721" s="515" t="s">
        <v>189</v>
      </c>
      <c r="T1721" s="298" t="s">
        <v>539</v>
      </c>
      <c r="U1721" s="298" t="s">
        <v>99</v>
      </c>
      <c r="V1721" s="298" t="s">
        <v>4185</v>
      </c>
      <c r="W1721" s="303"/>
      <c r="X1721" s="303"/>
      <c r="Y1721" s="519"/>
      <c r="Z1721" s="303"/>
      <c r="AA1721" s="304">
        <v>142000.0</v>
      </c>
      <c r="AB1721" s="304">
        <v>532500.0</v>
      </c>
      <c r="AC1721" s="520" t="s">
        <v>4567</v>
      </c>
      <c r="AD1721" s="298">
        <v>19260.0</v>
      </c>
      <c r="AE1721" s="302"/>
      <c r="AF1721" s="298" t="str">
        <f t="shared" si="1"/>
        <v>Misiones, Argentina</v>
      </c>
      <c r="AG1721" s="521">
        <f t="shared" si="2"/>
        <v>1</v>
      </c>
      <c r="AH1721" s="522">
        <f t="shared" si="17"/>
        <v>0</v>
      </c>
      <c r="AI1721" s="522">
        <f t="shared" si="12"/>
        <v>0</v>
      </c>
      <c r="AJ1721" s="523">
        <f t="shared" si="5"/>
        <v>674500</v>
      </c>
      <c r="AK1721" s="523">
        <f t="shared" si="18"/>
        <v>674500</v>
      </c>
      <c r="AL1721" s="306"/>
      <c r="AM1721" s="306"/>
    </row>
    <row r="1722">
      <c r="A1722" s="298">
        <v>1714.0</v>
      </c>
      <c r="B1722" s="299">
        <v>45768.0</v>
      </c>
      <c r="C1722" s="302"/>
      <c r="D1722" s="397" t="s">
        <v>4536</v>
      </c>
      <c r="E1722" s="515" t="s">
        <v>4537</v>
      </c>
      <c r="F1722" s="300" t="s">
        <v>4568</v>
      </c>
      <c r="G1722" s="298" t="s">
        <v>64</v>
      </c>
      <c r="H1722" s="298" t="s">
        <v>41</v>
      </c>
      <c r="I1722" s="298" t="s">
        <v>643</v>
      </c>
      <c r="J1722" s="301"/>
      <c r="K1722" s="524"/>
      <c r="L1722" s="301"/>
      <c r="M1722" s="301"/>
      <c r="N1722" s="301"/>
      <c r="O1722" s="301"/>
      <c r="P1722" s="517"/>
      <c r="Q1722" s="302"/>
      <c r="R1722" s="518"/>
      <c r="S1722" s="515" t="s">
        <v>189</v>
      </c>
      <c r="T1722" s="298" t="s">
        <v>539</v>
      </c>
      <c r="U1722" s="298" t="s">
        <v>99</v>
      </c>
      <c r="V1722" s="298" t="s">
        <v>1984</v>
      </c>
      <c r="W1722" s="304">
        <v>81299.0</v>
      </c>
      <c r="X1722" s="304">
        <v>219508.0</v>
      </c>
      <c r="Y1722" s="519"/>
      <c r="Z1722" s="303"/>
      <c r="AA1722" s="304">
        <v>0.0</v>
      </c>
      <c r="AB1722" s="304">
        <v>0.0</v>
      </c>
      <c r="AC1722" s="520" t="s">
        <v>4569</v>
      </c>
      <c r="AD1722" s="298">
        <v>18728.0</v>
      </c>
      <c r="AE1722" s="302"/>
      <c r="AF1722" s="298" t="str">
        <f t="shared" si="1"/>
        <v>Misiones, Argentina</v>
      </c>
      <c r="AG1722" s="521">
        <f t="shared" si="2"/>
        <v>0</v>
      </c>
      <c r="AH1722" s="522">
        <f t="shared" si="17"/>
        <v>300807</v>
      </c>
      <c r="AI1722" s="522">
        <f t="shared" si="12"/>
        <v>0</v>
      </c>
      <c r="AJ1722" s="523">
        <f t="shared" si="5"/>
        <v>0</v>
      </c>
      <c r="AK1722" s="523">
        <f t="shared" si="18"/>
        <v>300807</v>
      </c>
      <c r="AL1722" s="306"/>
      <c r="AM1722" s="306"/>
    </row>
    <row r="1723">
      <c r="A1723" s="298">
        <v>1715.0</v>
      </c>
      <c r="B1723" s="299">
        <v>45768.0</v>
      </c>
      <c r="C1723" s="302"/>
      <c r="D1723" s="397" t="s">
        <v>4349</v>
      </c>
      <c r="E1723" s="515" t="s">
        <v>4350</v>
      </c>
      <c r="F1723" s="300" t="s">
        <v>4570</v>
      </c>
      <c r="G1723" s="298" t="s">
        <v>64</v>
      </c>
      <c r="H1723" s="298" t="s">
        <v>41</v>
      </c>
      <c r="I1723" s="298" t="s">
        <v>42</v>
      </c>
      <c r="J1723" s="301"/>
      <c r="K1723" s="516">
        <v>1.0</v>
      </c>
      <c r="L1723" s="301"/>
      <c r="M1723" s="301"/>
      <c r="N1723" s="301"/>
      <c r="O1723" s="301"/>
      <c r="P1723" s="307">
        <v>1.0</v>
      </c>
      <c r="Q1723" s="302"/>
      <c r="R1723" s="518"/>
      <c r="S1723" s="515" t="s">
        <v>65</v>
      </c>
      <c r="T1723" s="298" t="s">
        <v>66</v>
      </c>
      <c r="U1723" s="298" t="s">
        <v>99</v>
      </c>
      <c r="V1723" s="298" t="s">
        <v>2922</v>
      </c>
      <c r="W1723" s="303"/>
      <c r="X1723" s="303"/>
      <c r="Y1723" s="519"/>
      <c r="Z1723" s="303"/>
      <c r="AA1723" s="304">
        <v>248500.0</v>
      </c>
      <c r="AB1723" s="304">
        <v>807625.0</v>
      </c>
      <c r="AC1723" s="520" t="s">
        <v>4571</v>
      </c>
      <c r="AD1723" s="298">
        <v>19236.0</v>
      </c>
      <c r="AE1723" s="302"/>
      <c r="AF1723" s="298" t="str">
        <f t="shared" si="1"/>
        <v>Buenos Aires, Argentina</v>
      </c>
      <c r="AG1723" s="521">
        <f t="shared" si="2"/>
        <v>2</v>
      </c>
      <c r="AH1723" s="522">
        <f t="shared" si="17"/>
        <v>0</v>
      </c>
      <c r="AI1723" s="522">
        <f t="shared" si="12"/>
        <v>0</v>
      </c>
      <c r="AJ1723" s="523">
        <f t="shared" si="5"/>
        <v>1056125</v>
      </c>
      <c r="AK1723" s="523">
        <f t="shared" si="18"/>
        <v>1056125</v>
      </c>
      <c r="AL1723" s="306"/>
      <c r="AM1723" s="306"/>
    </row>
    <row r="1724">
      <c r="A1724" s="298">
        <v>1716.0</v>
      </c>
      <c r="B1724" s="299">
        <v>45769.0</v>
      </c>
      <c r="C1724" s="302"/>
      <c r="D1724" s="397" t="s">
        <v>4135</v>
      </c>
      <c r="E1724" s="515" t="s">
        <v>4136</v>
      </c>
      <c r="F1724" s="300" t="s">
        <v>1423</v>
      </c>
      <c r="G1724" s="298" t="s">
        <v>64</v>
      </c>
      <c r="H1724" s="298" t="s">
        <v>41</v>
      </c>
      <c r="I1724" s="298" t="s">
        <v>643</v>
      </c>
      <c r="J1724" s="399">
        <v>1.0</v>
      </c>
      <c r="K1724" s="524"/>
      <c r="L1724" s="301"/>
      <c r="M1724" s="301"/>
      <c r="N1724" s="301"/>
      <c r="O1724" s="301"/>
      <c r="P1724" s="517"/>
      <c r="Q1724" s="302"/>
      <c r="R1724" s="518"/>
      <c r="S1724" s="515" t="s">
        <v>89</v>
      </c>
      <c r="T1724" s="298" t="s">
        <v>58</v>
      </c>
      <c r="U1724" s="298" t="s">
        <v>1259</v>
      </c>
      <c r="V1724" s="298" t="s">
        <v>1984</v>
      </c>
      <c r="W1724" s="303"/>
      <c r="X1724" s="303"/>
      <c r="Y1724" s="519"/>
      <c r="Z1724" s="303"/>
      <c r="AA1724" s="304">
        <v>142000.0</v>
      </c>
      <c r="AB1724" s="304">
        <v>461500.0</v>
      </c>
      <c r="AC1724" s="520" t="s">
        <v>4572</v>
      </c>
      <c r="AD1724" s="298">
        <v>19222.0</v>
      </c>
      <c r="AE1724" s="302"/>
      <c r="AF1724" s="298" t="str">
        <f t="shared" si="1"/>
        <v>Córdoba, Argentina</v>
      </c>
      <c r="AG1724" s="521">
        <f t="shared" si="2"/>
        <v>1</v>
      </c>
      <c r="AH1724" s="522">
        <f t="shared" si="17"/>
        <v>0</v>
      </c>
      <c r="AI1724" s="522">
        <f t="shared" si="12"/>
        <v>0</v>
      </c>
      <c r="AJ1724" s="523">
        <f t="shared" si="5"/>
        <v>603500</v>
      </c>
      <c r="AK1724" s="523">
        <f t="shared" si="18"/>
        <v>603500</v>
      </c>
      <c r="AL1724" s="306"/>
      <c r="AM1724" s="306"/>
    </row>
    <row r="1725">
      <c r="A1725" s="298">
        <v>1717.0</v>
      </c>
      <c r="B1725" s="299">
        <v>45769.0</v>
      </c>
      <c r="C1725" s="302"/>
      <c r="D1725" s="397" t="s">
        <v>4473</v>
      </c>
      <c r="E1725" s="515" t="s">
        <v>4474</v>
      </c>
      <c r="F1725" s="300" t="s">
        <v>1415</v>
      </c>
      <c r="G1725" s="298" t="s">
        <v>64</v>
      </c>
      <c r="H1725" s="298" t="s">
        <v>41</v>
      </c>
      <c r="I1725" s="298" t="s">
        <v>42</v>
      </c>
      <c r="J1725" s="301"/>
      <c r="K1725" s="516">
        <v>1.0</v>
      </c>
      <c r="L1725" s="301"/>
      <c r="M1725" s="301"/>
      <c r="N1725" s="301"/>
      <c r="O1725" s="301"/>
      <c r="P1725" s="517"/>
      <c r="Q1725" s="302"/>
      <c r="R1725" s="518"/>
      <c r="S1725" s="515" t="s">
        <v>65</v>
      </c>
      <c r="T1725" s="298" t="s">
        <v>66</v>
      </c>
      <c r="U1725" s="298" t="s">
        <v>99</v>
      </c>
      <c r="V1725" s="298" t="s">
        <v>2922</v>
      </c>
      <c r="W1725" s="303"/>
      <c r="X1725" s="303"/>
      <c r="Y1725" s="519"/>
      <c r="Z1725" s="303"/>
      <c r="AA1725" s="304">
        <v>106500.0</v>
      </c>
      <c r="AB1725" s="304">
        <v>346125.0</v>
      </c>
      <c r="AC1725" s="520" t="s">
        <v>4573</v>
      </c>
      <c r="AD1725" s="298">
        <v>18232.0</v>
      </c>
      <c r="AE1725" s="302"/>
      <c r="AF1725" s="298" t="str">
        <f t="shared" si="1"/>
        <v>Buenos Aires, Argentina</v>
      </c>
      <c r="AG1725" s="521">
        <f t="shared" si="2"/>
        <v>1</v>
      </c>
      <c r="AH1725" s="522">
        <f t="shared" si="17"/>
        <v>0</v>
      </c>
      <c r="AI1725" s="522">
        <f t="shared" si="12"/>
        <v>0</v>
      </c>
      <c r="AJ1725" s="523">
        <f t="shared" si="5"/>
        <v>452625</v>
      </c>
      <c r="AK1725" s="523">
        <f t="shared" si="18"/>
        <v>452625</v>
      </c>
      <c r="AL1725" s="306"/>
      <c r="AM1725" s="306"/>
    </row>
    <row r="1726">
      <c r="A1726" s="298">
        <v>1718.0</v>
      </c>
      <c r="B1726" s="299">
        <v>45771.0</v>
      </c>
      <c r="C1726" s="302"/>
      <c r="D1726" s="397" t="s">
        <v>4574</v>
      </c>
      <c r="E1726" s="515" t="s">
        <v>4575</v>
      </c>
      <c r="F1726" s="300" t="s">
        <v>1423</v>
      </c>
      <c r="G1726" s="298" t="s">
        <v>64</v>
      </c>
      <c r="H1726" s="298" t="s">
        <v>41</v>
      </c>
      <c r="I1726" s="298" t="s">
        <v>643</v>
      </c>
      <c r="J1726" s="399">
        <v>1.0</v>
      </c>
      <c r="K1726" s="524"/>
      <c r="L1726" s="301"/>
      <c r="M1726" s="301"/>
      <c r="N1726" s="301"/>
      <c r="O1726" s="301"/>
      <c r="P1726" s="517"/>
      <c r="Q1726" s="302"/>
      <c r="R1726" s="518"/>
      <c r="S1726" s="515" t="s">
        <v>105</v>
      </c>
      <c r="T1726" s="298" t="s">
        <v>66</v>
      </c>
      <c r="U1726" s="298" t="s">
        <v>1259</v>
      </c>
      <c r="V1726" s="298" t="s">
        <v>1984</v>
      </c>
      <c r="W1726" s="303"/>
      <c r="X1726" s="303"/>
      <c r="Y1726" s="519"/>
      <c r="Z1726" s="303"/>
      <c r="AA1726" s="304">
        <v>142000.0</v>
      </c>
      <c r="AB1726" s="304">
        <v>497000.0</v>
      </c>
      <c r="AC1726" s="520" t="s">
        <v>4576</v>
      </c>
      <c r="AD1726" s="298">
        <v>19254.0</v>
      </c>
      <c r="AE1726" s="302"/>
      <c r="AF1726" s="298" t="str">
        <f t="shared" si="1"/>
        <v>Buenos Aires, Argentina</v>
      </c>
      <c r="AG1726" s="521">
        <f t="shared" si="2"/>
        <v>1</v>
      </c>
      <c r="AH1726" s="522">
        <f t="shared" si="17"/>
        <v>0</v>
      </c>
      <c r="AI1726" s="522">
        <f t="shared" si="12"/>
        <v>0</v>
      </c>
      <c r="AJ1726" s="523">
        <f t="shared" si="5"/>
        <v>639000</v>
      </c>
      <c r="AK1726" s="523">
        <f t="shared" si="18"/>
        <v>639000</v>
      </c>
      <c r="AL1726" s="306"/>
      <c r="AM1726" s="306"/>
    </row>
    <row r="1727">
      <c r="A1727" s="298">
        <v>1719.0</v>
      </c>
      <c r="B1727" s="299">
        <v>45771.0</v>
      </c>
      <c r="C1727" s="302"/>
      <c r="D1727" s="397" t="s">
        <v>4577</v>
      </c>
      <c r="E1727" s="515" t="s">
        <v>4578</v>
      </c>
      <c r="F1727" s="300" t="s">
        <v>4579</v>
      </c>
      <c r="G1727" s="298" t="s">
        <v>40</v>
      </c>
      <c r="H1727" s="298" t="s">
        <v>41</v>
      </c>
      <c r="I1727" s="298" t="s">
        <v>42</v>
      </c>
      <c r="J1727" s="399">
        <v>1.0</v>
      </c>
      <c r="K1727" s="516">
        <v>5.0</v>
      </c>
      <c r="L1727" s="301"/>
      <c r="M1727" s="307">
        <v>1.0</v>
      </c>
      <c r="N1727" s="301"/>
      <c r="O1727" s="301"/>
      <c r="P1727" s="517"/>
      <c r="Q1727" s="302"/>
      <c r="R1727" s="518"/>
      <c r="S1727" s="515" t="s">
        <v>98</v>
      </c>
      <c r="T1727" s="298" t="s">
        <v>66</v>
      </c>
      <c r="U1727" s="298" t="s">
        <v>45</v>
      </c>
      <c r="V1727" s="298" t="s">
        <v>4185</v>
      </c>
      <c r="W1727" s="303"/>
      <c r="X1727" s="303"/>
      <c r="Y1727" s="519"/>
      <c r="Z1727" s="303"/>
      <c r="AA1727" s="304">
        <v>674500.0</v>
      </c>
      <c r="AB1727" s="304">
        <v>2529375.0</v>
      </c>
      <c r="AC1727" s="520" t="s">
        <v>4580</v>
      </c>
      <c r="AD1727" s="298">
        <v>18816.0</v>
      </c>
      <c r="AE1727" s="302"/>
      <c r="AF1727" s="298" t="str">
        <f t="shared" si="1"/>
        <v>Buenos Aires, Argentina</v>
      </c>
      <c r="AG1727" s="521">
        <f t="shared" si="2"/>
        <v>7</v>
      </c>
      <c r="AH1727" s="522">
        <f t="shared" si="17"/>
        <v>0</v>
      </c>
      <c r="AI1727" s="522">
        <f t="shared" si="12"/>
        <v>0</v>
      </c>
      <c r="AJ1727" s="523">
        <f t="shared" si="5"/>
        <v>3203875</v>
      </c>
      <c r="AK1727" s="523">
        <f t="shared" si="18"/>
        <v>3203875</v>
      </c>
      <c r="AL1727" s="306"/>
      <c r="AM1727" s="306"/>
    </row>
    <row r="1728">
      <c r="A1728" s="298">
        <v>1720.0</v>
      </c>
      <c r="B1728" s="299">
        <v>45772.0</v>
      </c>
      <c r="C1728" s="302"/>
      <c r="D1728" s="397" t="s">
        <v>4581</v>
      </c>
      <c r="E1728" s="515" t="s">
        <v>4582</v>
      </c>
      <c r="F1728" s="300" t="s">
        <v>4583</v>
      </c>
      <c r="G1728" s="298" t="s">
        <v>40</v>
      </c>
      <c r="H1728" s="298" t="s">
        <v>41</v>
      </c>
      <c r="I1728" s="298" t="s">
        <v>42</v>
      </c>
      <c r="J1728" s="399">
        <v>2.0</v>
      </c>
      <c r="K1728" s="516">
        <v>9.0</v>
      </c>
      <c r="L1728" s="301"/>
      <c r="M1728" s="307">
        <v>1.0</v>
      </c>
      <c r="N1728" s="301"/>
      <c r="O1728" s="301"/>
      <c r="P1728" s="517"/>
      <c r="Q1728" s="302"/>
      <c r="R1728" s="518"/>
      <c r="S1728" s="515" t="s">
        <v>43</v>
      </c>
      <c r="T1728" s="298" t="s">
        <v>497</v>
      </c>
      <c r="U1728" s="298" t="s">
        <v>342</v>
      </c>
      <c r="V1728" s="298" t="s">
        <v>2922</v>
      </c>
      <c r="W1728" s="303"/>
      <c r="X1728" s="303"/>
      <c r="Y1728" s="519"/>
      <c r="Z1728" s="303"/>
      <c r="AA1728" s="304">
        <v>1242500.0</v>
      </c>
      <c r="AB1728" s="304">
        <v>4659375.0</v>
      </c>
      <c r="AC1728" s="520" t="s">
        <v>4584</v>
      </c>
      <c r="AD1728" s="298">
        <v>19258.0</v>
      </c>
      <c r="AE1728" s="302"/>
      <c r="AF1728" s="298" t="str">
        <f t="shared" si="1"/>
        <v>Tucumán, Argentina</v>
      </c>
      <c r="AG1728" s="521">
        <f t="shared" si="2"/>
        <v>12</v>
      </c>
      <c r="AH1728" s="522">
        <f t="shared" si="17"/>
        <v>0</v>
      </c>
      <c r="AI1728" s="522">
        <f t="shared" si="12"/>
        <v>0</v>
      </c>
      <c r="AJ1728" s="523">
        <f t="shared" si="5"/>
        <v>5901875</v>
      </c>
      <c r="AK1728" s="523">
        <f t="shared" si="18"/>
        <v>5901875</v>
      </c>
      <c r="AL1728" s="306"/>
      <c r="AM1728" s="306"/>
    </row>
    <row r="1729">
      <c r="A1729" s="298">
        <v>1721.0</v>
      </c>
      <c r="B1729" s="299">
        <v>45772.0</v>
      </c>
      <c r="C1729" s="302"/>
      <c r="D1729" s="397" t="s">
        <v>4585</v>
      </c>
      <c r="E1729" s="515" t="s">
        <v>4586</v>
      </c>
      <c r="F1729" s="300" t="s">
        <v>2803</v>
      </c>
      <c r="G1729" s="298" t="s">
        <v>40</v>
      </c>
      <c r="H1729" s="298" t="s">
        <v>227</v>
      </c>
      <c r="I1729" s="298" t="s">
        <v>643</v>
      </c>
      <c r="J1729" s="399">
        <v>4.0</v>
      </c>
      <c r="K1729" s="524"/>
      <c r="L1729" s="301"/>
      <c r="M1729" s="307">
        <v>1.0</v>
      </c>
      <c r="N1729" s="301"/>
      <c r="O1729" s="301"/>
      <c r="P1729" s="517"/>
      <c r="Q1729" s="302"/>
      <c r="R1729" s="518"/>
      <c r="S1729" s="515" t="s">
        <v>89</v>
      </c>
      <c r="T1729" s="298" t="s">
        <v>83</v>
      </c>
      <c r="U1729" s="298" t="s">
        <v>1027</v>
      </c>
      <c r="V1729" s="298" t="s">
        <v>2935</v>
      </c>
      <c r="W1729" s="303"/>
      <c r="X1729" s="303"/>
      <c r="Y1729" s="519"/>
      <c r="Z1729" s="303"/>
      <c r="AA1729" s="304">
        <v>923000.0</v>
      </c>
      <c r="AB1729" s="304">
        <v>3230500.0</v>
      </c>
      <c r="AC1729" s="520" t="s">
        <v>4587</v>
      </c>
      <c r="AD1729" s="298">
        <v>19358.0</v>
      </c>
      <c r="AE1729" s="302"/>
      <c r="AF1729" s="298" t="str">
        <f t="shared" si="1"/>
        <v>Capital Federal, Argentina</v>
      </c>
      <c r="AG1729" s="521">
        <f t="shared" si="2"/>
        <v>5</v>
      </c>
      <c r="AH1729" s="522">
        <f t="shared" si="17"/>
        <v>0</v>
      </c>
      <c r="AI1729" s="522">
        <f t="shared" si="12"/>
        <v>0</v>
      </c>
      <c r="AJ1729" s="523">
        <f t="shared" si="5"/>
        <v>4153500</v>
      </c>
      <c r="AK1729" s="523">
        <f t="shared" si="18"/>
        <v>4153500</v>
      </c>
      <c r="AL1729" s="306"/>
      <c r="AM1729" s="306"/>
    </row>
    <row r="1730">
      <c r="A1730" s="298">
        <v>1722.0</v>
      </c>
      <c r="B1730" s="299">
        <v>45776.0</v>
      </c>
      <c r="C1730" s="302"/>
      <c r="D1730" s="397" t="s">
        <v>4588</v>
      </c>
      <c r="E1730" s="515" t="s">
        <v>1873</v>
      </c>
      <c r="F1730" s="300" t="s">
        <v>1423</v>
      </c>
      <c r="G1730" s="298" t="s">
        <v>64</v>
      </c>
      <c r="H1730" s="298" t="s">
        <v>41</v>
      </c>
      <c r="I1730" s="298" t="s">
        <v>643</v>
      </c>
      <c r="J1730" s="399">
        <v>1.0</v>
      </c>
      <c r="K1730" s="524"/>
      <c r="L1730" s="301"/>
      <c r="M1730" s="301"/>
      <c r="N1730" s="301"/>
      <c r="O1730" s="301"/>
      <c r="P1730" s="517"/>
      <c r="Q1730" s="302"/>
      <c r="R1730" s="518"/>
      <c r="S1730" s="515" t="s">
        <v>189</v>
      </c>
      <c r="T1730" s="298" t="s">
        <v>66</v>
      </c>
      <c r="U1730" s="298" t="s">
        <v>1259</v>
      </c>
      <c r="V1730" s="298" t="s">
        <v>1984</v>
      </c>
      <c r="W1730" s="303"/>
      <c r="X1730" s="303"/>
      <c r="Y1730" s="519"/>
      <c r="Z1730" s="303"/>
      <c r="AA1730" s="304">
        <v>142000.0</v>
      </c>
      <c r="AB1730" s="304">
        <v>532500.0</v>
      </c>
      <c r="AC1730" s="520" t="s">
        <v>4589</v>
      </c>
      <c r="AD1730" s="298">
        <v>19320.0</v>
      </c>
      <c r="AE1730" s="302"/>
      <c r="AF1730" s="298" t="str">
        <f t="shared" si="1"/>
        <v>Buenos Aires, Argentina</v>
      </c>
      <c r="AG1730" s="521">
        <f t="shared" si="2"/>
        <v>1</v>
      </c>
      <c r="AH1730" s="522">
        <f t="shared" si="17"/>
        <v>0</v>
      </c>
      <c r="AI1730" s="522">
        <f t="shared" si="12"/>
        <v>0</v>
      </c>
      <c r="AJ1730" s="523">
        <f t="shared" si="5"/>
        <v>674500</v>
      </c>
      <c r="AK1730" s="523">
        <f t="shared" si="18"/>
        <v>674500</v>
      </c>
      <c r="AL1730" s="306"/>
      <c r="AM1730" s="306"/>
    </row>
    <row r="1731">
      <c r="A1731" s="298">
        <v>1723.0</v>
      </c>
      <c r="B1731" s="299">
        <v>45777.0</v>
      </c>
      <c r="C1731" s="302"/>
      <c r="D1731" s="397" t="s">
        <v>1659</v>
      </c>
      <c r="E1731" s="515" t="s">
        <v>2864</v>
      </c>
      <c r="F1731" s="300" t="s">
        <v>4590</v>
      </c>
      <c r="G1731" s="298" t="s">
        <v>64</v>
      </c>
      <c r="H1731" s="298" t="s">
        <v>41</v>
      </c>
      <c r="I1731" s="298" t="s">
        <v>643</v>
      </c>
      <c r="J1731" s="301"/>
      <c r="K1731" s="524"/>
      <c r="L1731" s="301"/>
      <c r="M1731" s="301"/>
      <c r="N1731" s="301"/>
      <c r="O1731" s="301"/>
      <c r="P1731" s="517"/>
      <c r="Q1731" s="302"/>
      <c r="R1731" s="518"/>
      <c r="S1731" s="515" t="s">
        <v>98</v>
      </c>
      <c r="T1731" s="298" t="s">
        <v>73</v>
      </c>
      <c r="U1731" s="298" t="s">
        <v>99</v>
      </c>
      <c r="V1731" s="298" t="s">
        <v>1984</v>
      </c>
      <c r="W1731" s="304">
        <v>85013.0</v>
      </c>
      <c r="X1731" s="304">
        <v>191280.0</v>
      </c>
      <c r="Y1731" s="519"/>
      <c r="Z1731" s="303"/>
      <c r="AA1731" s="304">
        <v>0.0</v>
      </c>
      <c r="AB1731" s="304">
        <v>0.0</v>
      </c>
      <c r="AC1731" s="520" t="s">
        <v>4591</v>
      </c>
      <c r="AD1731" s="298">
        <v>15732.0</v>
      </c>
      <c r="AE1731" s="302"/>
      <c r="AF1731" s="298" t="str">
        <f t="shared" si="1"/>
        <v>Tierra de Fuego, Argentina</v>
      </c>
      <c r="AG1731" s="521">
        <f t="shared" si="2"/>
        <v>0</v>
      </c>
      <c r="AH1731" s="522">
        <f t="shared" si="17"/>
        <v>276293</v>
      </c>
      <c r="AI1731" s="522">
        <f t="shared" si="12"/>
        <v>0</v>
      </c>
      <c r="AJ1731" s="523">
        <f t="shared" si="5"/>
        <v>0</v>
      </c>
      <c r="AK1731" s="523">
        <f t="shared" si="18"/>
        <v>276293</v>
      </c>
      <c r="AL1731" s="306"/>
      <c r="AM1731" s="306"/>
    </row>
    <row r="1732">
      <c r="A1732" s="298">
        <v>1724.0</v>
      </c>
      <c r="B1732" s="299">
        <v>45777.0</v>
      </c>
      <c r="C1732" s="302"/>
      <c r="D1732" s="397" t="s">
        <v>2048</v>
      </c>
      <c r="E1732" s="515" t="s">
        <v>2049</v>
      </c>
      <c r="F1732" s="300" t="s">
        <v>4592</v>
      </c>
      <c r="G1732" s="298" t="s">
        <v>64</v>
      </c>
      <c r="H1732" s="298" t="s">
        <v>41</v>
      </c>
      <c r="I1732" s="298" t="s">
        <v>643</v>
      </c>
      <c r="J1732" s="399">
        <v>2.0</v>
      </c>
      <c r="K1732" s="524"/>
      <c r="L1732" s="301"/>
      <c r="M1732" s="301"/>
      <c r="N1732" s="301"/>
      <c r="O1732" s="301"/>
      <c r="P1732" s="517"/>
      <c r="Q1732" s="302"/>
      <c r="R1732" s="518"/>
      <c r="S1732" s="515" t="s">
        <v>98</v>
      </c>
      <c r="T1732" s="298" t="s">
        <v>58</v>
      </c>
      <c r="U1732" s="298" t="s">
        <v>99</v>
      </c>
      <c r="V1732" s="298" t="s">
        <v>1984</v>
      </c>
      <c r="W1732" s="303"/>
      <c r="X1732" s="303"/>
      <c r="Y1732" s="519"/>
      <c r="Z1732" s="303"/>
      <c r="AA1732" s="304">
        <v>284000.0</v>
      </c>
      <c r="AB1732" s="304">
        <v>1065000.0</v>
      </c>
      <c r="AC1732" s="520" t="s">
        <v>4593</v>
      </c>
      <c r="AD1732" s="298">
        <v>19398.0</v>
      </c>
      <c r="AE1732" s="302"/>
      <c r="AF1732" s="298" t="str">
        <f t="shared" si="1"/>
        <v>Córdoba, Argentina</v>
      </c>
      <c r="AG1732" s="521">
        <f t="shared" si="2"/>
        <v>2</v>
      </c>
      <c r="AH1732" s="522">
        <f t="shared" si="17"/>
        <v>0</v>
      </c>
      <c r="AI1732" s="522">
        <f t="shared" si="12"/>
        <v>0</v>
      </c>
      <c r="AJ1732" s="523">
        <f t="shared" si="5"/>
        <v>1349000</v>
      </c>
      <c r="AK1732" s="523">
        <f t="shared" si="18"/>
        <v>1349000</v>
      </c>
      <c r="AL1732" s="306"/>
      <c r="AM1732" s="306"/>
    </row>
    <row r="1733">
      <c r="A1733" s="298">
        <v>1725.0</v>
      </c>
      <c r="B1733" s="299">
        <v>45777.0</v>
      </c>
      <c r="C1733" s="302"/>
      <c r="D1733" s="397" t="s">
        <v>4446</v>
      </c>
      <c r="E1733" s="515" t="s">
        <v>4447</v>
      </c>
      <c r="F1733" s="300" t="s">
        <v>1423</v>
      </c>
      <c r="G1733" s="298" t="s">
        <v>64</v>
      </c>
      <c r="H1733" s="298" t="s">
        <v>41</v>
      </c>
      <c r="I1733" s="298" t="s">
        <v>42</v>
      </c>
      <c r="J1733" s="399">
        <v>1.0</v>
      </c>
      <c r="K1733" s="524"/>
      <c r="L1733" s="301"/>
      <c r="M1733" s="301"/>
      <c r="N1733" s="301"/>
      <c r="O1733" s="301"/>
      <c r="P1733" s="517"/>
      <c r="Q1733" s="302"/>
      <c r="R1733" s="518"/>
      <c r="S1733" s="515" t="s">
        <v>98</v>
      </c>
      <c r="T1733" s="298" t="s">
        <v>58</v>
      </c>
      <c r="U1733" s="298" t="s">
        <v>99</v>
      </c>
      <c r="V1733" s="298" t="s">
        <v>2922</v>
      </c>
      <c r="W1733" s="303"/>
      <c r="X1733" s="303"/>
      <c r="Y1733" s="519"/>
      <c r="Z1733" s="303"/>
      <c r="AA1733" s="304">
        <v>142000.0</v>
      </c>
      <c r="AB1733" s="304">
        <v>497000.0</v>
      </c>
      <c r="AC1733" s="520" t="s">
        <v>4594</v>
      </c>
      <c r="AD1733" s="298">
        <v>19404.0</v>
      </c>
      <c r="AE1733" s="302"/>
      <c r="AF1733" s="298" t="str">
        <f t="shared" si="1"/>
        <v>Córdoba, Argentina</v>
      </c>
      <c r="AG1733" s="521">
        <f t="shared" si="2"/>
        <v>1</v>
      </c>
      <c r="AH1733" s="522">
        <f t="shared" si="17"/>
        <v>0</v>
      </c>
      <c r="AI1733" s="522">
        <f t="shared" si="12"/>
        <v>0</v>
      </c>
      <c r="AJ1733" s="523">
        <f t="shared" si="5"/>
        <v>639000</v>
      </c>
      <c r="AK1733" s="523">
        <f t="shared" si="18"/>
        <v>639000</v>
      </c>
      <c r="AL1733" s="306"/>
      <c r="AM1733" s="306"/>
    </row>
    <row r="1734">
      <c r="A1734" s="298">
        <v>1726.0</v>
      </c>
      <c r="B1734" s="299">
        <v>45777.0</v>
      </c>
      <c r="C1734" s="302"/>
      <c r="D1734" s="397" t="s">
        <v>4249</v>
      </c>
      <c r="E1734" s="515" t="s">
        <v>4250</v>
      </c>
      <c r="F1734" s="300" t="s">
        <v>1423</v>
      </c>
      <c r="G1734" s="298" t="s">
        <v>64</v>
      </c>
      <c r="H1734" s="298" t="s">
        <v>41</v>
      </c>
      <c r="I1734" s="298" t="s">
        <v>42</v>
      </c>
      <c r="J1734" s="399">
        <v>1.0</v>
      </c>
      <c r="K1734" s="524"/>
      <c r="L1734" s="301"/>
      <c r="M1734" s="301"/>
      <c r="N1734" s="301"/>
      <c r="O1734" s="301"/>
      <c r="P1734" s="517"/>
      <c r="Q1734" s="302"/>
      <c r="R1734" s="518"/>
      <c r="S1734" s="515" t="s">
        <v>105</v>
      </c>
      <c r="T1734" s="298" t="s">
        <v>83</v>
      </c>
      <c r="U1734" s="298" t="s">
        <v>99</v>
      </c>
      <c r="V1734" s="298" t="s">
        <v>2922</v>
      </c>
      <c r="W1734" s="303"/>
      <c r="X1734" s="303"/>
      <c r="Y1734" s="519"/>
      <c r="Z1734" s="303"/>
      <c r="AA1734" s="304">
        <v>142000.0</v>
      </c>
      <c r="AB1734" s="304">
        <v>497000.0</v>
      </c>
      <c r="AC1734" s="520" t="s">
        <v>4595</v>
      </c>
      <c r="AD1734" s="298">
        <v>18518.0</v>
      </c>
      <c r="AE1734" s="302"/>
      <c r="AF1734" s="298" t="str">
        <f t="shared" si="1"/>
        <v>Capital Federal, Argentina</v>
      </c>
      <c r="AG1734" s="521">
        <f t="shared" si="2"/>
        <v>1</v>
      </c>
      <c r="AH1734" s="522">
        <f t="shared" si="17"/>
        <v>0</v>
      </c>
      <c r="AI1734" s="522">
        <f t="shared" si="12"/>
        <v>0</v>
      </c>
      <c r="AJ1734" s="523">
        <f t="shared" si="5"/>
        <v>639000</v>
      </c>
      <c r="AK1734" s="523">
        <f t="shared" si="18"/>
        <v>639000</v>
      </c>
      <c r="AL1734" s="306"/>
      <c r="AM1734" s="306"/>
    </row>
    <row r="1735">
      <c r="A1735" s="298">
        <v>1727.0</v>
      </c>
      <c r="B1735" s="299">
        <v>45777.0</v>
      </c>
      <c r="C1735" s="302"/>
      <c r="D1735" s="397" t="s">
        <v>4349</v>
      </c>
      <c r="E1735" s="515" t="s">
        <v>4350</v>
      </c>
      <c r="F1735" s="300" t="s">
        <v>4596</v>
      </c>
      <c r="G1735" s="298" t="s">
        <v>64</v>
      </c>
      <c r="H1735" s="298" t="s">
        <v>41</v>
      </c>
      <c r="I1735" s="298" t="s">
        <v>643</v>
      </c>
      <c r="J1735" s="301"/>
      <c r="K1735" s="524"/>
      <c r="L1735" s="301"/>
      <c r="M1735" s="301"/>
      <c r="N1735" s="301"/>
      <c r="O1735" s="301"/>
      <c r="P1735" s="517"/>
      <c r="Q1735" s="302"/>
      <c r="R1735" s="518"/>
      <c r="S1735" s="515" t="s">
        <v>65</v>
      </c>
      <c r="T1735" s="298" t="s">
        <v>66</v>
      </c>
      <c r="U1735" s="298" t="s">
        <v>99</v>
      </c>
      <c r="V1735" s="298" t="s">
        <v>1984</v>
      </c>
      <c r="W1735" s="304">
        <v>181428.0</v>
      </c>
      <c r="X1735" s="304">
        <v>408213.0</v>
      </c>
      <c r="Y1735" s="519"/>
      <c r="Z1735" s="303"/>
      <c r="AA1735" s="304">
        <v>0.0</v>
      </c>
      <c r="AB1735" s="304">
        <v>0.0</v>
      </c>
      <c r="AC1735" s="520" t="s">
        <v>4597</v>
      </c>
      <c r="AD1735" s="298">
        <v>19330.0</v>
      </c>
      <c r="AE1735" s="302"/>
      <c r="AF1735" s="298" t="str">
        <f t="shared" si="1"/>
        <v>Buenos Aires, Argentina</v>
      </c>
      <c r="AG1735" s="521">
        <f t="shared" si="2"/>
        <v>0</v>
      </c>
      <c r="AH1735" s="522">
        <f t="shared" si="17"/>
        <v>589641</v>
      </c>
      <c r="AI1735" s="522">
        <f t="shared" si="12"/>
        <v>0</v>
      </c>
      <c r="AJ1735" s="523">
        <f t="shared" si="5"/>
        <v>0</v>
      </c>
      <c r="AK1735" s="523">
        <f t="shared" si="18"/>
        <v>589641</v>
      </c>
      <c r="AL1735" s="306"/>
      <c r="AM1735" s="306"/>
    </row>
    <row r="1736">
      <c r="A1736" s="298">
        <v>1728.0</v>
      </c>
      <c r="B1736" s="299">
        <v>45777.0</v>
      </c>
      <c r="C1736" s="302"/>
      <c r="D1736" s="397" t="s">
        <v>4291</v>
      </c>
      <c r="E1736" s="515" t="s">
        <v>4292</v>
      </c>
      <c r="F1736" s="300" t="s">
        <v>4509</v>
      </c>
      <c r="G1736" s="298" t="s">
        <v>64</v>
      </c>
      <c r="H1736" s="298" t="s">
        <v>41</v>
      </c>
      <c r="I1736" s="298" t="s">
        <v>643</v>
      </c>
      <c r="J1736" s="301"/>
      <c r="K1736" s="524"/>
      <c r="L1736" s="301"/>
      <c r="M1736" s="301"/>
      <c r="N1736" s="307">
        <v>1.0</v>
      </c>
      <c r="O1736" s="301"/>
      <c r="P1736" s="517"/>
      <c r="Q1736" s="302"/>
      <c r="R1736" s="518"/>
      <c r="S1736" s="515" t="s">
        <v>189</v>
      </c>
      <c r="T1736" s="298" t="s">
        <v>83</v>
      </c>
      <c r="U1736" s="298" t="s">
        <v>99</v>
      </c>
      <c r="V1736" s="298" t="s">
        <v>1984</v>
      </c>
      <c r="W1736" s="303"/>
      <c r="X1736" s="303"/>
      <c r="Y1736" s="519"/>
      <c r="Z1736" s="303"/>
      <c r="AA1736" s="304">
        <v>142000.0</v>
      </c>
      <c r="AB1736" s="304">
        <v>603500.0</v>
      </c>
      <c r="AC1736" s="520" t="s">
        <v>4598</v>
      </c>
      <c r="AD1736" s="298">
        <v>19338.0</v>
      </c>
      <c r="AE1736" s="302"/>
      <c r="AF1736" s="298" t="str">
        <f t="shared" si="1"/>
        <v>Capital Federal, Argentina</v>
      </c>
      <c r="AG1736" s="521">
        <f t="shared" si="2"/>
        <v>1</v>
      </c>
      <c r="AH1736" s="522">
        <f t="shared" si="17"/>
        <v>0</v>
      </c>
      <c r="AI1736" s="522">
        <f t="shared" si="12"/>
        <v>0</v>
      </c>
      <c r="AJ1736" s="523">
        <f t="shared" si="5"/>
        <v>745500</v>
      </c>
      <c r="AK1736" s="523">
        <f t="shared" si="18"/>
        <v>745500</v>
      </c>
      <c r="AL1736" s="306"/>
      <c r="AM1736" s="306"/>
    </row>
    <row r="1737">
      <c r="A1737" s="298">
        <v>1729.0</v>
      </c>
      <c r="B1737" s="299">
        <v>45777.0</v>
      </c>
      <c r="C1737" s="302"/>
      <c r="D1737" s="397" t="s">
        <v>4599</v>
      </c>
      <c r="E1737" s="515" t="s">
        <v>4600</v>
      </c>
      <c r="F1737" s="300" t="s">
        <v>1415</v>
      </c>
      <c r="G1737" s="298" t="s">
        <v>64</v>
      </c>
      <c r="H1737" s="298" t="s">
        <v>41</v>
      </c>
      <c r="I1737" s="298" t="s">
        <v>643</v>
      </c>
      <c r="J1737" s="301"/>
      <c r="K1737" s="516">
        <v>1.0</v>
      </c>
      <c r="L1737" s="301"/>
      <c r="M1737" s="301"/>
      <c r="N1737" s="301"/>
      <c r="O1737" s="301"/>
      <c r="P1737" s="517"/>
      <c r="Q1737" s="302"/>
      <c r="R1737" s="518"/>
      <c r="S1737" s="515" t="s">
        <v>114</v>
      </c>
      <c r="T1737" s="298" t="s">
        <v>254</v>
      </c>
      <c r="U1737" s="298" t="s">
        <v>99</v>
      </c>
      <c r="V1737" s="298" t="s">
        <v>1984</v>
      </c>
      <c r="W1737" s="303"/>
      <c r="X1737" s="303"/>
      <c r="Y1737" s="519"/>
      <c r="Z1737" s="303"/>
      <c r="AA1737" s="304">
        <v>106500.0</v>
      </c>
      <c r="AB1737" s="304">
        <v>346125.0</v>
      </c>
      <c r="AC1737" s="520" t="s">
        <v>4601</v>
      </c>
      <c r="AD1737" s="298">
        <v>19402.0</v>
      </c>
      <c r="AE1737" s="302"/>
      <c r="AF1737" s="298" t="str">
        <f t="shared" si="1"/>
        <v>La Rioja, Argentina</v>
      </c>
      <c r="AG1737" s="521">
        <f t="shared" si="2"/>
        <v>1</v>
      </c>
      <c r="AH1737" s="522">
        <f t="shared" si="17"/>
        <v>0</v>
      </c>
      <c r="AI1737" s="522">
        <f t="shared" si="12"/>
        <v>0</v>
      </c>
      <c r="AJ1737" s="523">
        <f t="shared" si="5"/>
        <v>452625</v>
      </c>
      <c r="AK1737" s="523">
        <f t="shared" si="18"/>
        <v>452625</v>
      </c>
      <c r="AL1737" s="306"/>
      <c r="AM1737" s="306"/>
    </row>
    <row r="1738">
      <c r="A1738" s="298">
        <v>1730.0</v>
      </c>
      <c r="B1738" s="299">
        <v>45777.0</v>
      </c>
      <c r="C1738" s="302"/>
      <c r="D1738" s="397" t="s">
        <v>4442</v>
      </c>
      <c r="E1738" s="515" t="s">
        <v>4443</v>
      </c>
      <c r="F1738" s="300" t="s">
        <v>4382</v>
      </c>
      <c r="G1738" s="298" t="s">
        <v>64</v>
      </c>
      <c r="H1738" s="298" t="s">
        <v>41</v>
      </c>
      <c r="I1738" s="298" t="s">
        <v>42</v>
      </c>
      <c r="J1738" s="301"/>
      <c r="K1738" s="516">
        <v>1.0</v>
      </c>
      <c r="L1738" s="301"/>
      <c r="M1738" s="301"/>
      <c r="N1738" s="301"/>
      <c r="O1738" s="301"/>
      <c r="P1738" s="517"/>
      <c r="Q1738" s="302"/>
      <c r="R1738" s="518"/>
      <c r="S1738" s="515" t="s">
        <v>65</v>
      </c>
      <c r="T1738" s="298" t="s">
        <v>66</v>
      </c>
      <c r="U1738" s="298" t="s">
        <v>99</v>
      </c>
      <c r="V1738" s="298" t="s">
        <v>2922</v>
      </c>
      <c r="W1738" s="303"/>
      <c r="X1738" s="303"/>
      <c r="Y1738" s="519"/>
      <c r="Z1738" s="303"/>
      <c r="AA1738" s="304">
        <v>106500.0</v>
      </c>
      <c r="AB1738" s="304">
        <v>372750.0</v>
      </c>
      <c r="AC1738" s="520" t="s">
        <v>4602</v>
      </c>
      <c r="AD1738" s="298">
        <v>19440.0</v>
      </c>
      <c r="AE1738" s="302"/>
      <c r="AF1738" s="298" t="str">
        <f t="shared" si="1"/>
        <v>Buenos Aires, Argentina</v>
      </c>
      <c r="AG1738" s="521">
        <f t="shared" si="2"/>
        <v>1</v>
      </c>
      <c r="AH1738" s="522">
        <f t="shared" si="17"/>
        <v>0</v>
      </c>
      <c r="AI1738" s="522">
        <f t="shared" si="12"/>
        <v>0</v>
      </c>
      <c r="AJ1738" s="523">
        <f t="shared" si="5"/>
        <v>479250</v>
      </c>
      <c r="AK1738" s="523">
        <f t="shared" si="18"/>
        <v>479250</v>
      </c>
      <c r="AL1738" s="306"/>
      <c r="AM1738" s="306"/>
    </row>
    <row r="1739">
      <c r="A1739" s="298">
        <v>1731.0</v>
      </c>
      <c r="B1739" s="299">
        <v>45777.0</v>
      </c>
      <c r="C1739" s="302"/>
      <c r="D1739" s="397" t="s">
        <v>4603</v>
      </c>
      <c r="E1739" s="515" t="s">
        <v>2861</v>
      </c>
      <c r="F1739" s="300" t="s">
        <v>1427</v>
      </c>
      <c r="G1739" s="298" t="s">
        <v>64</v>
      </c>
      <c r="H1739" s="298" t="s">
        <v>547</v>
      </c>
      <c r="I1739" s="298" t="s">
        <v>643</v>
      </c>
      <c r="J1739" s="301"/>
      <c r="K1739" s="516">
        <v>2.0</v>
      </c>
      <c r="L1739" s="301"/>
      <c r="M1739" s="301"/>
      <c r="N1739" s="301"/>
      <c r="O1739" s="301"/>
      <c r="P1739" s="517"/>
      <c r="Q1739" s="302"/>
      <c r="R1739" s="518"/>
      <c r="S1739" s="515" t="s">
        <v>72</v>
      </c>
      <c r="T1739" s="298" t="s">
        <v>66</v>
      </c>
      <c r="U1739" s="298" t="s">
        <v>99</v>
      </c>
      <c r="V1739" s="298" t="s">
        <v>1984</v>
      </c>
      <c r="W1739" s="303"/>
      <c r="X1739" s="303"/>
      <c r="Y1739" s="519"/>
      <c r="Z1739" s="303"/>
      <c r="AA1739" s="304">
        <v>164010.0</v>
      </c>
      <c r="AB1739" s="304">
        <v>533033.0</v>
      </c>
      <c r="AC1739" s="520" t="s">
        <v>4604</v>
      </c>
      <c r="AD1739" s="298">
        <v>19452.0</v>
      </c>
      <c r="AE1739" s="302"/>
      <c r="AF1739" s="298" t="str">
        <f t="shared" si="1"/>
        <v>Buenos Aires, Argentina</v>
      </c>
      <c r="AG1739" s="521">
        <f t="shared" si="2"/>
        <v>2</v>
      </c>
      <c r="AH1739" s="522">
        <f t="shared" si="17"/>
        <v>0</v>
      </c>
      <c r="AI1739" s="522">
        <f t="shared" si="12"/>
        <v>0</v>
      </c>
      <c r="AJ1739" s="523">
        <f t="shared" si="5"/>
        <v>697043</v>
      </c>
      <c r="AK1739" s="523">
        <f t="shared" si="18"/>
        <v>697043</v>
      </c>
      <c r="AL1739" s="306"/>
      <c r="AM1739" s="306"/>
    </row>
    <row r="1740">
      <c r="A1740" s="298">
        <v>1732.0</v>
      </c>
      <c r="B1740" s="299">
        <v>45777.0</v>
      </c>
      <c r="C1740" s="302"/>
      <c r="D1740" s="397" t="s">
        <v>2153</v>
      </c>
      <c r="E1740" s="515" t="s">
        <v>2154</v>
      </c>
      <c r="F1740" s="300" t="s">
        <v>1423</v>
      </c>
      <c r="G1740" s="298" t="s">
        <v>64</v>
      </c>
      <c r="H1740" s="298" t="s">
        <v>41</v>
      </c>
      <c r="I1740" s="298" t="s">
        <v>643</v>
      </c>
      <c r="J1740" s="399">
        <v>1.0</v>
      </c>
      <c r="K1740" s="524"/>
      <c r="L1740" s="301"/>
      <c r="M1740" s="301"/>
      <c r="N1740" s="301"/>
      <c r="O1740" s="301"/>
      <c r="P1740" s="517"/>
      <c r="Q1740" s="302"/>
      <c r="R1740" s="518"/>
      <c r="S1740" s="515" t="s">
        <v>65</v>
      </c>
      <c r="T1740" s="298" t="s">
        <v>66</v>
      </c>
      <c r="U1740" s="298" t="s">
        <v>1259</v>
      </c>
      <c r="V1740" s="298" t="s">
        <v>1984</v>
      </c>
      <c r="W1740" s="303"/>
      <c r="X1740" s="303"/>
      <c r="Y1740" s="519"/>
      <c r="Z1740" s="303"/>
      <c r="AA1740" s="304">
        <v>127800.0</v>
      </c>
      <c r="AB1740" s="304">
        <v>532500.0</v>
      </c>
      <c r="AC1740" s="520" t="s">
        <v>4605</v>
      </c>
      <c r="AD1740" s="298">
        <v>19262.0</v>
      </c>
      <c r="AE1740" s="302"/>
      <c r="AF1740" s="298" t="str">
        <f t="shared" si="1"/>
        <v>Buenos Aires, Argentina</v>
      </c>
      <c r="AG1740" s="521">
        <f t="shared" si="2"/>
        <v>1</v>
      </c>
      <c r="AH1740" s="522">
        <f t="shared" si="17"/>
        <v>0</v>
      </c>
      <c r="AI1740" s="522">
        <f t="shared" si="12"/>
        <v>0</v>
      </c>
      <c r="AJ1740" s="523">
        <f t="shared" si="5"/>
        <v>660300</v>
      </c>
      <c r="AK1740" s="523">
        <f t="shared" si="18"/>
        <v>660300</v>
      </c>
      <c r="AL1740" s="306"/>
      <c r="AM1740" s="306"/>
    </row>
    <row r="1741">
      <c r="A1741" s="298">
        <v>1733.0</v>
      </c>
      <c r="B1741" s="299">
        <v>45777.0</v>
      </c>
      <c r="C1741" s="302"/>
      <c r="D1741" s="397" t="s">
        <v>4398</v>
      </c>
      <c r="E1741" s="515" t="s">
        <v>4399</v>
      </c>
      <c r="F1741" s="300" t="s">
        <v>4606</v>
      </c>
      <c r="G1741" s="298" t="s">
        <v>64</v>
      </c>
      <c r="H1741" s="298" t="s">
        <v>41</v>
      </c>
      <c r="I1741" s="298" t="s">
        <v>643</v>
      </c>
      <c r="J1741" s="301"/>
      <c r="K1741" s="524"/>
      <c r="L1741" s="301"/>
      <c r="M1741" s="301"/>
      <c r="N1741" s="301"/>
      <c r="O1741" s="301"/>
      <c r="P1741" s="517"/>
      <c r="Q1741" s="302"/>
      <c r="R1741" s="518"/>
      <c r="S1741" s="515" t="s">
        <v>72</v>
      </c>
      <c r="T1741" s="298" t="s">
        <v>83</v>
      </c>
      <c r="U1741" s="298" t="s">
        <v>99</v>
      </c>
      <c r="V1741" s="298" t="s">
        <v>1984</v>
      </c>
      <c r="W1741" s="304">
        <v>1027000.0</v>
      </c>
      <c r="X1741" s="304">
        <v>0.0</v>
      </c>
      <c r="Y1741" s="519"/>
      <c r="Z1741" s="303"/>
      <c r="AA1741" s="304">
        <v>0.0</v>
      </c>
      <c r="AB1741" s="304">
        <v>0.0</v>
      </c>
      <c r="AC1741" s="520" t="s">
        <v>4607</v>
      </c>
      <c r="AD1741" s="298">
        <v>19522.0</v>
      </c>
      <c r="AE1741" s="302"/>
      <c r="AF1741" s="298" t="str">
        <f t="shared" si="1"/>
        <v>Capital Federal, Argentina</v>
      </c>
      <c r="AG1741" s="521">
        <f t="shared" si="2"/>
        <v>0</v>
      </c>
      <c r="AH1741" s="522">
        <f t="shared" si="17"/>
        <v>1027000</v>
      </c>
      <c r="AI1741" s="522">
        <f t="shared" si="12"/>
        <v>0</v>
      </c>
      <c r="AJ1741" s="523">
        <f t="shared" si="5"/>
        <v>0</v>
      </c>
      <c r="AK1741" s="523">
        <f t="shared" si="18"/>
        <v>1027000</v>
      </c>
      <c r="AL1741" s="306"/>
      <c r="AM1741" s="306"/>
    </row>
    <row r="1742">
      <c r="A1742" s="290">
        <v>1734.0</v>
      </c>
      <c r="B1742" s="291">
        <v>45789.0</v>
      </c>
      <c r="C1742" s="99"/>
      <c r="D1742" s="396" t="s">
        <v>4417</v>
      </c>
      <c r="E1742" s="525" t="s">
        <v>4418</v>
      </c>
      <c r="F1742" s="292" t="s">
        <v>4608</v>
      </c>
      <c r="G1742" s="290" t="s">
        <v>64</v>
      </c>
      <c r="H1742" s="290" t="s">
        <v>41</v>
      </c>
      <c r="I1742" s="290" t="s">
        <v>42</v>
      </c>
      <c r="J1742" s="98"/>
      <c r="K1742" s="526"/>
      <c r="L1742" s="98"/>
      <c r="M1742" s="98"/>
      <c r="N1742" s="98"/>
      <c r="O1742" s="98"/>
      <c r="P1742" s="527"/>
      <c r="Q1742" s="99"/>
      <c r="R1742" s="528"/>
      <c r="S1742" s="525" t="s">
        <v>65</v>
      </c>
      <c r="T1742" s="290" t="s">
        <v>83</v>
      </c>
      <c r="U1742" s="290" t="s">
        <v>99</v>
      </c>
      <c r="V1742" s="290" t="s">
        <v>2922</v>
      </c>
      <c r="W1742" s="100"/>
      <c r="X1742" s="100"/>
      <c r="Y1742" s="529"/>
      <c r="Z1742" s="100"/>
      <c r="AA1742" s="294">
        <v>0.0</v>
      </c>
      <c r="AB1742" s="294">
        <v>783000.0</v>
      </c>
      <c r="AC1742" s="530" t="s">
        <v>4609</v>
      </c>
      <c r="AD1742" s="290">
        <v>19504.0</v>
      </c>
      <c r="AE1742" s="99"/>
      <c r="AF1742" s="290" t="str">
        <f t="shared" si="1"/>
        <v>Capital Federal, Argentina</v>
      </c>
      <c r="AG1742" s="531">
        <f t="shared" si="2"/>
        <v>0</v>
      </c>
      <c r="AH1742" s="532">
        <f t="shared" si="17"/>
        <v>0</v>
      </c>
      <c r="AI1742" s="532">
        <f t="shared" si="12"/>
        <v>0</v>
      </c>
      <c r="AJ1742" s="390">
        <f t="shared" si="5"/>
        <v>783000</v>
      </c>
      <c r="AK1742" s="390">
        <f t="shared" si="18"/>
        <v>783000</v>
      </c>
      <c r="AL1742" s="103"/>
      <c r="AM1742" s="103"/>
    </row>
    <row r="1743">
      <c r="A1743" s="290">
        <v>1735.0</v>
      </c>
      <c r="B1743" s="291">
        <v>45790.0</v>
      </c>
      <c r="C1743" s="99"/>
      <c r="D1743" s="396" t="s">
        <v>1514</v>
      </c>
      <c r="E1743" s="525" t="s">
        <v>2722</v>
      </c>
      <c r="F1743" s="292" t="s">
        <v>1423</v>
      </c>
      <c r="G1743" s="290" t="s">
        <v>64</v>
      </c>
      <c r="H1743" s="290" t="s">
        <v>41</v>
      </c>
      <c r="I1743" s="290" t="s">
        <v>643</v>
      </c>
      <c r="J1743" s="97">
        <v>1.0</v>
      </c>
      <c r="K1743" s="526"/>
      <c r="L1743" s="98"/>
      <c r="M1743" s="98"/>
      <c r="N1743" s="98"/>
      <c r="O1743" s="98"/>
      <c r="P1743" s="527"/>
      <c r="Q1743" s="99"/>
      <c r="R1743" s="528"/>
      <c r="S1743" s="525" t="s">
        <v>65</v>
      </c>
      <c r="T1743" s="290" t="s">
        <v>66</v>
      </c>
      <c r="U1743" s="290" t="s">
        <v>99</v>
      </c>
      <c r="V1743" s="290" t="s">
        <v>1984</v>
      </c>
      <c r="W1743" s="100"/>
      <c r="X1743" s="100"/>
      <c r="Y1743" s="529"/>
      <c r="Z1743" s="100"/>
      <c r="AA1743" s="294">
        <v>145000.0</v>
      </c>
      <c r="AB1743" s="294">
        <v>580000.0</v>
      </c>
      <c r="AC1743" s="530" t="s">
        <v>4610</v>
      </c>
      <c r="AD1743" s="290">
        <v>19750.0</v>
      </c>
      <c r="AE1743" s="99"/>
      <c r="AF1743" s="290" t="str">
        <f t="shared" si="1"/>
        <v>Buenos Aires, Argentina</v>
      </c>
      <c r="AG1743" s="531">
        <f t="shared" si="2"/>
        <v>1</v>
      </c>
      <c r="AH1743" s="532">
        <f t="shared" si="17"/>
        <v>0</v>
      </c>
      <c r="AI1743" s="532">
        <f t="shared" si="12"/>
        <v>0</v>
      </c>
      <c r="AJ1743" s="390">
        <f t="shared" si="5"/>
        <v>725000</v>
      </c>
      <c r="AK1743" s="390">
        <f t="shared" si="18"/>
        <v>725000</v>
      </c>
      <c r="AL1743" s="103"/>
      <c r="AM1743" s="103"/>
    </row>
    <row r="1744">
      <c r="A1744" s="290">
        <v>1736.0</v>
      </c>
      <c r="B1744" s="291">
        <v>45791.0</v>
      </c>
      <c r="C1744" s="99"/>
      <c r="D1744" s="396" t="s">
        <v>4611</v>
      </c>
      <c r="E1744" s="525" t="s">
        <v>3960</v>
      </c>
      <c r="F1744" s="292" t="s">
        <v>1423</v>
      </c>
      <c r="G1744" s="290" t="s">
        <v>64</v>
      </c>
      <c r="H1744" s="290" t="s">
        <v>41</v>
      </c>
      <c r="I1744" s="290" t="s">
        <v>643</v>
      </c>
      <c r="J1744" s="97">
        <v>1.0</v>
      </c>
      <c r="K1744" s="526"/>
      <c r="L1744" s="98"/>
      <c r="M1744" s="98"/>
      <c r="N1744" s="98"/>
      <c r="O1744" s="98"/>
      <c r="P1744" s="527"/>
      <c r="Q1744" s="99"/>
      <c r="R1744" s="528"/>
      <c r="S1744" s="525" t="s">
        <v>189</v>
      </c>
      <c r="T1744" s="290" t="s">
        <v>66</v>
      </c>
      <c r="U1744" s="290" t="s">
        <v>99</v>
      </c>
      <c r="V1744" s="290" t="s">
        <v>1984</v>
      </c>
      <c r="W1744" s="100"/>
      <c r="X1744" s="100"/>
      <c r="Y1744" s="529"/>
      <c r="Z1744" s="100"/>
      <c r="AA1744" s="294">
        <v>145000.0</v>
      </c>
      <c r="AB1744" s="294">
        <v>445875.0</v>
      </c>
      <c r="AC1744" s="530" t="s">
        <v>4612</v>
      </c>
      <c r="AD1744" s="290">
        <v>19588.0</v>
      </c>
      <c r="AE1744" s="99"/>
      <c r="AF1744" s="290" t="str">
        <f t="shared" si="1"/>
        <v>Buenos Aires, Argentina</v>
      </c>
      <c r="AG1744" s="531">
        <f t="shared" si="2"/>
        <v>1</v>
      </c>
      <c r="AH1744" s="532">
        <f t="shared" si="17"/>
        <v>0</v>
      </c>
      <c r="AI1744" s="532">
        <f t="shared" si="12"/>
        <v>0</v>
      </c>
      <c r="AJ1744" s="390">
        <f t="shared" si="5"/>
        <v>590875</v>
      </c>
      <c r="AK1744" s="390">
        <f t="shared" si="18"/>
        <v>590875</v>
      </c>
      <c r="AL1744" s="103"/>
      <c r="AM1744" s="103"/>
    </row>
    <row r="1745">
      <c r="A1745" s="290">
        <v>1737.0</v>
      </c>
      <c r="B1745" s="291">
        <v>45793.0</v>
      </c>
      <c r="C1745" s="99"/>
      <c r="D1745" s="396" t="s">
        <v>2365</v>
      </c>
      <c r="E1745" s="525" t="s">
        <v>2366</v>
      </c>
      <c r="F1745" s="292" t="s">
        <v>1412</v>
      </c>
      <c r="G1745" s="290" t="s">
        <v>64</v>
      </c>
      <c r="H1745" s="290" t="s">
        <v>41</v>
      </c>
      <c r="I1745" s="290" t="s">
        <v>643</v>
      </c>
      <c r="J1745" s="97">
        <v>2.0</v>
      </c>
      <c r="K1745" s="526"/>
      <c r="L1745" s="98"/>
      <c r="M1745" s="98"/>
      <c r="N1745" s="98"/>
      <c r="O1745" s="98"/>
      <c r="P1745" s="527"/>
      <c r="Q1745" s="99"/>
      <c r="R1745" s="528"/>
      <c r="S1745" s="525" t="s">
        <v>65</v>
      </c>
      <c r="T1745" s="290" t="s">
        <v>83</v>
      </c>
      <c r="U1745" s="290" t="s">
        <v>99</v>
      </c>
      <c r="V1745" s="290" t="s">
        <v>1984</v>
      </c>
      <c r="W1745" s="100"/>
      <c r="X1745" s="100"/>
      <c r="Y1745" s="529"/>
      <c r="Z1745" s="100"/>
      <c r="AA1745" s="294">
        <v>290000.0</v>
      </c>
      <c r="AB1745" s="294">
        <v>1160000.0</v>
      </c>
      <c r="AC1745" s="530" t="s">
        <v>4613</v>
      </c>
      <c r="AD1745" s="290">
        <v>19568.0</v>
      </c>
      <c r="AE1745" s="99"/>
      <c r="AF1745" s="290" t="str">
        <f t="shared" si="1"/>
        <v>Capital Federal, Argentina</v>
      </c>
      <c r="AG1745" s="531">
        <f t="shared" si="2"/>
        <v>2</v>
      </c>
      <c r="AH1745" s="532">
        <f t="shared" si="17"/>
        <v>0</v>
      </c>
      <c r="AI1745" s="532">
        <f t="shared" si="12"/>
        <v>0</v>
      </c>
      <c r="AJ1745" s="390">
        <f t="shared" si="5"/>
        <v>1450000</v>
      </c>
      <c r="AK1745" s="390">
        <f t="shared" si="18"/>
        <v>1450000</v>
      </c>
      <c r="AL1745" s="103"/>
      <c r="AM1745" s="103"/>
    </row>
    <row r="1746">
      <c r="A1746" s="290">
        <v>1738.0</v>
      </c>
      <c r="B1746" s="291">
        <v>45796.0</v>
      </c>
      <c r="C1746" s="99"/>
      <c r="D1746" s="396" t="s">
        <v>4614</v>
      </c>
      <c r="E1746" s="525" t="s">
        <v>4615</v>
      </c>
      <c r="F1746" s="292" t="s">
        <v>2063</v>
      </c>
      <c r="G1746" s="290" t="s">
        <v>40</v>
      </c>
      <c r="H1746" s="290" t="s">
        <v>547</v>
      </c>
      <c r="I1746" s="290" t="s">
        <v>42</v>
      </c>
      <c r="J1746" s="97">
        <v>2.0</v>
      </c>
      <c r="K1746" s="533">
        <v>2.0</v>
      </c>
      <c r="L1746" s="98"/>
      <c r="M1746" s="293">
        <v>1.0</v>
      </c>
      <c r="N1746" s="98"/>
      <c r="O1746" s="98"/>
      <c r="P1746" s="527"/>
      <c r="Q1746" s="99"/>
      <c r="R1746" s="528"/>
      <c r="S1746" s="525" t="s">
        <v>114</v>
      </c>
      <c r="T1746" s="290" t="s">
        <v>671</v>
      </c>
      <c r="U1746" s="290" t="s">
        <v>45</v>
      </c>
      <c r="V1746" s="290" t="s">
        <v>2922</v>
      </c>
      <c r="W1746" s="100"/>
      <c r="X1746" s="100"/>
      <c r="Y1746" s="529"/>
      <c r="Z1746" s="100"/>
      <c r="AA1746" s="294">
        <v>390776.0</v>
      </c>
      <c r="AB1746" s="294">
        <v>1563104.0</v>
      </c>
      <c r="AC1746" s="530" t="s">
        <v>4616</v>
      </c>
      <c r="AD1746" s="290">
        <v>19332.0</v>
      </c>
      <c r="AE1746" s="99"/>
      <c r="AF1746" s="290" t="str">
        <f t="shared" si="1"/>
        <v>Chubut, Argentina</v>
      </c>
      <c r="AG1746" s="531">
        <f t="shared" si="2"/>
        <v>5</v>
      </c>
      <c r="AH1746" s="532">
        <f t="shared" si="17"/>
        <v>0</v>
      </c>
      <c r="AI1746" s="532">
        <f t="shared" si="12"/>
        <v>0</v>
      </c>
      <c r="AJ1746" s="390">
        <f t="shared" si="5"/>
        <v>1953880</v>
      </c>
      <c r="AK1746" s="390">
        <f t="shared" si="18"/>
        <v>1953880</v>
      </c>
      <c r="AL1746" s="103"/>
      <c r="AM1746" s="103"/>
    </row>
    <row r="1747">
      <c r="A1747" s="290">
        <v>1739.0</v>
      </c>
      <c r="B1747" s="291">
        <v>45797.0</v>
      </c>
      <c r="C1747" s="99"/>
      <c r="D1747" s="396" t="s">
        <v>4617</v>
      </c>
      <c r="E1747" s="525" t="s">
        <v>4618</v>
      </c>
      <c r="F1747" s="292" t="s">
        <v>2237</v>
      </c>
      <c r="G1747" s="290" t="s">
        <v>40</v>
      </c>
      <c r="H1747" s="290" t="s">
        <v>547</v>
      </c>
      <c r="I1747" s="290" t="s">
        <v>42</v>
      </c>
      <c r="J1747" s="97">
        <v>1.0</v>
      </c>
      <c r="K1747" s="533">
        <v>2.0</v>
      </c>
      <c r="L1747" s="98"/>
      <c r="M1747" s="293">
        <v>1.0</v>
      </c>
      <c r="N1747" s="98"/>
      <c r="O1747" s="98"/>
      <c r="P1747" s="527"/>
      <c r="Q1747" s="99"/>
      <c r="R1747" s="528"/>
      <c r="S1747" s="525" t="s">
        <v>189</v>
      </c>
      <c r="T1747" s="290" t="s">
        <v>58</v>
      </c>
      <c r="U1747" s="290" t="s">
        <v>4619</v>
      </c>
      <c r="V1747" s="290" t="s">
        <v>4185</v>
      </c>
      <c r="W1747" s="100"/>
      <c r="X1747" s="100"/>
      <c r="Y1747" s="529"/>
      <c r="Z1747" s="100"/>
      <c r="AA1747" s="294">
        <v>279126.0</v>
      </c>
      <c r="AB1747" s="294">
        <v>1316600.0</v>
      </c>
      <c r="AC1747" s="530" t="s">
        <v>4620</v>
      </c>
      <c r="AD1747" s="290">
        <v>19220.0</v>
      </c>
      <c r="AE1747" s="99"/>
      <c r="AF1747" s="290" t="str">
        <f t="shared" si="1"/>
        <v>Córdoba, Argentina</v>
      </c>
      <c r="AG1747" s="531">
        <f t="shared" si="2"/>
        <v>4</v>
      </c>
      <c r="AH1747" s="532">
        <f t="shared" si="17"/>
        <v>0</v>
      </c>
      <c r="AI1747" s="532">
        <f t="shared" si="12"/>
        <v>0</v>
      </c>
      <c r="AJ1747" s="390">
        <f t="shared" si="5"/>
        <v>1595726</v>
      </c>
      <c r="AK1747" s="390">
        <f t="shared" si="18"/>
        <v>1595726</v>
      </c>
      <c r="AL1747" s="103"/>
      <c r="AM1747" s="103"/>
    </row>
    <row r="1748">
      <c r="A1748" s="290">
        <v>1740.0</v>
      </c>
      <c r="B1748" s="291">
        <v>45797.0</v>
      </c>
      <c r="C1748" s="99"/>
      <c r="D1748" s="396" t="s">
        <v>4621</v>
      </c>
      <c r="E1748" s="525" t="s">
        <v>4622</v>
      </c>
      <c r="F1748" s="292" t="s">
        <v>2237</v>
      </c>
      <c r="G1748" s="290" t="s">
        <v>40</v>
      </c>
      <c r="H1748" s="290" t="s">
        <v>547</v>
      </c>
      <c r="I1748" s="290" t="s">
        <v>42</v>
      </c>
      <c r="J1748" s="97">
        <v>1.0</v>
      </c>
      <c r="K1748" s="533">
        <v>2.0</v>
      </c>
      <c r="L1748" s="98"/>
      <c r="M1748" s="293">
        <v>1.0</v>
      </c>
      <c r="N1748" s="98"/>
      <c r="O1748" s="98"/>
      <c r="P1748" s="527"/>
      <c r="Q1748" s="99"/>
      <c r="R1748" s="528"/>
      <c r="S1748" s="525" t="s">
        <v>137</v>
      </c>
      <c r="T1748" s="290" t="s">
        <v>66</v>
      </c>
      <c r="U1748" s="290" t="s">
        <v>4456</v>
      </c>
      <c r="V1748" s="290" t="s">
        <v>2922</v>
      </c>
      <c r="W1748" s="100"/>
      <c r="X1748" s="100"/>
      <c r="Y1748" s="529"/>
      <c r="Z1748" s="100"/>
      <c r="AA1748" s="294">
        <v>279126.0</v>
      </c>
      <c r="AB1748" s="294">
        <v>1116504.0</v>
      </c>
      <c r="AC1748" s="530" t="s">
        <v>4623</v>
      </c>
      <c r="AD1748" s="290">
        <v>19396.0</v>
      </c>
      <c r="AE1748" s="99"/>
      <c r="AF1748" s="290" t="str">
        <f t="shared" si="1"/>
        <v>Buenos Aires, Argentina</v>
      </c>
      <c r="AG1748" s="531">
        <f t="shared" si="2"/>
        <v>4</v>
      </c>
      <c r="AH1748" s="532">
        <f t="shared" si="17"/>
        <v>0</v>
      </c>
      <c r="AI1748" s="532">
        <f t="shared" si="12"/>
        <v>0</v>
      </c>
      <c r="AJ1748" s="390">
        <f t="shared" si="5"/>
        <v>1395630</v>
      </c>
      <c r="AK1748" s="390">
        <f t="shared" si="18"/>
        <v>1395630</v>
      </c>
      <c r="AL1748" s="103"/>
      <c r="AM1748" s="103"/>
    </row>
    <row r="1749">
      <c r="A1749" s="290">
        <v>1741.0</v>
      </c>
      <c r="B1749" s="291">
        <v>45798.0</v>
      </c>
      <c r="C1749" s="99"/>
      <c r="D1749" s="396" t="s">
        <v>4624</v>
      </c>
      <c r="E1749" s="525" t="s">
        <v>4625</v>
      </c>
      <c r="F1749" s="292" t="s">
        <v>2056</v>
      </c>
      <c r="G1749" s="290" t="s">
        <v>40</v>
      </c>
      <c r="H1749" s="290" t="s">
        <v>547</v>
      </c>
      <c r="I1749" s="290" t="s">
        <v>42</v>
      </c>
      <c r="J1749" s="97">
        <v>1.0</v>
      </c>
      <c r="K1749" s="526"/>
      <c r="L1749" s="98"/>
      <c r="M1749" s="293">
        <v>1.0</v>
      </c>
      <c r="N1749" s="98"/>
      <c r="O1749" s="98"/>
      <c r="P1749" s="527"/>
      <c r="Q1749" s="99"/>
      <c r="R1749" s="528"/>
      <c r="S1749" s="525" t="s">
        <v>114</v>
      </c>
      <c r="T1749" s="290" t="s">
        <v>655</v>
      </c>
      <c r="U1749" s="290" t="s">
        <v>45</v>
      </c>
      <c r="V1749" s="290" t="s">
        <v>4626</v>
      </c>
      <c r="W1749" s="100"/>
      <c r="X1749" s="100"/>
      <c r="Y1749" s="529"/>
      <c r="Z1749" s="100"/>
      <c r="AA1749" s="294">
        <v>111650.0</v>
      </c>
      <c r="AB1749" s="294">
        <v>502425.0</v>
      </c>
      <c r="AC1749" s="530" t="s">
        <v>4627</v>
      </c>
      <c r="AD1749" s="290">
        <v>19574.0</v>
      </c>
      <c r="AE1749" s="99"/>
      <c r="AF1749" s="290" t="str">
        <f t="shared" si="1"/>
        <v>La Pampa, Argentina</v>
      </c>
      <c r="AG1749" s="531">
        <f t="shared" si="2"/>
        <v>2</v>
      </c>
      <c r="AH1749" s="532">
        <f t="shared" si="17"/>
        <v>0</v>
      </c>
      <c r="AI1749" s="532">
        <f t="shared" si="12"/>
        <v>0</v>
      </c>
      <c r="AJ1749" s="390">
        <f t="shared" si="5"/>
        <v>614075</v>
      </c>
      <c r="AK1749" s="390">
        <f t="shared" si="18"/>
        <v>614075</v>
      </c>
      <c r="AL1749" s="103"/>
      <c r="AM1749" s="103"/>
    </row>
    <row r="1750">
      <c r="A1750" s="290">
        <v>1742.0</v>
      </c>
      <c r="B1750" s="291">
        <v>45800.0</v>
      </c>
      <c r="C1750" s="99"/>
      <c r="D1750" s="396" t="s">
        <v>4628</v>
      </c>
      <c r="E1750" s="525" t="s">
        <v>2199</v>
      </c>
      <c r="F1750" s="292" t="s">
        <v>1427</v>
      </c>
      <c r="G1750" s="290" t="s">
        <v>64</v>
      </c>
      <c r="H1750" s="290" t="s">
        <v>41</v>
      </c>
      <c r="I1750" s="290" t="s">
        <v>643</v>
      </c>
      <c r="J1750" s="98"/>
      <c r="K1750" s="533">
        <v>2.0</v>
      </c>
      <c r="L1750" s="98"/>
      <c r="M1750" s="98"/>
      <c r="N1750" s="98"/>
      <c r="O1750" s="98"/>
      <c r="P1750" s="527"/>
      <c r="Q1750" s="99"/>
      <c r="R1750" s="528"/>
      <c r="S1750" s="525" t="s">
        <v>204</v>
      </c>
      <c r="T1750" s="290" t="s">
        <v>879</v>
      </c>
      <c r="U1750" s="290" t="s">
        <v>99</v>
      </c>
      <c r="V1750" s="290" t="s">
        <v>1984</v>
      </c>
      <c r="W1750" s="100"/>
      <c r="X1750" s="100"/>
      <c r="Y1750" s="529"/>
      <c r="Z1750" s="100"/>
      <c r="AA1750" s="294">
        <v>217500.0</v>
      </c>
      <c r="AB1750" s="294">
        <v>870000.0</v>
      </c>
      <c r="AC1750" s="530" t="s">
        <v>4629</v>
      </c>
      <c r="AD1750" s="290">
        <v>19614.0</v>
      </c>
      <c r="AE1750" s="99"/>
      <c r="AF1750" s="290" t="str">
        <f t="shared" si="1"/>
        <v>Salta, Argentina</v>
      </c>
      <c r="AG1750" s="531">
        <f t="shared" si="2"/>
        <v>2</v>
      </c>
      <c r="AH1750" s="532">
        <f t="shared" si="17"/>
        <v>0</v>
      </c>
      <c r="AI1750" s="532">
        <f t="shared" si="12"/>
        <v>0</v>
      </c>
      <c r="AJ1750" s="390">
        <f t="shared" si="5"/>
        <v>1087500</v>
      </c>
      <c r="AK1750" s="390">
        <f t="shared" si="18"/>
        <v>1087500</v>
      </c>
      <c r="AL1750" s="103"/>
      <c r="AM1750" s="103"/>
    </row>
    <row r="1751">
      <c r="A1751" s="290">
        <v>1743.0</v>
      </c>
      <c r="B1751" s="291">
        <v>45804.0</v>
      </c>
      <c r="C1751" s="99"/>
      <c r="D1751" s="396" t="s">
        <v>4581</v>
      </c>
      <c r="E1751" s="525" t="s">
        <v>4582</v>
      </c>
      <c r="F1751" s="292" t="s">
        <v>1423</v>
      </c>
      <c r="G1751" s="290" t="s">
        <v>64</v>
      </c>
      <c r="H1751" s="290" t="s">
        <v>41</v>
      </c>
      <c r="I1751" s="290" t="s">
        <v>643</v>
      </c>
      <c r="J1751" s="97">
        <v>1.0</v>
      </c>
      <c r="K1751" s="526"/>
      <c r="L1751" s="98"/>
      <c r="M1751" s="98"/>
      <c r="N1751" s="98"/>
      <c r="O1751" s="98"/>
      <c r="P1751" s="527"/>
      <c r="Q1751" s="99"/>
      <c r="R1751" s="528"/>
      <c r="S1751" s="525" t="s">
        <v>43</v>
      </c>
      <c r="T1751" s="290" t="s">
        <v>497</v>
      </c>
      <c r="U1751" s="290" t="s">
        <v>99</v>
      </c>
      <c r="V1751" s="290" t="s">
        <v>1984</v>
      </c>
      <c r="W1751" s="100"/>
      <c r="X1751" s="100"/>
      <c r="Y1751" s="529"/>
      <c r="Z1751" s="100"/>
      <c r="AA1751" s="294">
        <v>142000.0</v>
      </c>
      <c r="AB1751" s="294">
        <v>310625.0</v>
      </c>
      <c r="AC1751" s="530" t="s">
        <v>4630</v>
      </c>
      <c r="AD1751" s="290">
        <v>19674.0</v>
      </c>
      <c r="AE1751" s="99"/>
      <c r="AF1751" s="290" t="str">
        <f t="shared" si="1"/>
        <v>Tucumán, Argentina</v>
      </c>
      <c r="AG1751" s="531">
        <f t="shared" si="2"/>
        <v>1</v>
      </c>
      <c r="AH1751" s="532">
        <f t="shared" si="17"/>
        <v>0</v>
      </c>
      <c r="AI1751" s="532">
        <f t="shared" si="12"/>
        <v>0</v>
      </c>
      <c r="AJ1751" s="390">
        <f t="shared" si="5"/>
        <v>452625</v>
      </c>
      <c r="AK1751" s="390">
        <f t="shared" si="18"/>
        <v>452625</v>
      </c>
      <c r="AL1751" s="103"/>
      <c r="AM1751" s="103"/>
    </row>
    <row r="1752">
      <c r="A1752" s="290">
        <v>1744.0</v>
      </c>
      <c r="B1752" s="291">
        <v>45804.0</v>
      </c>
      <c r="C1752" s="99"/>
      <c r="D1752" s="396" t="s">
        <v>4631</v>
      </c>
      <c r="E1752" s="525" t="s">
        <v>438</v>
      </c>
      <c r="F1752" s="292" t="s">
        <v>3365</v>
      </c>
      <c r="G1752" s="290" t="s">
        <v>64</v>
      </c>
      <c r="H1752" s="290" t="s">
        <v>41</v>
      </c>
      <c r="I1752" s="290" t="s">
        <v>643</v>
      </c>
      <c r="J1752" s="98"/>
      <c r="K1752" s="526"/>
      <c r="L1752" s="98"/>
      <c r="M1752" s="98"/>
      <c r="N1752" s="293">
        <v>1.0</v>
      </c>
      <c r="O1752" s="98"/>
      <c r="P1752" s="527"/>
      <c r="Q1752" s="99"/>
      <c r="R1752" s="528"/>
      <c r="S1752" s="525" t="s">
        <v>105</v>
      </c>
      <c r="T1752" s="290" t="s">
        <v>83</v>
      </c>
      <c r="U1752" s="290" t="s">
        <v>99</v>
      </c>
      <c r="V1752" s="290" t="s">
        <v>1984</v>
      </c>
      <c r="W1752" s="100"/>
      <c r="X1752" s="100"/>
      <c r="Y1752" s="529"/>
      <c r="Z1752" s="100"/>
      <c r="AA1752" s="294">
        <v>145000.0</v>
      </c>
      <c r="AB1752" s="294">
        <v>580000.0</v>
      </c>
      <c r="AC1752" s="530" t="s">
        <v>4632</v>
      </c>
      <c r="AD1752" s="290">
        <v>19456.0</v>
      </c>
      <c r="AE1752" s="99"/>
      <c r="AF1752" s="290" t="str">
        <f t="shared" si="1"/>
        <v>Capital Federal, Argentina</v>
      </c>
      <c r="AG1752" s="531">
        <f t="shared" si="2"/>
        <v>1</v>
      </c>
      <c r="AH1752" s="532">
        <f t="shared" si="17"/>
        <v>0</v>
      </c>
      <c r="AI1752" s="532">
        <f t="shared" si="12"/>
        <v>0</v>
      </c>
      <c r="AJ1752" s="390">
        <f t="shared" si="5"/>
        <v>725000</v>
      </c>
      <c r="AK1752" s="390">
        <f t="shared" si="18"/>
        <v>725000</v>
      </c>
      <c r="AL1752" s="103"/>
      <c r="AM1752" s="103"/>
    </row>
    <row r="1753">
      <c r="A1753" s="290">
        <v>1745.0</v>
      </c>
      <c r="B1753" s="291">
        <v>45805.0</v>
      </c>
      <c r="C1753" s="99"/>
      <c r="D1753" s="396" t="s">
        <v>1982</v>
      </c>
      <c r="E1753" s="525" t="s">
        <v>1983</v>
      </c>
      <c r="F1753" s="292" t="s">
        <v>1415</v>
      </c>
      <c r="G1753" s="290" t="s">
        <v>64</v>
      </c>
      <c r="H1753" s="290" t="s">
        <v>41</v>
      </c>
      <c r="I1753" s="290" t="s">
        <v>643</v>
      </c>
      <c r="J1753" s="98"/>
      <c r="K1753" s="533">
        <v>1.0</v>
      </c>
      <c r="L1753" s="98"/>
      <c r="M1753" s="98"/>
      <c r="N1753" s="98"/>
      <c r="O1753" s="98"/>
      <c r="P1753" s="527"/>
      <c r="Q1753" s="99"/>
      <c r="R1753" s="528"/>
      <c r="S1753" s="525" t="s">
        <v>65</v>
      </c>
      <c r="T1753" s="290" t="s">
        <v>66</v>
      </c>
      <c r="U1753" s="290" t="s">
        <v>99</v>
      </c>
      <c r="V1753" s="290" t="s">
        <v>1984</v>
      </c>
      <c r="W1753" s="100"/>
      <c r="X1753" s="100"/>
      <c r="Y1753" s="529"/>
      <c r="Z1753" s="100"/>
      <c r="AA1753" s="294">
        <v>108750.0</v>
      </c>
      <c r="AB1753" s="294">
        <v>435000.0</v>
      </c>
      <c r="AC1753" s="530" t="s">
        <v>4633</v>
      </c>
      <c r="AD1753" s="290">
        <v>19742.0</v>
      </c>
      <c r="AE1753" s="99"/>
      <c r="AF1753" s="290" t="str">
        <f t="shared" si="1"/>
        <v>Buenos Aires, Argentina</v>
      </c>
      <c r="AG1753" s="531">
        <f t="shared" si="2"/>
        <v>1</v>
      </c>
      <c r="AH1753" s="532">
        <f t="shared" si="17"/>
        <v>0</v>
      </c>
      <c r="AI1753" s="532">
        <f t="shared" si="12"/>
        <v>0</v>
      </c>
      <c r="AJ1753" s="390">
        <f t="shared" si="5"/>
        <v>543750</v>
      </c>
      <c r="AK1753" s="390">
        <f t="shared" si="18"/>
        <v>543750</v>
      </c>
      <c r="AL1753" s="103"/>
      <c r="AM1753" s="103"/>
    </row>
    <row r="1754">
      <c r="A1754" s="290">
        <v>1746.0</v>
      </c>
      <c r="B1754" s="291">
        <v>45806.0</v>
      </c>
      <c r="C1754" s="99"/>
      <c r="D1754" s="396" t="s">
        <v>2677</v>
      </c>
      <c r="E1754" s="525" t="s">
        <v>2678</v>
      </c>
      <c r="F1754" s="292" t="s">
        <v>1423</v>
      </c>
      <c r="G1754" s="290" t="s">
        <v>64</v>
      </c>
      <c r="H1754" s="290" t="s">
        <v>41</v>
      </c>
      <c r="I1754" s="290" t="s">
        <v>643</v>
      </c>
      <c r="J1754" s="97">
        <v>1.0</v>
      </c>
      <c r="K1754" s="526"/>
      <c r="L1754" s="98"/>
      <c r="M1754" s="98"/>
      <c r="N1754" s="98"/>
      <c r="O1754" s="98"/>
      <c r="P1754" s="527"/>
      <c r="Q1754" s="99"/>
      <c r="R1754" s="528"/>
      <c r="S1754" s="525" t="s">
        <v>89</v>
      </c>
      <c r="T1754" s="290" t="s">
        <v>83</v>
      </c>
      <c r="U1754" s="290" t="s">
        <v>99</v>
      </c>
      <c r="V1754" s="290" t="s">
        <v>1984</v>
      </c>
      <c r="W1754" s="100"/>
      <c r="X1754" s="100"/>
      <c r="Y1754" s="529"/>
      <c r="Z1754" s="100"/>
      <c r="AA1754" s="294">
        <v>145000.0</v>
      </c>
      <c r="AB1754" s="294">
        <v>652500.0</v>
      </c>
      <c r="AC1754" s="530" t="s">
        <v>4634</v>
      </c>
      <c r="AD1754" s="290">
        <v>19606.0</v>
      </c>
      <c r="AE1754" s="99"/>
      <c r="AF1754" s="290" t="str">
        <f t="shared" si="1"/>
        <v>Capital Federal, Argentina</v>
      </c>
      <c r="AG1754" s="531">
        <f t="shared" si="2"/>
        <v>1</v>
      </c>
      <c r="AH1754" s="532">
        <f t="shared" si="17"/>
        <v>0</v>
      </c>
      <c r="AI1754" s="532">
        <f t="shared" si="12"/>
        <v>0</v>
      </c>
      <c r="AJ1754" s="390">
        <f t="shared" si="5"/>
        <v>797500</v>
      </c>
      <c r="AK1754" s="390">
        <f t="shared" si="18"/>
        <v>797500</v>
      </c>
      <c r="AL1754" s="103"/>
      <c r="AM1754" s="103"/>
    </row>
    <row r="1755">
      <c r="A1755" s="290">
        <v>1747.0</v>
      </c>
      <c r="B1755" s="291">
        <v>45807.0</v>
      </c>
      <c r="C1755" s="99"/>
      <c r="D1755" s="396" t="s">
        <v>4635</v>
      </c>
      <c r="E1755" s="525" t="s">
        <v>4636</v>
      </c>
      <c r="F1755" s="292" t="s">
        <v>2056</v>
      </c>
      <c r="G1755" s="290" t="s">
        <v>40</v>
      </c>
      <c r="H1755" s="290" t="s">
        <v>41</v>
      </c>
      <c r="I1755" s="290" t="s">
        <v>42</v>
      </c>
      <c r="J1755" s="97">
        <v>1.0</v>
      </c>
      <c r="K1755" s="526"/>
      <c r="L1755" s="98"/>
      <c r="M1755" s="293">
        <v>1.0</v>
      </c>
      <c r="N1755" s="98"/>
      <c r="O1755" s="98"/>
      <c r="P1755" s="527"/>
      <c r="Q1755" s="99"/>
      <c r="R1755" s="528"/>
      <c r="S1755" s="525" t="s">
        <v>114</v>
      </c>
      <c r="T1755" s="290" t="s">
        <v>83</v>
      </c>
      <c r="U1755" s="290" t="s">
        <v>342</v>
      </c>
      <c r="V1755" s="290" t="s">
        <v>4185</v>
      </c>
      <c r="W1755" s="100"/>
      <c r="X1755" s="100"/>
      <c r="Y1755" s="529"/>
      <c r="Z1755" s="100"/>
      <c r="AA1755" s="294">
        <v>147500.0</v>
      </c>
      <c r="AB1755" s="294">
        <v>663750.0</v>
      </c>
      <c r="AC1755" s="530" t="s">
        <v>4637</v>
      </c>
      <c r="AD1755" s="290">
        <v>17166.0</v>
      </c>
      <c r="AE1755" s="99"/>
      <c r="AF1755" s="290" t="str">
        <f t="shared" si="1"/>
        <v>Capital Federal, Argentina</v>
      </c>
      <c r="AG1755" s="531">
        <f t="shared" si="2"/>
        <v>2</v>
      </c>
      <c r="AH1755" s="532">
        <f t="shared" si="17"/>
        <v>0</v>
      </c>
      <c r="AI1755" s="532">
        <f t="shared" si="12"/>
        <v>0</v>
      </c>
      <c r="AJ1755" s="390">
        <f t="shared" si="5"/>
        <v>811250</v>
      </c>
      <c r="AK1755" s="390">
        <f t="shared" si="18"/>
        <v>811250</v>
      </c>
      <c r="AL1755" s="103"/>
      <c r="AM1755" s="103"/>
    </row>
    <row r="1756">
      <c r="A1756" s="290">
        <v>1748.0</v>
      </c>
      <c r="B1756" s="291">
        <v>45807.0</v>
      </c>
      <c r="C1756" s="99"/>
      <c r="D1756" s="396" t="s">
        <v>4638</v>
      </c>
      <c r="E1756" s="525" t="s">
        <v>1977</v>
      </c>
      <c r="F1756" s="292" t="s">
        <v>1423</v>
      </c>
      <c r="G1756" s="290" t="s">
        <v>64</v>
      </c>
      <c r="H1756" s="290" t="s">
        <v>41</v>
      </c>
      <c r="I1756" s="290" t="s">
        <v>643</v>
      </c>
      <c r="J1756" s="97">
        <v>1.0</v>
      </c>
      <c r="K1756" s="526"/>
      <c r="L1756" s="98"/>
      <c r="M1756" s="98"/>
      <c r="N1756" s="98"/>
      <c r="O1756" s="98"/>
      <c r="P1756" s="527"/>
      <c r="Q1756" s="99"/>
      <c r="R1756" s="528"/>
      <c r="S1756" s="525" t="s">
        <v>98</v>
      </c>
      <c r="T1756" s="290" t="s">
        <v>83</v>
      </c>
      <c r="U1756" s="290" t="s">
        <v>99</v>
      </c>
      <c r="V1756" s="290" t="s">
        <v>1984</v>
      </c>
      <c r="W1756" s="100"/>
      <c r="X1756" s="100"/>
      <c r="Y1756" s="529"/>
      <c r="Z1756" s="100"/>
      <c r="AA1756" s="294">
        <v>145000.0</v>
      </c>
      <c r="AB1756" s="294">
        <v>580000.0</v>
      </c>
      <c r="AC1756" s="530" t="s">
        <v>4639</v>
      </c>
      <c r="AD1756" s="290">
        <v>19746.0</v>
      </c>
      <c r="AE1756" s="99"/>
      <c r="AF1756" s="290" t="str">
        <f t="shared" si="1"/>
        <v>Capital Federal, Argentina</v>
      </c>
      <c r="AG1756" s="531">
        <f t="shared" si="2"/>
        <v>1</v>
      </c>
      <c r="AH1756" s="532">
        <f t="shared" si="17"/>
        <v>0</v>
      </c>
      <c r="AI1756" s="532">
        <f t="shared" si="12"/>
        <v>0</v>
      </c>
      <c r="AJ1756" s="390">
        <f t="shared" si="5"/>
        <v>725000</v>
      </c>
      <c r="AK1756" s="390">
        <f t="shared" si="18"/>
        <v>725000</v>
      </c>
      <c r="AL1756" s="103"/>
      <c r="AM1756" s="103"/>
    </row>
    <row r="1757">
      <c r="A1757" s="290">
        <v>1749.0</v>
      </c>
      <c r="B1757" s="291">
        <v>45807.0</v>
      </c>
      <c r="C1757" s="99"/>
      <c r="D1757" s="396" t="s">
        <v>4640</v>
      </c>
      <c r="E1757" s="525" t="s">
        <v>4641</v>
      </c>
      <c r="F1757" s="292" t="s">
        <v>4642</v>
      </c>
      <c r="G1757" s="290" t="s">
        <v>64</v>
      </c>
      <c r="H1757" s="290" t="s">
        <v>41</v>
      </c>
      <c r="I1757" s="290" t="s">
        <v>643</v>
      </c>
      <c r="J1757" s="98"/>
      <c r="K1757" s="526"/>
      <c r="L1757" s="98"/>
      <c r="M1757" s="98"/>
      <c r="N1757" s="98"/>
      <c r="O1757" s="98"/>
      <c r="P1757" s="527"/>
      <c r="Q1757" s="99"/>
      <c r="R1757" s="528"/>
      <c r="S1757" s="525" t="s">
        <v>65</v>
      </c>
      <c r="T1757" s="290" t="s">
        <v>66</v>
      </c>
      <c r="U1757" s="290" t="s">
        <v>99</v>
      </c>
      <c r="V1757" s="290" t="s">
        <v>1984</v>
      </c>
      <c r="W1757" s="100"/>
      <c r="X1757" s="100"/>
      <c r="Y1757" s="529"/>
      <c r="Z1757" s="100"/>
      <c r="AA1757" s="294">
        <v>0.0</v>
      </c>
      <c r="AB1757" s="294">
        <v>696000.0</v>
      </c>
      <c r="AC1757" s="530" t="s">
        <v>4643</v>
      </c>
      <c r="AD1757" s="290">
        <v>19644.0</v>
      </c>
      <c r="AE1757" s="99"/>
      <c r="AF1757" s="290" t="str">
        <f t="shared" si="1"/>
        <v>Buenos Aires, Argentina</v>
      </c>
      <c r="AG1757" s="531">
        <f t="shared" si="2"/>
        <v>0</v>
      </c>
      <c r="AH1757" s="532">
        <f t="shared" si="17"/>
        <v>0</v>
      </c>
      <c r="AI1757" s="532">
        <f t="shared" si="12"/>
        <v>0</v>
      </c>
      <c r="AJ1757" s="390">
        <f t="shared" si="5"/>
        <v>696000</v>
      </c>
      <c r="AK1757" s="390">
        <f t="shared" si="18"/>
        <v>696000</v>
      </c>
      <c r="AL1757" s="103"/>
      <c r="AM1757" s="103"/>
    </row>
    <row r="1758">
      <c r="A1758" s="290">
        <v>1750.0</v>
      </c>
      <c r="B1758" s="291">
        <v>45807.0</v>
      </c>
      <c r="C1758" s="99"/>
      <c r="D1758" s="396" t="s">
        <v>3814</v>
      </c>
      <c r="E1758" s="525" t="s">
        <v>1877</v>
      </c>
      <c r="F1758" s="292" t="s">
        <v>1415</v>
      </c>
      <c r="G1758" s="290" t="s">
        <v>64</v>
      </c>
      <c r="H1758" s="290" t="s">
        <v>41</v>
      </c>
      <c r="I1758" s="290" t="s">
        <v>643</v>
      </c>
      <c r="J1758" s="98"/>
      <c r="K1758" s="533">
        <v>1.0</v>
      </c>
      <c r="L1758" s="98"/>
      <c r="M1758" s="98"/>
      <c r="N1758" s="98"/>
      <c r="O1758" s="98"/>
      <c r="P1758" s="527"/>
      <c r="Q1758" s="99"/>
      <c r="R1758" s="528"/>
      <c r="S1758" s="525" t="s">
        <v>189</v>
      </c>
      <c r="T1758" s="290" t="s">
        <v>66</v>
      </c>
      <c r="U1758" s="290" t="s">
        <v>99</v>
      </c>
      <c r="V1758" s="290" t="s">
        <v>1984</v>
      </c>
      <c r="W1758" s="100"/>
      <c r="X1758" s="100"/>
      <c r="Y1758" s="529"/>
      <c r="Z1758" s="100"/>
      <c r="AA1758" s="294">
        <v>108750.0</v>
      </c>
      <c r="AB1758" s="294">
        <v>435000.0</v>
      </c>
      <c r="AC1758" s="530" t="s">
        <v>4644</v>
      </c>
      <c r="AD1758" s="290">
        <v>19664.0</v>
      </c>
      <c r="AE1758" s="99"/>
      <c r="AF1758" s="290" t="str">
        <f t="shared" si="1"/>
        <v>Buenos Aires, Argentina</v>
      </c>
      <c r="AG1758" s="531">
        <f t="shared" si="2"/>
        <v>1</v>
      </c>
      <c r="AH1758" s="532">
        <f t="shared" si="17"/>
        <v>0</v>
      </c>
      <c r="AI1758" s="532">
        <f t="shared" si="12"/>
        <v>0</v>
      </c>
      <c r="AJ1758" s="390">
        <f t="shared" si="5"/>
        <v>543750</v>
      </c>
      <c r="AK1758" s="390">
        <f t="shared" si="18"/>
        <v>543750</v>
      </c>
      <c r="AL1758" s="103"/>
      <c r="AM1758" s="103"/>
    </row>
    <row r="1759">
      <c r="A1759" s="290">
        <v>1751.0</v>
      </c>
      <c r="B1759" s="291">
        <v>45807.0</v>
      </c>
      <c r="C1759" s="99"/>
      <c r="D1759" s="396" t="s">
        <v>4645</v>
      </c>
      <c r="E1759" s="525" t="s">
        <v>4646</v>
      </c>
      <c r="F1759" s="292" t="s">
        <v>2141</v>
      </c>
      <c r="G1759" s="290" t="s">
        <v>40</v>
      </c>
      <c r="H1759" s="290" t="s">
        <v>547</v>
      </c>
      <c r="I1759" s="290" t="s">
        <v>42</v>
      </c>
      <c r="J1759" s="97">
        <v>1.0</v>
      </c>
      <c r="K1759" s="533">
        <v>1.0</v>
      </c>
      <c r="L1759" s="98"/>
      <c r="M1759" s="293">
        <v>1.0</v>
      </c>
      <c r="N1759" s="98"/>
      <c r="O1759" s="98"/>
      <c r="P1759" s="527"/>
      <c r="Q1759" s="99"/>
      <c r="R1759" s="528"/>
      <c r="S1759" s="525" t="s">
        <v>98</v>
      </c>
      <c r="T1759" s="290" t="s">
        <v>66</v>
      </c>
      <c r="U1759" s="290" t="s">
        <v>3948</v>
      </c>
      <c r="V1759" s="290" t="s">
        <v>2922</v>
      </c>
      <c r="W1759" s="100"/>
      <c r="X1759" s="100"/>
      <c r="Y1759" s="529"/>
      <c r="Z1759" s="100"/>
      <c r="AA1759" s="294">
        <v>198756.0</v>
      </c>
      <c r="AB1759" s="294">
        <v>795024.0</v>
      </c>
      <c r="AC1759" s="387" t="s">
        <v>4647</v>
      </c>
      <c r="AD1759" s="290">
        <v>19754.0</v>
      </c>
      <c r="AE1759" s="99"/>
      <c r="AF1759" s="290" t="str">
        <f t="shared" si="1"/>
        <v>Buenos Aires, Argentina</v>
      </c>
      <c r="AG1759" s="531">
        <f t="shared" si="2"/>
        <v>3</v>
      </c>
      <c r="AH1759" s="532">
        <f t="shared" si="17"/>
        <v>0</v>
      </c>
      <c r="AI1759" s="532">
        <f t="shared" si="12"/>
        <v>0</v>
      </c>
      <c r="AJ1759" s="390">
        <f t="shared" si="5"/>
        <v>993780</v>
      </c>
      <c r="AK1759" s="390">
        <f t="shared" si="18"/>
        <v>993780</v>
      </c>
      <c r="AL1759" s="103"/>
      <c r="AM1759" s="103"/>
    </row>
    <row r="1760">
      <c r="A1760" s="290">
        <v>1752.0</v>
      </c>
      <c r="B1760" s="291">
        <v>45807.0</v>
      </c>
      <c r="C1760" s="99"/>
      <c r="D1760" s="396" t="s">
        <v>4648</v>
      </c>
      <c r="E1760" s="525" t="s">
        <v>4649</v>
      </c>
      <c r="F1760" s="292" t="s">
        <v>4650</v>
      </c>
      <c r="G1760" s="290" t="s">
        <v>40</v>
      </c>
      <c r="H1760" s="290" t="s">
        <v>41</v>
      </c>
      <c r="I1760" s="290" t="s">
        <v>42</v>
      </c>
      <c r="J1760" s="97">
        <v>4.0</v>
      </c>
      <c r="K1760" s="533">
        <v>1.0</v>
      </c>
      <c r="L1760" s="98"/>
      <c r="M1760" s="293">
        <v>1.0</v>
      </c>
      <c r="N1760" s="98"/>
      <c r="O1760" s="98"/>
      <c r="P1760" s="527"/>
      <c r="Q1760" s="99"/>
      <c r="R1760" s="528"/>
      <c r="S1760" s="525" t="s">
        <v>65</v>
      </c>
      <c r="T1760" s="290" t="s">
        <v>66</v>
      </c>
      <c r="U1760" s="290" t="s">
        <v>45</v>
      </c>
      <c r="V1760" s="290" t="s">
        <v>4626</v>
      </c>
      <c r="W1760" s="100"/>
      <c r="X1760" s="100"/>
      <c r="Y1760" s="529"/>
      <c r="Z1760" s="100"/>
      <c r="AA1760" s="294">
        <v>688750.0</v>
      </c>
      <c r="AB1760" s="294">
        <v>2755000.0</v>
      </c>
      <c r="AC1760" s="530" t="s">
        <v>4651</v>
      </c>
      <c r="AD1760" s="290">
        <v>19764.0</v>
      </c>
      <c r="AE1760" s="99"/>
      <c r="AF1760" s="290" t="str">
        <f t="shared" si="1"/>
        <v>Buenos Aires, Argentina</v>
      </c>
      <c r="AG1760" s="531">
        <f t="shared" si="2"/>
        <v>6</v>
      </c>
      <c r="AH1760" s="532">
        <f t="shared" si="17"/>
        <v>0</v>
      </c>
      <c r="AI1760" s="532">
        <f t="shared" si="12"/>
        <v>0</v>
      </c>
      <c r="AJ1760" s="390">
        <f t="shared" si="5"/>
        <v>3443750</v>
      </c>
      <c r="AK1760" s="390">
        <f t="shared" si="18"/>
        <v>3443750</v>
      </c>
      <c r="AL1760" s="103"/>
      <c r="AM1760" s="103"/>
    </row>
    <row r="1761">
      <c r="A1761" s="290">
        <v>1752.0</v>
      </c>
      <c r="B1761" s="291">
        <v>45807.0</v>
      </c>
      <c r="C1761" s="99"/>
      <c r="D1761" s="396" t="s">
        <v>4648</v>
      </c>
      <c r="E1761" s="525" t="s">
        <v>4649</v>
      </c>
      <c r="F1761" s="292" t="s">
        <v>4608</v>
      </c>
      <c r="G1761" s="290" t="s">
        <v>40</v>
      </c>
      <c r="H1761" s="290" t="s">
        <v>41</v>
      </c>
      <c r="I1761" s="290" t="s">
        <v>42</v>
      </c>
      <c r="J1761" s="98"/>
      <c r="K1761" s="526"/>
      <c r="L1761" s="98"/>
      <c r="M1761" s="98"/>
      <c r="N1761" s="98"/>
      <c r="O1761" s="98"/>
      <c r="P1761" s="527"/>
      <c r="Q1761" s="99"/>
      <c r="R1761" s="528"/>
      <c r="S1761" s="525" t="s">
        <v>65</v>
      </c>
      <c r="T1761" s="290" t="s">
        <v>66</v>
      </c>
      <c r="U1761" s="290" t="s">
        <v>45</v>
      </c>
      <c r="V1761" s="290" t="s">
        <v>4626</v>
      </c>
      <c r="W1761" s="100"/>
      <c r="X1761" s="100"/>
      <c r="Y1761" s="529"/>
      <c r="Z1761" s="100"/>
      <c r="AA1761" s="294">
        <v>0.0</v>
      </c>
      <c r="AB1761" s="294">
        <v>696000.0</v>
      </c>
      <c r="AC1761" s="530" t="s">
        <v>4651</v>
      </c>
      <c r="AD1761" s="290">
        <v>19764.0</v>
      </c>
      <c r="AE1761" s="99"/>
      <c r="AF1761" s="290" t="str">
        <f t="shared" si="1"/>
        <v>Buenos Aires, Argentina</v>
      </c>
      <c r="AG1761" s="531">
        <f t="shared" si="2"/>
        <v>0</v>
      </c>
      <c r="AH1761" s="532">
        <f t="shared" si="17"/>
        <v>0</v>
      </c>
      <c r="AI1761" s="532">
        <f t="shared" si="12"/>
        <v>0</v>
      </c>
      <c r="AJ1761" s="390">
        <f t="shared" si="5"/>
        <v>696000</v>
      </c>
      <c r="AK1761" s="390">
        <f t="shared" si="18"/>
        <v>696000</v>
      </c>
      <c r="AL1761" s="103"/>
      <c r="AM1761" s="103"/>
    </row>
    <row r="1762">
      <c r="A1762" s="290">
        <v>1753.0</v>
      </c>
      <c r="B1762" s="291">
        <v>45807.0</v>
      </c>
      <c r="C1762" s="99"/>
      <c r="D1762" s="396" t="s">
        <v>4652</v>
      </c>
      <c r="E1762" s="525" t="s">
        <v>2488</v>
      </c>
      <c r="F1762" s="292" t="s">
        <v>4653</v>
      </c>
      <c r="G1762" s="290" t="s">
        <v>64</v>
      </c>
      <c r="H1762" s="290" t="s">
        <v>41</v>
      </c>
      <c r="I1762" s="290" t="s">
        <v>643</v>
      </c>
      <c r="J1762" s="98"/>
      <c r="K1762" s="526"/>
      <c r="L1762" s="98"/>
      <c r="M1762" s="98"/>
      <c r="N1762" s="98"/>
      <c r="O1762" s="98"/>
      <c r="P1762" s="527"/>
      <c r="Q1762" s="99"/>
      <c r="R1762" s="528"/>
      <c r="S1762" s="525" t="s">
        <v>109</v>
      </c>
      <c r="T1762" s="290" t="s">
        <v>66</v>
      </c>
      <c r="U1762" s="290" t="s">
        <v>99</v>
      </c>
      <c r="V1762" s="290" t="s">
        <v>1984</v>
      </c>
      <c r="W1762" s="100"/>
      <c r="X1762" s="100"/>
      <c r="Y1762" s="529"/>
      <c r="Z1762" s="100"/>
      <c r="AA1762" s="294">
        <v>0.0</v>
      </c>
      <c r="AB1762" s="294">
        <v>232000.0</v>
      </c>
      <c r="AC1762" s="530" t="s">
        <v>4654</v>
      </c>
      <c r="AD1762" s="290">
        <v>19724.0</v>
      </c>
      <c r="AE1762" s="99"/>
      <c r="AF1762" s="290" t="str">
        <f t="shared" si="1"/>
        <v>Buenos Aires, Argentina</v>
      </c>
      <c r="AG1762" s="531">
        <f t="shared" si="2"/>
        <v>0</v>
      </c>
      <c r="AH1762" s="532">
        <f t="shared" si="17"/>
        <v>0</v>
      </c>
      <c r="AI1762" s="532">
        <f t="shared" si="12"/>
        <v>0</v>
      </c>
      <c r="AJ1762" s="390">
        <f t="shared" si="5"/>
        <v>232000</v>
      </c>
      <c r="AK1762" s="390">
        <f t="shared" si="18"/>
        <v>232000</v>
      </c>
      <c r="AL1762" s="103"/>
      <c r="AM1762" s="103"/>
    </row>
    <row r="1763">
      <c r="A1763" s="290">
        <v>1754.0</v>
      </c>
      <c r="B1763" s="291">
        <v>45807.0</v>
      </c>
      <c r="C1763" s="99"/>
      <c r="D1763" s="396" t="s">
        <v>4655</v>
      </c>
      <c r="E1763" s="525" t="s">
        <v>3109</v>
      </c>
      <c r="F1763" s="292" t="s">
        <v>1423</v>
      </c>
      <c r="G1763" s="290" t="s">
        <v>64</v>
      </c>
      <c r="H1763" s="290" t="s">
        <v>41</v>
      </c>
      <c r="I1763" s="290" t="s">
        <v>643</v>
      </c>
      <c r="J1763" s="97">
        <v>1.0</v>
      </c>
      <c r="K1763" s="526"/>
      <c r="L1763" s="98"/>
      <c r="M1763" s="98"/>
      <c r="N1763" s="98"/>
      <c r="O1763" s="98"/>
      <c r="P1763" s="527"/>
      <c r="Q1763" s="99"/>
      <c r="R1763" s="528"/>
      <c r="S1763" s="525" t="s">
        <v>204</v>
      </c>
      <c r="T1763" s="290" t="s">
        <v>83</v>
      </c>
      <c r="U1763" s="290" t="s">
        <v>99</v>
      </c>
      <c r="V1763" s="290" t="s">
        <v>1984</v>
      </c>
      <c r="W1763" s="100"/>
      <c r="X1763" s="100"/>
      <c r="Y1763" s="529"/>
      <c r="Z1763" s="100"/>
      <c r="AA1763" s="294">
        <v>145000.0</v>
      </c>
      <c r="AB1763" s="294">
        <v>0.0</v>
      </c>
      <c r="AC1763" s="530" t="s">
        <v>4656</v>
      </c>
      <c r="AD1763" s="290">
        <v>19846.0</v>
      </c>
      <c r="AE1763" s="99"/>
      <c r="AF1763" s="290" t="str">
        <f t="shared" si="1"/>
        <v>Capital Federal, Argentina</v>
      </c>
      <c r="AG1763" s="531">
        <f t="shared" si="2"/>
        <v>1</v>
      </c>
      <c r="AH1763" s="532">
        <f t="shared" si="17"/>
        <v>0</v>
      </c>
      <c r="AI1763" s="532">
        <f t="shared" si="12"/>
        <v>0</v>
      </c>
      <c r="AJ1763" s="390">
        <f t="shared" si="5"/>
        <v>145000</v>
      </c>
      <c r="AK1763" s="390">
        <f t="shared" si="18"/>
        <v>145000</v>
      </c>
      <c r="AL1763" s="103"/>
      <c r="AM1763" s="103"/>
    </row>
    <row r="1764">
      <c r="A1764" s="290">
        <v>1755.0</v>
      </c>
      <c r="B1764" s="291">
        <v>45807.0</v>
      </c>
      <c r="C1764" s="99"/>
      <c r="D1764" s="396" t="s">
        <v>4657</v>
      </c>
      <c r="E1764" s="525" t="s">
        <v>3791</v>
      </c>
      <c r="F1764" s="292" t="s">
        <v>1415</v>
      </c>
      <c r="G1764" s="290" t="s">
        <v>64</v>
      </c>
      <c r="H1764" s="290" t="s">
        <v>547</v>
      </c>
      <c r="I1764" s="290" t="s">
        <v>643</v>
      </c>
      <c r="J1764" s="98"/>
      <c r="K1764" s="533">
        <v>1.0</v>
      </c>
      <c r="L1764" s="98"/>
      <c r="M1764" s="98"/>
      <c r="N1764" s="98"/>
      <c r="O1764" s="98"/>
      <c r="P1764" s="527"/>
      <c r="Q1764" s="99"/>
      <c r="R1764" s="528"/>
      <c r="S1764" s="525" t="s">
        <v>43</v>
      </c>
      <c r="T1764" s="290" t="s">
        <v>879</v>
      </c>
      <c r="U1764" s="290" t="s">
        <v>99</v>
      </c>
      <c r="V1764" s="290" t="s">
        <v>1984</v>
      </c>
      <c r="W1764" s="100"/>
      <c r="X1764" s="100"/>
      <c r="Y1764" s="529"/>
      <c r="Z1764" s="100"/>
      <c r="AA1764" s="294">
        <v>83738.0</v>
      </c>
      <c r="AB1764" s="294">
        <v>334952.0</v>
      </c>
      <c r="AC1764" s="530" t="s">
        <v>4658</v>
      </c>
      <c r="AD1764" s="290">
        <v>19814.0</v>
      </c>
      <c r="AE1764" s="99"/>
      <c r="AF1764" s="290" t="str">
        <f t="shared" si="1"/>
        <v>Salta, Argentina</v>
      </c>
      <c r="AG1764" s="531">
        <f t="shared" si="2"/>
        <v>1</v>
      </c>
      <c r="AH1764" s="532">
        <f t="shared" si="17"/>
        <v>0</v>
      </c>
      <c r="AI1764" s="532">
        <f t="shared" si="12"/>
        <v>0</v>
      </c>
      <c r="AJ1764" s="390">
        <f t="shared" si="5"/>
        <v>418690</v>
      </c>
      <c r="AK1764" s="390">
        <f t="shared" si="18"/>
        <v>418690</v>
      </c>
      <c r="AL1764" s="103"/>
      <c r="AM1764" s="103"/>
    </row>
    <row r="1765">
      <c r="A1765" s="354">
        <v>1756.0</v>
      </c>
      <c r="B1765" s="355">
        <v>45817.0</v>
      </c>
      <c r="C1765" s="360"/>
      <c r="D1765" s="534" t="s">
        <v>4659</v>
      </c>
      <c r="E1765" s="535" t="s">
        <v>4660</v>
      </c>
      <c r="F1765" s="357" t="s">
        <v>2056</v>
      </c>
      <c r="G1765" s="354" t="s">
        <v>40</v>
      </c>
      <c r="H1765" s="354" t="s">
        <v>547</v>
      </c>
      <c r="I1765" s="354" t="s">
        <v>42</v>
      </c>
      <c r="J1765" s="536">
        <v>1.0</v>
      </c>
      <c r="K1765" s="537"/>
      <c r="L1765" s="358"/>
      <c r="M1765" s="359">
        <v>1.0</v>
      </c>
      <c r="N1765" s="358"/>
      <c r="O1765" s="358"/>
      <c r="P1765" s="538"/>
      <c r="Q1765" s="360"/>
      <c r="R1765" s="539"/>
      <c r="S1765" s="535" t="s">
        <v>114</v>
      </c>
      <c r="T1765" s="354" t="s">
        <v>58</v>
      </c>
      <c r="U1765" s="354" t="s">
        <v>4456</v>
      </c>
      <c r="V1765" s="354" t="s">
        <v>2922</v>
      </c>
      <c r="W1765" s="362"/>
      <c r="X1765" s="362"/>
      <c r="Y1765" s="540"/>
      <c r="Z1765" s="362"/>
      <c r="AA1765" s="363">
        <v>113575.0</v>
      </c>
      <c r="AB1765" s="363">
        <v>454300.0</v>
      </c>
      <c r="AC1765" s="541" t="s">
        <v>4661</v>
      </c>
      <c r="AD1765" s="354">
        <v>19878.0</v>
      </c>
      <c r="AE1765" s="360"/>
      <c r="AF1765" s="354" t="str">
        <f t="shared" si="1"/>
        <v>Córdoba, Argentina</v>
      </c>
      <c r="AG1765" s="542">
        <f t="shared" si="2"/>
        <v>2</v>
      </c>
      <c r="AH1765" s="543">
        <f t="shared" si="17"/>
        <v>0</v>
      </c>
      <c r="AI1765" s="543">
        <f t="shared" si="12"/>
        <v>0</v>
      </c>
      <c r="AJ1765" s="544">
        <f t="shared" si="5"/>
        <v>567875</v>
      </c>
      <c r="AK1765" s="544">
        <f t="shared" si="18"/>
        <v>567875</v>
      </c>
      <c r="AL1765" s="366"/>
      <c r="AM1765" s="366"/>
    </row>
    <row r="1766">
      <c r="A1766" s="354">
        <v>1757.0</v>
      </c>
      <c r="B1766" s="355">
        <v>45825.0</v>
      </c>
      <c r="C1766" s="360"/>
      <c r="D1766" s="534" t="s">
        <v>4662</v>
      </c>
      <c r="E1766" s="535" t="s">
        <v>4663</v>
      </c>
      <c r="F1766" s="357" t="s">
        <v>4664</v>
      </c>
      <c r="G1766" s="354" t="s">
        <v>40</v>
      </c>
      <c r="H1766" s="354" t="s">
        <v>547</v>
      </c>
      <c r="I1766" s="354" t="s">
        <v>42</v>
      </c>
      <c r="J1766" s="536">
        <v>2.0</v>
      </c>
      <c r="K1766" s="545">
        <v>4.0</v>
      </c>
      <c r="L1766" s="358"/>
      <c r="M1766" s="359">
        <v>1.0</v>
      </c>
      <c r="N1766" s="358"/>
      <c r="O1766" s="358"/>
      <c r="P1766" s="538"/>
      <c r="Q1766" s="360"/>
      <c r="R1766" s="539"/>
      <c r="S1766" s="535" t="s">
        <v>89</v>
      </c>
      <c r="T1766" s="354" t="s">
        <v>671</v>
      </c>
      <c r="U1766" s="354" t="s">
        <v>4456</v>
      </c>
      <c r="V1766" s="354" t="s">
        <v>2922</v>
      </c>
      <c r="W1766" s="362"/>
      <c r="X1766" s="362"/>
      <c r="Y1766" s="540"/>
      <c r="Z1766" s="362"/>
      <c r="AA1766" s="363">
        <v>567874.0</v>
      </c>
      <c r="AB1766" s="363">
        <v>2271496.0</v>
      </c>
      <c r="AC1766" s="541" t="s">
        <v>4665</v>
      </c>
      <c r="AD1766" s="354">
        <v>19844.0</v>
      </c>
      <c r="AE1766" s="360"/>
      <c r="AF1766" s="354" t="str">
        <f t="shared" si="1"/>
        <v>Chubut, Argentina</v>
      </c>
      <c r="AG1766" s="542">
        <f t="shared" si="2"/>
        <v>7</v>
      </c>
      <c r="AH1766" s="543">
        <f t="shared" si="17"/>
        <v>0</v>
      </c>
      <c r="AI1766" s="543">
        <f t="shared" si="12"/>
        <v>0</v>
      </c>
      <c r="AJ1766" s="544">
        <f t="shared" si="5"/>
        <v>2839370</v>
      </c>
      <c r="AK1766" s="544">
        <f t="shared" si="18"/>
        <v>2839370</v>
      </c>
      <c r="AL1766" s="366"/>
      <c r="AM1766" s="366"/>
    </row>
    <row r="1767">
      <c r="A1767" s="354">
        <v>1758.0</v>
      </c>
      <c r="B1767" s="355">
        <v>45826.0</v>
      </c>
      <c r="C1767" s="360"/>
      <c r="D1767" s="534" t="s">
        <v>1573</v>
      </c>
      <c r="E1767" s="535" t="s">
        <v>2099</v>
      </c>
      <c r="F1767" s="357" t="s">
        <v>1459</v>
      </c>
      <c r="G1767" s="354" t="s">
        <v>64</v>
      </c>
      <c r="H1767" s="354" t="s">
        <v>41</v>
      </c>
      <c r="I1767" s="354" t="s">
        <v>643</v>
      </c>
      <c r="J1767" s="358"/>
      <c r="K1767" s="545">
        <v>3.0</v>
      </c>
      <c r="L1767" s="358"/>
      <c r="M1767" s="358"/>
      <c r="N1767" s="358"/>
      <c r="O1767" s="358"/>
      <c r="P1767" s="538"/>
      <c r="Q1767" s="360"/>
      <c r="R1767" s="539"/>
      <c r="S1767" s="535" t="s">
        <v>89</v>
      </c>
      <c r="T1767" s="354" t="s">
        <v>66</v>
      </c>
      <c r="U1767" s="354" t="s">
        <v>99</v>
      </c>
      <c r="V1767" s="354" t="s">
        <v>1984</v>
      </c>
      <c r="W1767" s="362"/>
      <c r="X1767" s="362"/>
      <c r="Y1767" s="540"/>
      <c r="Z1767" s="362"/>
      <c r="AA1767" s="363">
        <v>331875.0</v>
      </c>
      <c r="AB1767" s="363">
        <v>1327500.0</v>
      </c>
      <c r="AC1767" s="541" t="s">
        <v>4666</v>
      </c>
      <c r="AD1767" s="354">
        <v>19884.0</v>
      </c>
      <c r="AE1767" s="360"/>
      <c r="AF1767" s="354" t="str">
        <f t="shared" si="1"/>
        <v>Buenos Aires, Argentina</v>
      </c>
      <c r="AG1767" s="542">
        <f t="shared" si="2"/>
        <v>3</v>
      </c>
      <c r="AH1767" s="543">
        <f t="shared" si="17"/>
        <v>0</v>
      </c>
      <c r="AI1767" s="543">
        <f t="shared" si="12"/>
        <v>0</v>
      </c>
      <c r="AJ1767" s="544">
        <f t="shared" si="5"/>
        <v>1659375</v>
      </c>
      <c r="AK1767" s="544">
        <f t="shared" si="18"/>
        <v>1659375</v>
      </c>
      <c r="AL1767" s="366"/>
      <c r="AM1767" s="366"/>
    </row>
    <row r="1768">
      <c r="A1768" s="354">
        <v>1759.0</v>
      </c>
      <c r="B1768" s="546">
        <v>45834.0</v>
      </c>
      <c r="C1768" s="360"/>
      <c r="D1768" s="534" t="s">
        <v>4667</v>
      </c>
      <c r="E1768" s="535" t="s">
        <v>2990</v>
      </c>
      <c r="F1768" s="357" t="s">
        <v>1878</v>
      </c>
      <c r="G1768" s="354" t="s">
        <v>64</v>
      </c>
      <c r="H1768" s="354" t="s">
        <v>41</v>
      </c>
      <c r="I1768" s="354" t="s">
        <v>643</v>
      </c>
      <c r="J1768" s="358"/>
      <c r="K1768" s="537"/>
      <c r="L1768" s="358"/>
      <c r="M1768" s="358"/>
      <c r="N1768" s="359">
        <v>1.0</v>
      </c>
      <c r="O1768" s="358"/>
      <c r="P1768" s="538"/>
      <c r="Q1768" s="360"/>
      <c r="R1768" s="539"/>
      <c r="S1768" s="535" t="s">
        <v>72</v>
      </c>
      <c r="T1768" s="354" t="s">
        <v>66</v>
      </c>
      <c r="U1768" s="354" t="s">
        <v>99</v>
      </c>
      <c r="V1768" s="354" t="s">
        <v>1984</v>
      </c>
      <c r="W1768" s="362"/>
      <c r="X1768" s="362"/>
      <c r="Y1768" s="540"/>
      <c r="Z1768" s="362"/>
      <c r="AA1768" s="363">
        <v>147500.0</v>
      </c>
      <c r="AB1768" s="363">
        <v>590000.0</v>
      </c>
      <c r="AC1768" s="541" t="s">
        <v>4668</v>
      </c>
      <c r="AD1768" s="354">
        <v>19956.0</v>
      </c>
      <c r="AE1768" s="360"/>
      <c r="AF1768" s="354" t="str">
        <f t="shared" si="1"/>
        <v>Buenos Aires, Argentina</v>
      </c>
      <c r="AG1768" s="542">
        <f t="shared" si="2"/>
        <v>1</v>
      </c>
      <c r="AH1768" s="543">
        <f t="shared" si="17"/>
        <v>0</v>
      </c>
      <c r="AI1768" s="543">
        <f t="shared" si="12"/>
        <v>0</v>
      </c>
      <c r="AJ1768" s="544">
        <f t="shared" si="5"/>
        <v>737500</v>
      </c>
      <c r="AK1768" s="544">
        <f t="shared" si="18"/>
        <v>737500</v>
      </c>
      <c r="AL1768" s="366"/>
      <c r="AM1768" s="366"/>
    </row>
    <row r="1769">
      <c r="A1769" s="354">
        <v>1760.0</v>
      </c>
      <c r="B1769" s="355">
        <v>45835.0</v>
      </c>
      <c r="C1769" s="360"/>
      <c r="D1769" s="534" t="s">
        <v>4669</v>
      </c>
      <c r="E1769" s="535" t="s">
        <v>4670</v>
      </c>
      <c r="F1769" s="357" t="s">
        <v>1423</v>
      </c>
      <c r="G1769" s="354" t="s">
        <v>64</v>
      </c>
      <c r="H1769" s="354" t="s">
        <v>41</v>
      </c>
      <c r="I1769" s="354" t="s">
        <v>643</v>
      </c>
      <c r="J1769" s="536">
        <v>1.0</v>
      </c>
      <c r="K1769" s="537"/>
      <c r="L1769" s="358"/>
      <c r="M1769" s="358"/>
      <c r="N1769" s="358"/>
      <c r="O1769" s="358"/>
      <c r="P1769" s="538"/>
      <c r="Q1769" s="360"/>
      <c r="R1769" s="539"/>
      <c r="S1769" s="535" t="s">
        <v>65</v>
      </c>
      <c r="T1769" s="354" t="s">
        <v>66</v>
      </c>
      <c r="U1769" s="354" t="s">
        <v>99</v>
      </c>
      <c r="V1769" s="354" t="s">
        <v>1984</v>
      </c>
      <c r="W1769" s="362"/>
      <c r="X1769" s="362"/>
      <c r="Y1769" s="540"/>
      <c r="Z1769" s="362"/>
      <c r="AA1769" s="363">
        <v>147500.0</v>
      </c>
      <c r="AB1769" s="363">
        <v>516250.0</v>
      </c>
      <c r="AC1769" s="541" t="s">
        <v>4671</v>
      </c>
      <c r="AD1769" s="354">
        <v>20006.0</v>
      </c>
      <c r="AE1769" s="360"/>
      <c r="AF1769" s="354" t="str">
        <f t="shared" si="1"/>
        <v>Buenos Aires, Argentina</v>
      </c>
      <c r="AG1769" s="542">
        <f t="shared" si="2"/>
        <v>1</v>
      </c>
      <c r="AH1769" s="543">
        <f t="shared" si="17"/>
        <v>0</v>
      </c>
      <c r="AI1769" s="543">
        <f t="shared" si="12"/>
        <v>0</v>
      </c>
      <c r="AJ1769" s="544">
        <f t="shared" si="5"/>
        <v>663750</v>
      </c>
      <c r="AK1769" s="544">
        <f t="shared" si="18"/>
        <v>663750</v>
      </c>
      <c r="AL1769" s="366"/>
      <c r="AM1769" s="366"/>
    </row>
    <row r="1770">
      <c r="A1770" s="354">
        <v>1761.0</v>
      </c>
      <c r="B1770" s="355">
        <v>45838.0</v>
      </c>
      <c r="C1770" s="360"/>
      <c r="D1770" s="534" t="s">
        <v>4652</v>
      </c>
      <c r="E1770" s="535" t="s">
        <v>2488</v>
      </c>
      <c r="F1770" s="357" t="s">
        <v>4672</v>
      </c>
      <c r="G1770" s="354" t="s">
        <v>64</v>
      </c>
      <c r="H1770" s="354" t="s">
        <v>41</v>
      </c>
      <c r="I1770" s="354" t="s">
        <v>643</v>
      </c>
      <c r="J1770" s="358"/>
      <c r="K1770" s="537"/>
      <c r="L1770" s="358"/>
      <c r="M1770" s="358"/>
      <c r="N1770" s="358"/>
      <c r="O1770" s="358"/>
      <c r="P1770" s="538"/>
      <c r="Q1770" s="360"/>
      <c r="R1770" s="539"/>
      <c r="S1770" s="535" t="s">
        <v>109</v>
      </c>
      <c r="T1770" s="354" t="s">
        <v>66</v>
      </c>
      <c r="U1770" s="354" t="s">
        <v>99</v>
      </c>
      <c r="V1770" s="354" t="s">
        <v>1984</v>
      </c>
      <c r="W1770" s="362"/>
      <c r="X1770" s="362"/>
      <c r="Y1770" s="540"/>
      <c r="Z1770" s="362"/>
      <c r="AA1770" s="363">
        <v>0.0</v>
      </c>
      <c r="AB1770" s="363">
        <v>236000.0</v>
      </c>
      <c r="AC1770" s="541" t="s">
        <v>4673</v>
      </c>
      <c r="AD1770" s="354">
        <v>20016.0</v>
      </c>
      <c r="AE1770" s="360"/>
      <c r="AF1770" s="354" t="str">
        <f t="shared" si="1"/>
        <v>Buenos Aires, Argentina</v>
      </c>
      <c r="AG1770" s="542">
        <f t="shared" si="2"/>
        <v>0</v>
      </c>
      <c r="AH1770" s="543">
        <f t="shared" si="17"/>
        <v>0</v>
      </c>
      <c r="AI1770" s="543">
        <f t="shared" si="12"/>
        <v>0</v>
      </c>
      <c r="AJ1770" s="544">
        <f t="shared" si="5"/>
        <v>236000</v>
      </c>
      <c r="AK1770" s="544">
        <f t="shared" si="18"/>
        <v>236000</v>
      </c>
      <c r="AL1770" s="366"/>
      <c r="AM1770" s="366"/>
    </row>
    <row r="1771">
      <c r="A1771" s="354">
        <v>1762.0</v>
      </c>
      <c r="B1771" s="355">
        <v>45838.0</v>
      </c>
      <c r="C1771" s="360"/>
      <c r="D1771" s="534" t="s">
        <v>4398</v>
      </c>
      <c r="E1771" s="535" t="s">
        <v>4399</v>
      </c>
      <c r="F1771" s="357" t="s">
        <v>4590</v>
      </c>
      <c r="G1771" s="354" t="s">
        <v>64</v>
      </c>
      <c r="H1771" s="354" t="s">
        <v>41</v>
      </c>
      <c r="I1771" s="354" t="s">
        <v>643</v>
      </c>
      <c r="J1771" s="358"/>
      <c r="K1771" s="537"/>
      <c r="L1771" s="358"/>
      <c r="M1771" s="358"/>
      <c r="N1771" s="358"/>
      <c r="O1771" s="358"/>
      <c r="P1771" s="538"/>
      <c r="Q1771" s="360"/>
      <c r="R1771" s="539"/>
      <c r="S1771" s="535" t="s">
        <v>72</v>
      </c>
      <c r="T1771" s="354" t="s">
        <v>83</v>
      </c>
      <c r="U1771" s="354" t="s">
        <v>99</v>
      </c>
      <c r="V1771" s="354" t="s">
        <v>1984</v>
      </c>
      <c r="W1771" s="363">
        <v>88309.0</v>
      </c>
      <c r="X1771" s="363">
        <v>397390.0</v>
      </c>
      <c r="Y1771" s="540"/>
      <c r="Z1771" s="362"/>
      <c r="AA1771" s="363">
        <v>0.0</v>
      </c>
      <c r="AB1771" s="363">
        <v>0.0</v>
      </c>
      <c r="AC1771" s="541" t="s">
        <v>4674</v>
      </c>
      <c r="AD1771" s="354">
        <v>19820.0</v>
      </c>
      <c r="AE1771" s="360"/>
      <c r="AF1771" s="354" t="str">
        <f t="shared" si="1"/>
        <v>Capital Federal, Argentina</v>
      </c>
      <c r="AG1771" s="542">
        <f t="shared" si="2"/>
        <v>0</v>
      </c>
      <c r="AH1771" s="543">
        <f t="shared" si="17"/>
        <v>485699</v>
      </c>
      <c r="AI1771" s="543">
        <f t="shared" si="12"/>
        <v>0</v>
      </c>
      <c r="AJ1771" s="544">
        <f t="shared" si="5"/>
        <v>0</v>
      </c>
      <c r="AK1771" s="544">
        <f t="shared" si="18"/>
        <v>485699</v>
      </c>
      <c r="AL1771" s="366"/>
      <c r="AM1771" s="366"/>
    </row>
    <row r="1772">
      <c r="A1772" s="354">
        <v>1763.0</v>
      </c>
      <c r="B1772" s="355">
        <v>45838.0</v>
      </c>
      <c r="C1772" s="360"/>
      <c r="D1772" s="534" t="s">
        <v>2852</v>
      </c>
      <c r="E1772" s="535" t="s">
        <v>2853</v>
      </c>
      <c r="F1772" s="357" t="s">
        <v>2502</v>
      </c>
      <c r="G1772" s="354" t="s">
        <v>64</v>
      </c>
      <c r="H1772" s="354" t="s">
        <v>41</v>
      </c>
      <c r="I1772" s="354" t="s">
        <v>643</v>
      </c>
      <c r="J1772" s="536">
        <v>1.0</v>
      </c>
      <c r="K1772" s="545">
        <v>3.0</v>
      </c>
      <c r="L1772" s="358"/>
      <c r="M1772" s="359">
        <v>1.0</v>
      </c>
      <c r="N1772" s="358"/>
      <c r="O1772" s="358"/>
      <c r="P1772" s="538"/>
      <c r="Q1772" s="360"/>
      <c r="R1772" s="539"/>
      <c r="S1772" s="535" t="s">
        <v>137</v>
      </c>
      <c r="T1772" s="354" t="s">
        <v>66</v>
      </c>
      <c r="U1772" s="354" t="s">
        <v>99</v>
      </c>
      <c r="V1772" s="354" t="s">
        <v>1984</v>
      </c>
      <c r="W1772" s="362"/>
      <c r="X1772" s="362"/>
      <c r="Y1772" s="540"/>
      <c r="Z1772" s="362"/>
      <c r="AA1772" s="363">
        <v>626875.0</v>
      </c>
      <c r="AB1772" s="363">
        <v>962257.0</v>
      </c>
      <c r="AC1772" s="541" t="s">
        <v>4675</v>
      </c>
      <c r="AD1772" s="354">
        <v>19946.0</v>
      </c>
      <c r="AE1772" s="360"/>
      <c r="AF1772" s="354" t="str">
        <f t="shared" si="1"/>
        <v>Buenos Aires, Argentina</v>
      </c>
      <c r="AG1772" s="542">
        <f t="shared" si="2"/>
        <v>5</v>
      </c>
      <c r="AH1772" s="543">
        <f t="shared" si="17"/>
        <v>0</v>
      </c>
      <c r="AI1772" s="543">
        <f t="shared" si="12"/>
        <v>0</v>
      </c>
      <c r="AJ1772" s="544">
        <f t="shared" si="5"/>
        <v>1589132</v>
      </c>
      <c r="AK1772" s="544">
        <f t="shared" si="18"/>
        <v>1589132</v>
      </c>
      <c r="AL1772" s="366"/>
      <c r="AM1772" s="366"/>
    </row>
    <row r="1773">
      <c r="A1773" s="354">
        <v>1764.0</v>
      </c>
      <c r="B1773" s="546">
        <v>45838.0</v>
      </c>
      <c r="C1773" s="360"/>
      <c r="D1773" s="534" t="s">
        <v>4676</v>
      </c>
      <c r="E1773" s="535" t="s">
        <v>4677</v>
      </c>
      <c r="F1773" s="357" t="s">
        <v>2172</v>
      </c>
      <c r="G1773" s="354" t="s">
        <v>40</v>
      </c>
      <c r="H1773" s="354" t="s">
        <v>41</v>
      </c>
      <c r="I1773" s="354" t="s">
        <v>42</v>
      </c>
      <c r="J1773" s="536">
        <v>2.0</v>
      </c>
      <c r="K1773" s="537"/>
      <c r="L1773" s="358"/>
      <c r="M1773" s="359">
        <v>1.0</v>
      </c>
      <c r="N1773" s="358"/>
      <c r="O1773" s="358"/>
      <c r="P1773" s="538"/>
      <c r="Q1773" s="360"/>
      <c r="R1773" s="539"/>
      <c r="S1773" s="535" t="s">
        <v>963</v>
      </c>
      <c r="T1773" s="354" t="s">
        <v>66</v>
      </c>
      <c r="U1773" s="354" t="s">
        <v>45</v>
      </c>
      <c r="V1773" s="354" t="s">
        <v>4626</v>
      </c>
      <c r="W1773" s="362"/>
      <c r="X1773" s="362"/>
      <c r="Y1773" s="540"/>
      <c r="Z1773" s="362"/>
      <c r="AA1773" s="363">
        <v>295000.0</v>
      </c>
      <c r="AB1773" s="363">
        <v>1106250.0</v>
      </c>
      <c r="AC1773" s="541" t="s">
        <v>4678</v>
      </c>
      <c r="AD1773" s="354">
        <v>19900.0</v>
      </c>
      <c r="AE1773" s="360"/>
      <c r="AF1773" s="354" t="str">
        <f t="shared" si="1"/>
        <v>Buenos Aires, Argentina</v>
      </c>
      <c r="AG1773" s="542">
        <f t="shared" si="2"/>
        <v>3</v>
      </c>
      <c r="AH1773" s="543">
        <f t="shared" si="17"/>
        <v>0</v>
      </c>
      <c r="AI1773" s="543">
        <f t="shared" si="12"/>
        <v>0</v>
      </c>
      <c r="AJ1773" s="544">
        <f t="shared" si="5"/>
        <v>1401250</v>
      </c>
      <c r="AK1773" s="544">
        <f t="shared" si="18"/>
        <v>1401250</v>
      </c>
      <c r="AL1773" s="366"/>
      <c r="AM1773" s="366"/>
    </row>
    <row r="1774">
      <c r="A1774" s="354">
        <v>1765.0</v>
      </c>
      <c r="B1774" s="355">
        <v>45838.0</v>
      </c>
      <c r="C1774" s="360"/>
      <c r="D1774" s="534" t="s">
        <v>1640</v>
      </c>
      <c r="E1774" s="535" t="s">
        <v>2105</v>
      </c>
      <c r="F1774" s="357" t="s">
        <v>4679</v>
      </c>
      <c r="G1774" s="354" t="s">
        <v>64</v>
      </c>
      <c r="H1774" s="354" t="s">
        <v>41</v>
      </c>
      <c r="I1774" s="354" t="s">
        <v>643</v>
      </c>
      <c r="J1774" s="358"/>
      <c r="K1774" s="537"/>
      <c r="L1774" s="358"/>
      <c r="M1774" s="358"/>
      <c r="N1774" s="358"/>
      <c r="O1774" s="358"/>
      <c r="P1774" s="538"/>
      <c r="Q1774" s="360"/>
      <c r="R1774" s="539"/>
      <c r="S1774" s="535" t="s">
        <v>189</v>
      </c>
      <c r="T1774" s="354" t="s">
        <v>66</v>
      </c>
      <c r="U1774" s="354" t="s">
        <v>99</v>
      </c>
      <c r="V1774" s="354" t="s">
        <v>1984</v>
      </c>
      <c r="W1774" s="362"/>
      <c r="X1774" s="362"/>
      <c r="Y1774" s="540"/>
      <c r="Z1774" s="362"/>
      <c r="AA1774" s="363">
        <v>0.0</v>
      </c>
      <c r="AB1774" s="363">
        <v>0.0</v>
      </c>
      <c r="AC1774" s="541" t="s">
        <v>4680</v>
      </c>
      <c r="AD1774" s="354">
        <v>20086.0</v>
      </c>
      <c r="AE1774" s="360"/>
      <c r="AF1774" s="354" t="str">
        <f t="shared" si="1"/>
        <v>Buenos Aires, Argentina</v>
      </c>
      <c r="AG1774" s="542">
        <f t="shared" si="2"/>
        <v>0</v>
      </c>
      <c r="AH1774" s="543">
        <f t="shared" si="17"/>
        <v>0</v>
      </c>
      <c r="AI1774" s="543">
        <f t="shared" si="12"/>
        <v>0</v>
      </c>
      <c r="AJ1774" s="544">
        <f t="shared" si="5"/>
        <v>0</v>
      </c>
      <c r="AK1774" s="544">
        <f t="shared" si="18"/>
        <v>0</v>
      </c>
      <c r="AL1774" s="366"/>
      <c r="AM1774" s="366"/>
    </row>
    <row r="1775">
      <c r="A1775" s="354">
        <v>1766.0</v>
      </c>
      <c r="B1775" s="355">
        <v>45838.0</v>
      </c>
      <c r="C1775" s="360"/>
      <c r="D1775" s="534" t="s">
        <v>4681</v>
      </c>
      <c r="E1775" s="535" t="s">
        <v>4682</v>
      </c>
      <c r="F1775" s="357" t="s">
        <v>1423</v>
      </c>
      <c r="G1775" s="354" t="s">
        <v>64</v>
      </c>
      <c r="H1775" s="354" t="s">
        <v>41</v>
      </c>
      <c r="I1775" s="354" t="s">
        <v>643</v>
      </c>
      <c r="J1775" s="536">
        <v>1.0</v>
      </c>
      <c r="K1775" s="537"/>
      <c r="L1775" s="358"/>
      <c r="M1775" s="358"/>
      <c r="N1775" s="358"/>
      <c r="O1775" s="358"/>
      <c r="P1775" s="538"/>
      <c r="Q1775" s="360"/>
      <c r="R1775" s="539"/>
      <c r="S1775" s="535" t="s">
        <v>43</v>
      </c>
      <c r="T1775" s="354" t="s">
        <v>58</v>
      </c>
      <c r="U1775" s="354" t="s">
        <v>99</v>
      </c>
      <c r="V1775" s="354" t="s">
        <v>1984</v>
      </c>
      <c r="W1775" s="362"/>
      <c r="X1775" s="362"/>
      <c r="Y1775" s="540"/>
      <c r="Z1775" s="362"/>
      <c r="AA1775" s="363">
        <v>147500.0</v>
      </c>
      <c r="AB1775" s="363">
        <v>516250.0</v>
      </c>
      <c r="AC1775" s="541" t="s">
        <v>4683</v>
      </c>
      <c r="AD1775" s="354">
        <v>20052.0</v>
      </c>
      <c r="AE1775" s="360"/>
      <c r="AF1775" s="354" t="str">
        <f t="shared" si="1"/>
        <v>Córdoba, Argentina</v>
      </c>
      <c r="AG1775" s="542">
        <f t="shared" si="2"/>
        <v>1</v>
      </c>
      <c r="AH1775" s="543">
        <f t="shared" si="17"/>
        <v>0</v>
      </c>
      <c r="AI1775" s="543">
        <f t="shared" si="12"/>
        <v>0</v>
      </c>
      <c r="AJ1775" s="544">
        <f t="shared" si="5"/>
        <v>663750</v>
      </c>
      <c r="AK1775" s="544">
        <f t="shared" si="18"/>
        <v>663750</v>
      </c>
      <c r="AL1775" s="366"/>
      <c r="AM1775" s="366"/>
    </row>
    <row r="1776">
      <c r="A1776" s="354">
        <v>1767.0</v>
      </c>
      <c r="B1776" s="355">
        <v>45838.0</v>
      </c>
      <c r="C1776" s="360"/>
      <c r="D1776" s="534" t="s">
        <v>4249</v>
      </c>
      <c r="E1776" s="535" t="s">
        <v>4250</v>
      </c>
      <c r="F1776" s="357" t="s">
        <v>1423</v>
      </c>
      <c r="G1776" s="354" t="s">
        <v>64</v>
      </c>
      <c r="H1776" s="354" t="s">
        <v>41</v>
      </c>
      <c r="I1776" s="354" t="s">
        <v>643</v>
      </c>
      <c r="J1776" s="536">
        <v>1.0</v>
      </c>
      <c r="K1776" s="537"/>
      <c r="L1776" s="358"/>
      <c r="M1776" s="358"/>
      <c r="N1776" s="358"/>
      <c r="O1776" s="358"/>
      <c r="P1776" s="538"/>
      <c r="Q1776" s="360"/>
      <c r="R1776" s="539"/>
      <c r="S1776" s="535" t="s">
        <v>105</v>
      </c>
      <c r="T1776" s="354" t="s">
        <v>83</v>
      </c>
      <c r="U1776" s="354" t="s">
        <v>99</v>
      </c>
      <c r="V1776" s="354" t="s">
        <v>1984</v>
      </c>
      <c r="W1776" s="362"/>
      <c r="X1776" s="362"/>
      <c r="Y1776" s="540"/>
      <c r="Z1776" s="362"/>
      <c r="AA1776" s="363">
        <v>147500.0</v>
      </c>
      <c r="AB1776" s="363">
        <v>516250.0</v>
      </c>
      <c r="AC1776" s="541" t="s">
        <v>4684</v>
      </c>
      <c r="AD1776" s="354">
        <v>20128.0</v>
      </c>
      <c r="AE1776" s="360"/>
      <c r="AF1776" s="354" t="str">
        <f t="shared" si="1"/>
        <v>Capital Federal, Argentina</v>
      </c>
      <c r="AG1776" s="542">
        <f t="shared" si="2"/>
        <v>1</v>
      </c>
      <c r="AH1776" s="543">
        <f t="shared" si="17"/>
        <v>0</v>
      </c>
      <c r="AI1776" s="543">
        <f t="shared" si="12"/>
        <v>0</v>
      </c>
      <c r="AJ1776" s="544">
        <f t="shared" si="5"/>
        <v>663750</v>
      </c>
      <c r="AK1776" s="544">
        <f t="shared" si="18"/>
        <v>663750</v>
      </c>
      <c r="AL1776" s="366"/>
      <c r="AM1776" s="366"/>
    </row>
    <row r="1777">
      <c r="A1777" s="354">
        <v>1768.0</v>
      </c>
      <c r="B1777" s="355">
        <v>45838.0</v>
      </c>
      <c r="C1777" s="360"/>
      <c r="D1777" s="534" t="s">
        <v>2048</v>
      </c>
      <c r="E1777" s="535" t="s">
        <v>2049</v>
      </c>
      <c r="F1777" s="357" t="s">
        <v>4685</v>
      </c>
      <c r="G1777" s="354" t="s">
        <v>64</v>
      </c>
      <c r="H1777" s="354" t="s">
        <v>41</v>
      </c>
      <c r="I1777" s="354" t="s">
        <v>643</v>
      </c>
      <c r="J1777" s="358"/>
      <c r="K1777" s="545">
        <v>1.0</v>
      </c>
      <c r="L1777" s="358"/>
      <c r="M1777" s="358"/>
      <c r="N1777" s="358"/>
      <c r="O1777" s="358"/>
      <c r="P1777" s="538"/>
      <c r="Q1777" s="360"/>
      <c r="R1777" s="539"/>
      <c r="S1777" s="535" t="s">
        <v>98</v>
      </c>
      <c r="T1777" s="354" t="s">
        <v>58</v>
      </c>
      <c r="U1777" s="354" t="s">
        <v>99</v>
      </c>
      <c r="V1777" s="354" t="s">
        <v>1984</v>
      </c>
      <c r="W1777" s="362"/>
      <c r="X1777" s="362"/>
      <c r="Y1777" s="540"/>
      <c r="Z1777" s="362"/>
      <c r="AA1777" s="363">
        <v>110625.0</v>
      </c>
      <c r="AB1777" s="363">
        <v>497813.0</v>
      </c>
      <c r="AC1777" s="541" t="s">
        <v>4686</v>
      </c>
      <c r="AD1777" s="354">
        <v>20084.0</v>
      </c>
      <c r="AE1777" s="360"/>
      <c r="AF1777" s="354" t="str">
        <f t="shared" si="1"/>
        <v>Córdoba, Argentina</v>
      </c>
      <c r="AG1777" s="542">
        <f t="shared" si="2"/>
        <v>1</v>
      </c>
      <c r="AH1777" s="543">
        <f t="shared" si="17"/>
        <v>0</v>
      </c>
      <c r="AI1777" s="543">
        <f t="shared" si="12"/>
        <v>0</v>
      </c>
      <c r="AJ1777" s="544">
        <f t="shared" si="5"/>
        <v>608438</v>
      </c>
      <c r="AK1777" s="544">
        <f t="shared" si="18"/>
        <v>608438</v>
      </c>
      <c r="AL1777" s="366"/>
      <c r="AM1777" s="366"/>
    </row>
    <row r="1778">
      <c r="A1778" s="354">
        <v>1769.0</v>
      </c>
      <c r="B1778" s="355">
        <v>45838.0</v>
      </c>
      <c r="C1778" s="360"/>
      <c r="D1778" s="534" t="s">
        <v>2260</v>
      </c>
      <c r="E1778" s="535" t="s">
        <v>2261</v>
      </c>
      <c r="F1778" s="357" t="s">
        <v>1423</v>
      </c>
      <c r="G1778" s="354" t="s">
        <v>64</v>
      </c>
      <c r="H1778" s="354" t="s">
        <v>41</v>
      </c>
      <c r="I1778" s="354" t="s">
        <v>643</v>
      </c>
      <c r="J1778" s="536">
        <v>1.0</v>
      </c>
      <c r="K1778" s="537"/>
      <c r="L1778" s="358"/>
      <c r="M1778" s="358"/>
      <c r="N1778" s="358"/>
      <c r="O1778" s="358"/>
      <c r="P1778" s="538"/>
      <c r="Q1778" s="360"/>
      <c r="R1778" s="539"/>
      <c r="S1778" s="535" t="s">
        <v>141</v>
      </c>
      <c r="T1778" s="354" t="s">
        <v>66</v>
      </c>
      <c r="U1778" s="354" t="s">
        <v>99</v>
      </c>
      <c r="V1778" s="354" t="s">
        <v>1984</v>
      </c>
      <c r="W1778" s="362"/>
      <c r="X1778" s="362"/>
      <c r="Y1778" s="540"/>
      <c r="Z1778" s="362"/>
      <c r="AA1778" s="363">
        <v>149000.0</v>
      </c>
      <c r="AB1778" s="363">
        <v>0.0</v>
      </c>
      <c r="AC1778" s="541" t="s">
        <v>4687</v>
      </c>
      <c r="AD1778" s="354">
        <v>19984.0</v>
      </c>
      <c r="AE1778" s="360"/>
      <c r="AF1778" s="354" t="str">
        <f t="shared" si="1"/>
        <v>Buenos Aires, Argentina</v>
      </c>
      <c r="AG1778" s="542">
        <f t="shared" si="2"/>
        <v>1</v>
      </c>
      <c r="AH1778" s="543">
        <f t="shared" si="17"/>
        <v>0</v>
      </c>
      <c r="AI1778" s="543">
        <f t="shared" si="12"/>
        <v>0</v>
      </c>
      <c r="AJ1778" s="544">
        <f t="shared" si="5"/>
        <v>149000</v>
      </c>
      <c r="AK1778" s="544">
        <f t="shared" si="18"/>
        <v>149000</v>
      </c>
      <c r="AL1778" s="366"/>
      <c r="AM1778" s="366"/>
    </row>
    <row r="1779">
      <c r="A1779" s="354">
        <v>1770.0</v>
      </c>
      <c r="B1779" s="355">
        <v>45838.0</v>
      </c>
      <c r="C1779" s="360"/>
      <c r="D1779" s="534" t="s">
        <v>4688</v>
      </c>
      <c r="E1779" s="535" t="s">
        <v>4689</v>
      </c>
      <c r="F1779" s="357" t="s">
        <v>1423</v>
      </c>
      <c r="G1779" s="354" t="s">
        <v>64</v>
      </c>
      <c r="H1779" s="354" t="s">
        <v>41</v>
      </c>
      <c r="I1779" s="354" t="s">
        <v>643</v>
      </c>
      <c r="J1779" s="536">
        <v>1.0</v>
      </c>
      <c r="K1779" s="537"/>
      <c r="L1779" s="358"/>
      <c r="M1779" s="358"/>
      <c r="N1779" s="358"/>
      <c r="O1779" s="358"/>
      <c r="P1779" s="538"/>
      <c r="Q1779" s="360"/>
      <c r="R1779" s="539"/>
      <c r="S1779" s="535" t="s">
        <v>141</v>
      </c>
      <c r="T1779" s="354" t="s">
        <v>66</v>
      </c>
      <c r="U1779" s="354" t="s">
        <v>99</v>
      </c>
      <c r="V1779" s="354" t="s">
        <v>1984</v>
      </c>
      <c r="W1779" s="362"/>
      <c r="X1779" s="362"/>
      <c r="Y1779" s="540"/>
      <c r="Z1779" s="362"/>
      <c r="AA1779" s="363">
        <v>147500.0</v>
      </c>
      <c r="AB1779" s="363">
        <v>590000.0</v>
      </c>
      <c r="AC1779" s="541" t="s">
        <v>4690</v>
      </c>
      <c r="AD1779" s="354">
        <v>19986.0</v>
      </c>
      <c r="AE1779" s="360"/>
      <c r="AF1779" s="354" t="str">
        <f t="shared" si="1"/>
        <v>Buenos Aires, Argentina</v>
      </c>
      <c r="AG1779" s="542">
        <f t="shared" si="2"/>
        <v>1</v>
      </c>
      <c r="AH1779" s="543">
        <f t="shared" si="17"/>
        <v>0</v>
      </c>
      <c r="AI1779" s="543">
        <f t="shared" si="12"/>
        <v>0</v>
      </c>
      <c r="AJ1779" s="544">
        <f t="shared" si="5"/>
        <v>737500</v>
      </c>
      <c r="AK1779" s="544">
        <f t="shared" si="18"/>
        <v>737500</v>
      </c>
      <c r="AL1779" s="366"/>
      <c r="AM1779" s="366"/>
    </row>
    <row r="1780">
      <c r="A1780" s="354">
        <v>1771.0</v>
      </c>
      <c r="B1780" s="355">
        <v>45838.0</v>
      </c>
      <c r="C1780" s="360"/>
      <c r="D1780" s="534" t="s">
        <v>4691</v>
      </c>
      <c r="E1780" s="535" t="s">
        <v>4007</v>
      </c>
      <c r="F1780" s="357" t="s">
        <v>1423</v>
      </c>
      <c r="G1780" s="354" t="s">
        <v>64</v>
      </c>
      <c r="H1780" s="354" t="s">
        <v>547</v>
      </c>
      <c r="I1780" s="354" t="s">
        <v>643</v>
      </c>
      <c r="J1780" s="536">
        <v>1.0</v>
      </c>
      <c r="K1780" s="537"/>
      <c r="L1780" s="358"/>
      <c r="M1780" s="358"/>
      <c r="N1780" s="358"/>
      <c r="O1780" s="358"/>
      <c r="P1780" s="538"/>
      <c r="Q1780" s="360"/>
      <c r="R1780" s="539"/>
      <c r="S1780" s="535" t="s">
        <v>72</v>
      </c>
      <c r="T1780" s="354" t="s">
        <v>83</v>
      </c>
      <c r="U1780" s="354" t="s">
        <v>99</v>
      </c>
      <c r="V1780" s="354" t="s">
        <v>1984</v>
      </c>
      <c r="W1780" s="362"/>
      <c r="X1780" s="362"/>
      <c r="Y1780" s="540"/>
      <c r="Z1780" s="362"/>
      <c r="AA1780" s="363">
        <v>113575.0</v>
      </c>
      <c r="AB1780" s="363">
        <v>369118.0</v>
      </c>
      <c r="AC1780" s="541" t="s">
        <v>4692</v>
      </c>
      <c r="AD1780" s="354">
        <v>20010.0</v>
      </c>
      <c r="AE1780" s="360"/>
      <c r="AF1780" s="354" t="str">
        <f t="shared" si="1"/>
        <v>Capital Federal, Argentina</v>
      </c>
      <c r="AG1780" s="542">
        <f t="shared" si="2"/>
        <v>1</v>
      </c>
      <c r="AH1780" s="543">
        <f t="shared" si="17"/>
        <v>0</v>
      </c>
      <c r="AI1780" s="543">
        <f t="shared" si="12"/>
        <v>0</v>
      </c>
      <c r="AJ1780" s="544">
        <f t="shared" si="5"/>
        <v>482693</v>
      </c>
      <c r="AK1780" s="544">
        <f t="shared" si="18"/>
        <v>482693</v>
      </c>
      <c r="AL1780" s="366"/>
      <c r="AM1780" s="366"/>
    </row>
    <row r="1781">
      <c r="A1781" s="354">
        <v>1772.0</v>
      </c>
      <c r="B1781" s="355">
        <v>45838.0</v>
      </c>
      <c r="C1781" s="360"/>
      <c r="D1781" s="534" t="s">
        <v>2418</v>
      </c>
      <c r="E1781" s="535" t="s">
        <v>2419</v>
      </c>
      <c r="F1781" s="357" t="s">
        <v>4693</v>
      </c>
      <c r="G1781" s="354" t="s">
        <v>64</v>
      </c>
      <c r="H1781" s="354" t="s">
        <v>41</v>
      </c>
      <c r="I1781" s="354" t="s">
        <v>643</v>
      </c>
      <c r="J1781" s="358"/>
      <c r="K1781" s="537"/>
      <c r="L1781" s="358"/>
      <c r="M1781" s="358"/>
      <c r="N1781" s="358"/>
      <c r="O1781" s="358"/>
      <c r="P1781" s="538"/>
      <c r="Q1781" s="360"/>
      <c r="R1781" s="539"/>
      <c r="S1781" s="535" t="s">
        <v>65</v>
      </c>
      <c r="T1781" s="354" t="s">
        <v>497</v>
      </c>
      <c r="U1781" s="354" t="s">
        <v>99</v>
      </c>
      <c r="V1781" s="354" t="s">
        <v>1984</v>
      </c>
      <c r="W1781" s="362"/>
      <c r="X1781" s="362"/>
      <c r="Y1781" s="540"/>
      <c r="Z1781" s="362"/>
      <c r="AA1781" s="363">
        <v>0.0</v>
      </c>
      <c r="AB1781" s="363">
        <v>708000.0</v>
      </c>
      <c r="AC1781" s="541" t="s">
        <v>4694</v>
      </c>
      <c r="AD1781" s="354">
        <v>19906.0</v>
      </c>
      <c r="AE1781" s="360"/>
      <c r="AF1781" s="354" t="str">
        <f t="shared" si="1"/>
        <v>Tucumán, Argentina</v>
      </c>
      <c r="AG1781" s="542">
        <f t="shared" si="2"/>
        <v>0</v>
      </c>
      <c r="AH1781" s="543">
        <f t="shared" si="17"/>
        <v>0</v>
      </c>
      <c r="AI1781" s="543">
        <f t="shared" si="12"/>
        <v>0</v>
      </c>
      <c r="AJ1781" s="544">
        <f t="shared" si="5"/>
        <v>708000</v>
      </c>
      <c r="AK1781" s="544">
        <f t="shared" si="18"/>
        <v>708000</v>
      </c>
      <c r="AL1781" s="366"/>
      <c r="AM1781" s="366"/>
    </row>
    <row r="1782">
      <c r="A1782" s="354">
        <v>1773.0</v>
      </c>
      <c r="B1782" s="355">
        <v>45838.0</v>
      </c>
      <c r="C1782" s="360"/>
      <c r="D1782" s="534" t="s">
        <v>4695</v>
      </c>
      <c r="E1782" s="535" t="s">
        <v>4696</v>
      </c>
      <c r="F1782" s="357" t="s">
        <v>4697</v>
      </c>
      <c r="G1782" s="354" t="s">
        <v>64</v>
      </c>
      <c r="H1782" s="354" t="s">
        <v>41</v>
      </c>
      <c r="I1782" s="354" t="s">
        <v>643</v>
      </c>
      <c r="J1782" s="358"/>
      <c r="K1782" s="537"/>
      <c r="L1782" s="358"/>
      <c r="M1782" s="358"/>
      <c r="N1782" s="358"/>
      <c r="O1782" s="358"/>
      <c r="P1782" s="538"/>
      <c r="Q1782" s="360"/>
      <c r="R1782" s="539"/>
      <c r="S1782" s="535" t="s">
        <v>114</v>
      </c>
      <c r="T1782" s="354" t="s">
        <v>66</v>
      </c>
      <c r="U1782" s="354" t="s">
        <v>99</v>
      </c>
      <c r="V1782" s="354" t="s">
        <v>1984</v>
      </c>
      <c r="W1782" s="362"/>
      <c r="X1782" s="362"/>
      <c r="Y1782" s="540"/>
      <c r="Z1782" s="362"/>
      <c r="AA1782" s="363">
        <v>0.0</v>
      </c>
      <c r="AB1782" s="363">
        <v>402300.0</v>
      </c>
      <c r="AC1782" s="541" t="s">
        <v>4698</v>
      </c>
      <c r="AD1782" s="354">
        <v>20186.0</v>
      </c>
      <c r="AE1782" s="360"/>
      <c r="AF1782" s="354" t="str">
        <f t="shared" si="1"/>
        <v>Buenos Aires, Argentina</v>
      </c>
      <c r="AG1782" s="542">
        <f t="shared" si="2"/>
        <v>0</v>
      </c>
      <c r="AH1782" s="543">
        <f t="shared" si="17"/>
        <v>0</v>
      </c>
      <c r="AI1782" s="543">
        <f t="shared" si="12"/>
        <v>0</v>
      </c>
      <c r="AJ1782" s="544">
        <f t="shared" si="5"/>
        <v>402300</v>
      </c>
      <c r="AK1782" s="544">
        <f t="shared" si="18"/>
        <v>402300</v>
      </c>
      <c r="AL1782" s="366"/>
      <c r="AM1782" s="366"/>
    </row>
    <row r="1783">
      <c r="A1783" s="354">
        <v>1774.0</v>
      </c>
      <c r="B1783" s="355">
        <v>45838.0</v>
      </c>
      <c r="C1783" s="360"/>
      <c r="D1783" s="534" t="s">
        <v>1514</v>
      </c>
      <c r="E1783" s="535" t="s">
        <v>2722</v>
      </c>
      <c r="F1783" s="357" t="s">
        <v>1878</v>
      </c>
      <c r="G1783" s="354" t="s">
        <v>64</v>
      </c>
      <c r="H1783" s="354" t="s">
        <v>41</v>
      </c>
      <c r="I1783" s="354" t="s">
        <v>643</v>
      </c>
      <c r="J1783" s="358"/>
      <c r="K1783" s="537"/>
      <c r="L1783" s="358"/>
      <c r="M1783" s="358"/>
      <c r="N1783" s="359">
        <v>1.0</v>
      </c>
      <c r="O1783" s="358"/>
      <c r="P1783" s="538"/>
      <c r="Q1783" s="360"/>
      <c r="R1783" s="539"/>
      <c r="S1783" s="535" t="s">
        <v>65</v>
      </c>
      <c r="T1783" s="354" t="s">
        <v>66</v>
      </c>
      <c r="U1783" s="354" t="s">
        <v>99</v>
      </c>
      <c r="V1783" s="354" t="s">
        <v>1984</v>
      </c>
      <c r="W1783" s="362"/>
      <c r="X1783" s="362"/>
      <c r="Y1783" s="540"/>
      <c r="Z1783" s="362"/>
      <c r="AA1783" s="363">
        <v>147500.0</v>
      </c>
      <c r="AB1783" s="363">
        <v>663750.0</v>
      </c>
      <c r="AC1783" s="541" t="s">
        <v>4699</v>
      </c>
      <c r="AD1783" s="354">
        <v>19936.0</v>
      </c>
      <c r="AE1783" s="360"/>
      <c r="AF1783" s="354" t="str">
        <f t="shared" si="1"/>
        <v>Buenos Aires, Argentina</v>
      </c>
      <c r="AG1783" s="542">
        <f t="shared" si="2"/>
        <v>1</v>
      </c>
      <c r="AH1783" s="543">
        <f t="shared" si="17"/>
        <v>0</v>
      </c>
      <c r="AI1783" s="543">
        <f t="shared" si="12"/>
        <v>0</v>
      </c>
      <c r="AJ1783" s="544">
        <f t="shared" si="5"/>
        <v>811250</v>
      </c>
      <c r="AK1783" s="544">
        <f t="shared" si="18"/>
        <v>811250</v>
      </c>
      <c r="AL1783" s="366"/>
      <c r="AM1783" s="366"/>
    </row>
    <row r="1784">
      <c r="A1784" s="354">
        <v>1775.0</v>
      </c>
      <c r="B1784" s="355">
        <v>45838.0</v>
      </c>
      <c r="C1784" s="360"/>
      <c r="D1784" s="534" t="s">
        <v>1514</v>
      </c>
      <c r="E1784" s="535" t="s">
        <v>2722</v>
      </c>
      <c r="F1784" s="357" t="s">
        <v>3502</v>
      </c>
      <c r="G1784" s="354" t="s">
        <v>64</v>
      </c>
      <c r="H1784" s="354" t="s">
        <v>41</v>
      </c>
      <c r="I1784" s="354" t="s">
        <v>643</v>
      </c>
      <c r="J1784" s="358"/>
      <c r="K1784" s="537"/>
      <c r="L1784" s="358"/>
      <c r="M1784" s="358"/>
      <c r="N1784" s="358"/>
      <c r="O1784" s="358"/>
      <c r="P1784" s="538"/>
      <c r="Q1784" s="360"/>
      <c r="R1784" s="539"/>
      <c r="S1784" s="535" t="s">
        <v>65</v>
      </c>
      <c r="T1784" s="354" t="s">
        <v>66</v>
      </c>
      <c r="U1784" s="354" t="s">
        <v>99</v>
      </c>
      <c r="V1784" s="354" t="s">
        <v>1984</v>
      </c>
      <c r="W1784" s="363">
        <v>295000.0</v>
      </c>
      <c r="X1784" s="363">
        <v>7875000.0</v>
      </c>
      <c r="Y1784" s="540"/>
      <c r="Z1784" s="362"/>
      <c r="AA1784" s="363">
        <v>0.0</v>
      </c>
      <c r="AB1784" s="363">
        <v>0.0</v>
      </c>
      <c r="AC1784" s="541" t="s">
        <v>4699</v>
      </c>
      <c r="AD1784" s="354">
        <v>19936.0</v>
      </c>
      <c r="AE1784" s="360"/>
      <c r="AF1784" s="354" t="str">
        <f t="shared" si="1"/>
        <v>Buenos Aires, Argentina</v>
      </c>
      <c r="AG1784" s="542">
        <f t="shared" si="2"/>
        <v>0</v>
      </c>
      <c r="AH1784" s="543">
        <f t="shared" si="17"/>
        <v>8170000</v>
      </c>
      <c r="AI1784" s="543">
        <f t="shared" si="12"/>
        <v>0</v>
      </c>
      <c r="AJ1784" s="544">
        <f t="shared" si="5"/>
        <v>0</v>
      </c>
      <c r="AK1784" s="544">
        <f t="shared" si="18"/>
        <v>8170000</v>
      </c>
      <c r="AL1784" s="366"/>
      <c r="AM1784" s="366"/>
    </row>
    <row r="1785">
      <c r="A1785" s="474">
        <v>1776.0</v>
      </c>
      <c r="B1785" s="475">
        <v>45853.0</v>
      </c>
      <c r="C1785" s="476"/>
      <c r="D1785" s="477" t="s">
        <v>4581</v>
      </c>
      <c r="E1785" s="478" t="s">
        <v>4582</v>
      </c>
      <c r="F1785" s="479" t="s">
        <v>3490</v>
      </c>
      <c r="G1785" s="474" t="s">
        <v>64</v>
      </c>
      <c r="H1785" s="474" t="s">
        <v>41</v>
      </c>
      <c r="I1785" s="474" t="s">
        <v>42</v>
      </c>
      <c r="J1785" s="482"/>
      <c r="K1785" s="481"/>
      <c r="L1785" s="482"/>
      <c r="M1785" s="482"/>
      <c r="N1785" s="482"/>
      <c r="O1785" s="482"/>
      <c r="P1785" s="494">
        <v>1.0</v>
      </c>
      <c r="Q1785" s="476"/>
      <c r="R1785" s="484"/>
      <c r="S1785" s="478" t="s">
        <v>43</v>
      </c>
      <c r="T1785" s="474" t="s">
        <v>497</v>
      </c>
      <c r="U1785" s="474" t="s">
        <v>99</v>
      </c>
      <c r="V1785" s="474" t="s">
        <v>2922</v>
      </c>
      <c r="W1785" s="485"/>
      <c r="X1785" s="485"/>
      <c r="Y1785" s="486"/>
      <c r="Z1785" s="485"/>
      <c r="AA1785" s="487">
        <v>149000.0</v>
      </c>
      <c r="AB1785" s="487">
        <v>670500.0</v>
      </c>
      <c r="AC1785" s="488" t="s">
        <v>4700</v>
      </c>
      <c r="AD1785" s="474">
        <v>19412.0</v>
      </c>
      <c r="AE1785" s="476"/>
      <c r="AF1785" s="474" t="str">
        <f t="shared" si="1"/>
        <v>Tucumán, Argentina</v>
      </c>
      <c r="AG1785" s="547">
        <f t="shared" si="2"/>
        <v>1</v>
      </c>
      <c r="AH1785" s="490">
        <f t="shared" si="17"/>
        <v>0</v>
      </c>
      <c r="AI1785" s="490">
        <f t="shared" si="12"/>
        <v>0</v>
      </c>
      <c r="AJ1785" s="491">
        <f t="shared" si="5"/>
        <v>819500</v>
      </c>
      <c r="AK1785" s="491">
        <f t="shared" si="18"/>
        <v>819500</v>
      </c>
      <c r="AL1785" s="492"/>
      <c r="AM1785" s="548" t="s">
        <v>4701</v>
      </c>
    </row>
    <row r="1786">
      <c r="A1786" s="474">
        <v>1777.0</v>
      </c>
      <c r="B1786" s="475">
        <v>45854.0</v>
      </c>
      <c r="C1786" s="476"/>
      <c r="D1786" s="477" t="s">
        <v>4314</v>
      </c>
      <c r="E1786" s="478" t="s">
        <v>3350</v>
      </c>
      <c r="F1786" s="479" t="s">
        <v>2052</v>
      </c>
      <c r="G1786" s="474" t="s">
        <v>64</v>
      </c>
      <c r="H1786" s="474" t="s">
        <v>41</v>
      </c>
      <c r="I1786" s="474" t="s">
        <v>643</v>
      </c>
      <c r="J1786" s="480">
        <v>2.0</v>
      </c>
      <c r="K1786" s="493">
        <v>1.0</v>
      </c>
      <c r="L1786" s="482"/>
      <c r="M1786" s="482"/>
      <c r="N1786" s="482"/>
      <c r="O1786" s="482"/>
      <c r="P1786" s="483"/>
      <c r="Q1786" s="476"/>
      <c r="R1786" s="484"/>
      <c r="S1786" s="478" t="s">
        <v>65</v>
      </c>
      <c r="T1786" s="474" t="s">
        <v>66</v>
      </c>
      <c r="U1786" s="474" t="s">
        <v>99</v>
      </c>
      <c r="V1786" s="474" t="s">
        <v>1984</v>
      </c>
      <c r="W1786" s="485"/>
      <c r="X1786" s="485"/>
      <c r="Y1786" s="486"/>
      <c r="Z1786" s="485"/>
      <c r="AA1786" s="487">
        <v>409750.0</v>
      </c>
      <c r="AB1786" s="487">
        <v>1536563.0</v>
      </c>
      <c r="AC1786" s="488" t="s">
        <v>4702</v>
      </c>
      <c r="AD1786" s="474">
        <v>20240.0</v>
      </c>
      <c r="AE1786" s="476"/>
      <c r="AF1786" s="474" t="str">
        <f t="shared" si="1"/>
        <v>Buenos Aires, Argentina</v>
      </c>
      <c r="AG1786" s="547">
        <f t="shared" si="2"/>
        <v>3</v>
      </c>
      <c r="AH1786" s="490">
        <f t="shared" si="17"/>
        <v>0</v>
      </c>
      <c r="AI1786" s="490">
        <f t="shared" si="12"/>
        <v>0</v>
      </c>
      <c r="AJ1786" s="491">
        <f t="shared" si="5"/>
        <v>1946313</v>
      </c>
      <c r="AK1786" s="491">
        <f t="shared" si="18"/>
        <v>1946313</v>
      </c>
      <c r="AL1786" s="492"/>
      <c r="AM1786" s="492"/>
    </row>
    <row r="1787">
      <c r="A1787" s="474">
        <v>1778.0</v>
      </c>
      <c r="B1787" s="475">
        <v>45854.0</v>
      </c>
      <c r="C1787" s="476"/>
      <c r="D1787" s="477" t="s">
        <v>2365</v>
      </c>
      <c r="E1787" s="478" t="s">
        <v>2366</v>
      </c>
      <c r="F1787" s="479" t="s">
        <v>1423</v>
      </c>
      <c r="G1787" s="474" t="s">
        <v>64</v>
      </c>
      <c r="H1787" s="474" t="s">
        <v>41</v>
      </c>
      <c r="I1787" s="474" t="s">
        <v>643</v>
      </c>
      <c r="J1787" s="480">
        <v>1.0</v>
      </c>
      <c r="K1787" s="481"/>
      <c r="L1787" s="482"/>
      <c r="M1787" s="482"/>
      <c r="N1787" s="482"/>
      <c r="O1787" s="482"/>
      <c r="P1787" s="483"/>
      <c r="Q1787" s="476"/>
      <c r="R1787" s="484"/>
      <c r="S1787" s="478" t="s">
        <v>65</v>
      </c>
      <c r="T1787" s="474" t="s">
        <v>83</v>
      </c>
      <c r="U1787" s="474" t="s">
        <v>99</v>
      </c>
      <c r="V1787" s="474" t="s">
        <v>1984</v>
      </c>
      <c r="W1787" s="485"/>
      <c r="X1787" s="485"/>
      <c r="Y1787" s="486"/>
      <c r="Z1787" s="485"/>
      <c r="AA1787" s="487">
        <v>149000.0</v>
      </c>
      <c r="AB1787" s="487">
        <v>558750.0</v>
      </c>
      <c r="AC1787" s="488" t="s">
        <v>4703</v>
      </c>
      <c r="AD1787" s="474">
        <v>20262.0</v>
      </c>
      <c r="AE1787" s="476"/>
      <c r="AF1787" s="474" t="str">
        <f t="shared" si="1"/>
        <v>Capital Federal, Argentina</v>
      </c>
      <c r="AG1787" s="547">
        <f t="shared" si="2"/>
        <v>1</v>
      </c>
      <c r="AH1787" s="490">
        <f t="shared" si="17"/>
        <v>0</v>
      </c>
      <c r="AI1787" s="490">
        <f t="shared" si="12"/>
        <v>0</v>
      </c>
      <c r="AJ1787" s="491">
        <f t="shared" si="5"/>
        <v>707750</v>
      </c>
      <c r="AK1787" s="491">
        <f t="shared" si="18"/>
        <v>707750</v>
      </c>
      <c r="AL1787" s="492"/>
      <c r="AM1787" s="492"/>
    </row>
    <row r="1788">
      <c r="A1788" s="474">
        <v>1779.0</v>
      </c>
      <c r="B1788" s="475">
        <v>45855.0</v>
      </c>
      <c r="C1788" s="476"/>
      <c r="D1788" s="477" t="s">
        <v>3814</v>
      </c>
      <c r="E1788" s="478" t="s">
        <v>1877</v>
      </c>
      <c r="F1788" s="479" t="s">
        <v>1415</v>
      </c>
      <c r="G1788" s="474" t="s">
        <v>64</v>
      </c>
      <c r="H1788" s="474" t="s">
        <v>41</v>
      </c>
      <c r="I1788" s="474" t="s">
        <v>643</v>
      </c>
      <c r="J1788" s="482"/>
      <c r="K1788" s="493">
        <v>1.0</v>
      </c>
      <c r="L1788" s="482"/>
      <c r="M1788" s="482"/>
      <c r="N1788" s="482"/>
      <c r="O1788" s="482"/>
      <c r="P1788" s="483"/>
      <c r="Q1788" s="476"/>
      <c r="R1788" s="484"/>
      <c r="S1788" s="478" t="s">
        <v>189</v>
      </c>
      <c r="T1788" s="474" t="s">
        <v>66</v>
      </c>
      <c r="U1788" s="474" t="s">
        <v>1259</v>
      </c>
      <c r="V1788" s="474" t="s">
        <v>1984</v>
      </c>
      <c r="W1788" s="485"/>
      <c r="X1788" s="485"/>
      <c r="Y1788" s="486"/>
      <c r="Z1788" s="485"/>
      <c r="AA1788" s="487">
        <v>111750.0</v>
      </c>
      <c r="AB1788" s="487">
        <v>469063.0</v>
      </c>
      <c r="AC1788" s="488" t="s">
        <v>4704</v>
      </c>
      <c r="AD1788" s="474">
        <v>20276.0</v>
      </c>
      <c r="AE1788" s="476"/>
      <c r="AF1788" s="474" t="str">
        <f t="shared" si="1"/>
        <v>Buenos Aires, Argentina</v>
      </c>
      <c r="AG1788" s="547">
        <f t="shared" si="2"/>
        <v>1</v>
      </c>
      <c r="AH1788" s="490">
        <f t="shared" si="17"/>
        <v>0</v>
      </c>
      <c r="AI1788" s="490">
        <f t="shared" si="12"/>
        <v>0</v>
      </c>
      <c r="AJ1788" s="491">
        <f t="shared" si="5"/>
        <v>580813</v>
      </c>
      <c r="AK1788" s="491">
        <f t="shared" si="18"/>
        <v>580813</v>
      </c>
      <c r="AL1788" s="492"/>
      <c r="AM1788" s="492"/>
    </row>
    <row r="1789">
      <c r="A1789" s="474">
        <v>1780.0</v>
      </c>
      <c r="B1789" s="475">
        <v>45856.0</v>
      </c>
      <c r="C1789" s="476"/>
      <c r="D1789" s="477" t="s">
        <v>4078</v>
      </c>
      <c r="E1789" s="478" t="s">
        <v>2707</v>
      </c>
      <c r="F1789" s="479" t="s">
        <v>4705</v>
      </c>
      <c r="G1789" s="474" t="s">
        <v>64</v>
      </c>
      <c r="H1789" s="474" t="s">
        <v>41</v>
      </c>
      <c r="I1789" s="474" t="s">
        <v>643</v>
      </c>
      <c r="J1789" s="482"/>
      <c r="K1789" s="481"/>
      <c r="L1789" s="482"/>
      <c r="M1789" s="482"/>
      <c r="N1789" s="482"/>
      <c r="O1789" s="482"/>
      <c r="P1789" s="483"/>
      <c r="Q1789" s="476"/>
      <c r="R1789" s="484"/>
      <c r="S1789" s="478" t="s">
        <v>189</v>
      </c>
      <c r="T1789" s="474" t="s">
        <v>73</v>
      </c>
      <c r="U1789" s="474" t="s">
        <v>99</v>
      </c>
      <c r="V1789" s="474" t="s">
        <v>1984</v>
      </c>
      <c r="W1789" s="485"/>
      <c r="X1789" s="485"/>
      <c r="Y1789" s="486"/>
      <c r="Z1789" s="485"/>
      <c r="AA1789" s="487">
        <v>0.0</v>
      </c>
      <c r="AB1789" s="487">
        <v>379950.0</v>
      </c>
      <c r="AC1789" s="488" t="s">
        <v>4706</v>
      </c>
      <c r="AD1789" s="474">
        <v>20172.0</v>
      </c>
      <c r="AE1789" s="476"/>
      <c r="AF1789" s="474" t="str">
        <f t="shared" si="1"/>
        <v>Tierra de Fuego, Argentina</v>
      </c>
      <c r="AG1789" s="547">
        <f t="shared" si="2"/>
        <v>0</v>
      </c>
      <c r="AH1789" s="490">
        <f t="shared" si="17"/>
        <v>0</v>
      </c>
      <c r="AI1789" s="490">
        <f t="shared" si="12"/>
        <v>0</v>
      </c>
      <c r="AJ1789" s="491">
        <f t="shared" si="5"/>
        <v>379950</v>
      </c>
      <c r="AK1789" s="491">
        <f t="shared" si="18"/>
        <v>379950</v>
      </c>
      <c r="AL1789" s="492"/>
      <c r="AM1789" s="492"/>
    </row>
    <row r="1790">
      <c r="A1790" s="474">
        <v>1781.0</v>
      </c>
      <c r="B1790" s="475">
        <v>45856.0</v>
      </c>
      <c r="C1790" s="476"/>
      <c r="D1790" s="477" t="s">
        <v>4078</v>
      </c>
      <c r="E1790" s="478" t="s">
        <v>2707</v>
      </c>
      <c r="F1790" s="479" t="s">
        <v>3341</v>
      </c>
      <c r="G1790" s="474" t="s">
        <v>64</v>
      </c>
      <c r="H1790" s="474" t="s">
        <v>41</v>
      </c>
      <c r="I1790" s="474" t="s">
        <v>643</v>
      </c>
      <c r="J1790" s="482"/>
      <c r="K1790" s="481"/>
      <c r="L1790" s="482"/>
      <c r="M1790" s="482"/>
      <c r="N1790" s="482"/>
      <c r="O1790" s="482"/>
      <c r="P1790" s="483"/>
      <c r="Q1790" s="476"/>
      <c r="R1790" s="484"/>
      <c r="S1790" s="478" t="s">
        <v>189</v>
      </c>
      <c r="T1790" s="474" t="s">
        <v>73</v>
      </c>
      <c r="U1790" s="474" t="s">
        <v>99</v>
      </c>
      <c r="V1790" s="474" t="s">
        <v>1984</v>
      </c>
      <c r="W1790" s="485"/>
      <c r="X1790" s="485"/>
      <c r="Y1790" s="486"/>
      <c r="Z1790" s="485"/>
      <c r="AA1790" s="487">
        <v>0.0</v>
      </c>
      <c r="AB1790" s="487">
        <v>759900.0</v>
      </c>
      <c r="AC1790" s="488" t="s">
        <v>4706</v>
      </c>
      <c r="AD1790" s="474">
        <v>20172.0</v>
      </c>
      <c r="AE1790" s="476"/>
      <c r="AF1790" s="474" t="str">
        <f t="shared" si="1"/>
        <v>Tierra de Fuego, Argentina</v>
      </c>
      <c r="AG1790" s="547">
        <f t="shared" si="2"/>
        <v>0</v>
      </c>
      <c r="AH1790" s="490">
        <f t="shared" si="17"/>
        <v>0</v>
      </c>
      <c r="AI1790" s="490">
        <f t="shared" si="12"/>
        <v>0</v>
      </c>
      <c r="AJ1790" s="491">
        <f t="shared" si="5"/>
        <v>759900</v>
      </c>
      <c r="AK1790" s="491">
        <f t="shared" si="18"/>
        <v>759900</v>
      </c>
      <c r="AL1790" s="492"/>
      <c r="AM1790" s="492"/>
    </row>
    <row r="1791">
      <c r="A1791" s="474">
        <v>1782.0</v>
      </c>
      <c r="B1791" s="475">
        <v>45859.0</v>
      </c>
      <c r="C1791" s="476"/>
      <c r="D1791" s="477" t="s">
        <v>4707</v>
      </c>
      <c r="E1791" s="478" t="s">
        <v>4708</v>
      </c>
      <c r="F1791" s="479" t="s">
        <v>1415</v>
      </c>
      <c r="G1791" s="474" t="s">
        <v>64</v>
      </c>
      <c r="H1791" s="474" t="s">
        <v>41</v>
      </c>
      <c r="I1791" s="474" t="s">
        <v>643</v>
      </c>
      <c r="J1791" s="482"/>
      <c r="K1791" s="493">
        <v>1.0</v>
      </c>
      <c r="L1791" s="482"/>
      <c r="M1791" s="482"/>
      <c r="N1791" s="482"/>
      <c r="O1791" s="482"/>
      <c r="P1791" s="483"/>
      <c r="Q1791" s="476"/>
      <c r="R1791" s="484"/>
      <c r="S1791" s="478" t="s">
        <v>98</v>
      </c>
      <c r="T1791" s="474" t="s">
        <v>66</v>
      </c>
      <c r="U1791" s="474" t="s">
        <v>99</v>
      </c>
      <c r="V1791" s="474" t="s">
        <v>1984</v>
      </c>
      <c r="W1791" s="485"/>
      <c r="X1791" s="485"/>
      <c r="Y1791" s="486"/>
      <c r="Z1791" s="485"/>
      <c r="AA1791" s="487">
        <v>111750.0</v>
      </c>
      <c r="AB1791" s="487">
        <v>363188.0</v>
      </c>
      <c r="AC1791" s="488" t="s">
        <v>4709</v>
      </c>
      <c r="AD1791" s="474">
        <v>20244.0</v>
      </c>
      <c r="AE1791" s="476"/>
      <c r="AF1791" s="474" t="str">
        <f t="shared" si="1"/>
        <v>Buenos Aires, Argentina</v>
      </c>
      <c r="AG1791" s="547">
        <f t="shared" si="2"/>
        <v>1</v>
      </c>
      <c r="AH1791" s="490">
        <f t="shared" si="17"/>
        <v>0</v>
      </c>
      <c r="AI1791" s="490">
        <f t="shared" si="12"/>
        <v>0</v>
      </c>
      <c r="AJ1791" s="491">
        <f t="shared" si="5"/>
        <v>474938</v>
      </c>
      <c r="AK1791" s="491">
        <f t="shared" si="18"/>
        <v>474938</v>
      </c>
      <c r="AL1791" s="492"/>
      <c r="AM1791" s="492"/>
    </row>
    <row r="1792">
      <c r="A1792" s="474">
        <v>1783.0</v>
      </c>
      <c r="B1792" s="475">
        <v>45859.0</v>
      </c>
      <c r="C1792" s="476"/>
      <c r="D1792" s="477" t="s">
        <v>4710</v>
      </c>
      <c r="E1792" s="478" t="s">
        <v>4711</v>
      </c>
      <c r="F1792" s="479" t="s">
        <v>2237</v>
      </c>
      <c r="G1792" s="474" t="s">
        <v>40</v>
      </c>
      <c r="H1792" s="474" t="s">
        <v>547</v>
      </c>
      <c r="I1792" s="474" t="s">
        <v>42</v>
      </c>
      <c r="J1792" s="480">
        <v>1.0</v>
      </c>
      <c r="K1792" s="493">
        <v>2.0</v>
      </c>
      <c r="L1792" s="482"/>
      <c r="M1792" s="494">
        <v>1.0</v>
      </c>
      <c r="N1792" s="482"/>
      <c r="O1792" s="482"/>
      <c r="P1792" s="483"/>
      <c r="Q1792" s="476"/>
      <c r="R1792" s="484"/>
      <c r="S1792" s="478" t="s">
        <v>89</v>
      </c>
      <c r="T1792" s="474" t="s">
        <v>66</v>
      </c>
      <c r="U1792" s="474" t="s">
        <v>4456</v>
      </c>
      <c r="V1792" s="474" t="s">
        <v>2922</v>
      </c>
      <c r="W1792" s="485"/>
      <c r="X1792" s="485"/>
      <c r="Y1792" s="486"/>
      <c r="Z1792" s="485"/>
      <c r="AA1792" s="487">
        <v>286826.0</v>
      </c>
      <c r="AB1792" s="487">
        <v>1147304.0</v>
      </c>
      <c r="AC1792" s="488" t="s">
        <v>4712</v>
      </c>
      <c r="AD1792" s="474">
        <v>20180.0</v>
      </c>
      <c r="AE1792" s="476"/>
      <c r="AF1792" s="474" t="str">
        <f t="shared" si="1"/>
        <v>Buenos Aires, Argentina</v>
      </c>
      <c r="AG1792" s="547">
        <f t="shared" si="2"/>
        <v>4</v>
      </c>
      <c r="AH1792" s="490">
        <f t="shared" si="17"/>
        <v>0</v>
      </c>
      <c r="AI1792" s="490">
        <f t="shared" si="12"/>
        <v>0</v>
      </c>
      <c r="AJ1792" s="491">
        <f t="shared" si="5"/>
        <v>1434130</v>
      </c>
      <c r="AK1792" s="491">
        <f t="shared" si="18"/>
        <v>1434130</v>
      </c>
      <c r="AL1792" s="492"/>
      <c r="AM1792" s="492"/>
    </row>
    <row r="1793">
      <c r="A1793" s="474">
        <v>1784.0</v>
      </c>
      <c r="B1793" s="475">
        <v>45861.0</v>
      </c>
      <c r="C1793" s="476"/>
      <c r="D1793" s="477" t="s">
        <v>4713</v>
      </c>
      <c r="E1793" s="478" t="s">
        <v>4714</v>
      </c>
      <c r="F1793" s="479" t="s">
        <v>2237</v>
      </c>
      <c r="G1793" s="474" t="s">
        <v>40</v>
      </c>
      <c r="H1793" s="474" t="s">
        <v>547</v>
      </c>
      <c r="I1793" s="474" t="s">
        <v>42</v>
      </c>
      <c r="J1793" s="480">
        <v>1.0</v>
      </c>
      <c r="K1793" s="493">
        <v>2.0</v>
      </c>
      <c r="L1793" s="482"/>
      <c r="M1793" s="494">
        <v>1.0</v>
      </c>
      <c r="N1793" s="482"/>
      <c r="O1793" s="482"/>
      <c r="P1793" s="483"/>
      <c r="Q1793" s="476"/>
      <c r="R1793" s="484"/>
      <c r="S1793" s="478" t="s">
        <v>51</v>
      </c>
      <c r="T1793" s="474" t="s">
        <v>66</v>
      </c>
      <c r="U1793" s="474" t="s">
        <v>4456</v>
      </c>
      <c r="V1793" s="474" t="s">
        <v>4626</v>
      </c>
      <c r="W1793" s="485"/>
      <c r="X1793" s="485"/>
      <c r="Y1793" s="486"/>
      <c r="Z1793" s="485"/>
      <c r="AA1793" s="487">
        <v>286826.0</v>
      </c>
      <c r="AB1793" s="487">
        <v>1147304.0</v>
      </c>
      <c r="AC1793" s="488" t="s">
        <v>4715</v>
      </c>
      <c r="AD1793" s="474">
        <v>20204.0</v>
      </c>
      <c r="AE1793" s="476"/>
      <c r="AF1793" s="474" t="str">
        <f t="shared" si="1"/>
        <v>Buenos Aires, Argentina</v>
      </c>
      <c r="AG1793" s="547">
        <f t="shared" si="2"/>
        <v>4</v>
      </c>
      <c r="AH1793" s="490">
        <f t="shared" si="17"/>
        <v>0</v>
      </c>
      <c r="AI1793" s="490">
        <f t="shared" si="12"/>
        <v>0</v>
      </c>
      <c r="AJ1793" s="491">
        <f t="shared" si="5"/>
        <v>1434130</v>
      </c>
      <c r="AK1793" s="491">
        <f t="shared" si="18"/>
        <v>1434130</v>
      </c>
      <c r="AL1793" s="492"/>
      <c r="AM1793" s="492"/>
    </row>
    <row r="1794">
      <c r="A1794" s="474">
        <v>1785.0</v>
      </c>
      <c r="B1794" s="475">
        <v>45862.0</v>
      </c>
      <c r="C1794" s="476"/>
      <c r="D1794" s="477" t="s">
        <v>4716</v>
      </c>
      <c r="E1794" s="478" t="s">
        <v>4717</v>
      </c>
      <c r="F1794" s="479" t="s">
        <v>1415</v>
      </c>
      <c r="G1794" s="474" t="s">
        <v>64</v>
      </c>
      <c r="H1794" s="474" t="s">
        <v>41</v>
      </c>
      <c r="I1794" s="474" t="s">
        <v>643</v>
      </c>
      <c r="J1794" s="482"/>
      <c r="K1794" s="493">
        <v>1.0</v>
      </c>
      <c r="L1794" s="482"/>
      <c r="M1794" s="482"/>
      <c r="N1794" s="482"/>
      <c r="O1794" s="482"/>
      <c r="P1794" s="483"/>
      <c r="Q1794" s="476"/>
      <c r="R1794" s="484"/>
      <c r="S1794" s="478" t="s">
        <v>137</v>
      </c>
      <c r="T1794" s="474" t="s">
        <v>66</v>
      </c>
      <c r="U1794" s="474" t="s">
        <v>99</v>
      </c>
      <c r="V1794" s="474" t="s">
        <v>1984</v>
      </c>
      <c r="W1794" s="485"/>
      <c r="X1794" s="485"/>
      <c r="Y1794" s="486"/>
      <c r="Z1794" s="485"/>
      <c r="AA1794" s="487">
        <v>111750.0</v>
      </c>
      <c r="AB1794" s="487">
        <v>363188.0</v>
      </c>
      <c r="AC1794" s="488" t="s">
        <v>4718</v>
      </c>
      <c r="AD1794" s="474">
        <v>20406.0</v>
      </c>
      <c r="AE1794" s="476"/>
      <c r="AF1794" s="474" t="str">
        <f t="shared" si="1"/>
        <v>Buenos Aires, Argentina</v>
      </c>
      <c r="AG1794" s="547">
        <f t="shared" si="2"/>
        <v>1</v>
      </c>
      <c r="AH1794" s="490">
        <f t="shared" si="17"/>
        <v>0</v>
      </c>
      <c r="AI1794" s="490">
        <f t="shared" si="12"/>
        <v>0</v>
      </c>
      <c r="AJ1794" s="491">
        <f t="shared" si="5"/>
        <v>474938</v>
      </c>
      <c r="AK1794" s="491">
        <f t="shared" si="18"/>
        <v>474938</v>
      </c>
      <c r="AL1794" s="492"/>
      <c r="AM1794" s="492"/>
    </row>
    <row r="1795">
      <c r="A1795" s="474">
        <v>1786.0</v>
      </c>
      <c r="B1795" s="475">
        <v>45862.0</v>
      </c>
      <c r="C1795" s="476"/>
      <c r="D1795" s="477" t="s">
        <v>4719</v>
      </c>
      <c r="E1795" s="478" t="s">
        <v>4720</v>
      </c>
      <c r="F1795" s="479" t="s">
        <v>4721</v>
      </c>
      <c r="G1795" s="474" t="s">
        <v>40</v>
      </c>
      <c r="H1795" s="474" t="s">
        <v>41</v>
      </c>
      <c r="I1795" s="474" t="s">
        <v>643</v>
      </c>
      <c r="J1795" s="480">
        <v>3.0</v>
      </c>
      <c r="K1795" s="493">
        <v>3.0</v>
      </c>
      <c r="L1795" s="549">
        <v>1.0</v>
      </c>
      <c r="M1795" s="494">
        <v>1.0</v>
      </c>
      <c r="N1795" s="482"/>
      <c r="O1795" s="482"/>
      <c r="P1795" s="483"/>
      <c r="Q1795" s="476"/>
      <c r="R1795" s="484"/>
      <c r="S1795" s="478" t="s">
        <v>89</v>
      </c>
      <c r="T1795" s="474" t="s">
        <v>66</v>
      </c>
      <c r="U1795" s="474" t="s">
        <v>342</v>
      </c>
      <c r="V1795" s="474" t="s">
        <v>2935</v>
      </c>
      <c r="W1795" s="485"/>
      <c r="X1795" s="485"/>
      <c r="Y1795" s="486"/>
      <c r="Z1795" s="485"/>
      <c r="AA1795" s="487">
        <v>834400.0</v>
      </c>
      <c r="AB1795" s="487">
        <v>3129000.0</v>
      </c>
      <c r="AC1795" s="488" t="s">
        <v>4722</v>
      </c>
      <c r="AD1795" s="474">
        <v>20372.0</v>
      </c>
      <c r="AE1795" s="476"/>
      <c r="AF1795" s="474" t="str">
        <f t="shared" si="1"/>
        <v>Buenos Aires, Argentina</v>
      </c>
      <c r="AG1795" s="547">
        <f t="shared" si="2"/>
        <v>8</v>
      </c>
      <c r="AH1795" s="490">
        <f t="shared" si="17"/>
        <v>0</v>
      </c>
      <c r="AI1795" s="490">
        <f t="shared" si="12"/>
        <v>0</v>
      </c>
      <c r="AJ1795" s="491">
        <f t="shared" si="5"/>
        <v>3963400</v>
      </c>
      <c r="AK1795" s="491">
        <f t="shared" si="18"/>
        <v>3963400</v>
      </c>
      <c r="AL1795" s="492"/>
      <c r="AM1795" s="492"/>
    </row>
    <row r="1796">
      <c r="A1796" s="474">
        <v>1787.0</v>
      </c>
      <c r="B1796" s="475">
        <v>45862.0</v>
      </c>
      <c r="C1796" s="476"/>
      <c r="D1796" s="477" t="s">
        <v>4581</v>
      </c>
      <c r="E1796" s="478" t="s">
        <v>4582</v>
      </c>
      <c r="F1796" s="479" t="s">
        <v>4723</v>
      </c>
      <c r="G1796" s="474" t="s">
        <v>64</v>
      </c>
      <c r="H1796" s="474" t="s">
        <v>41</v>
      </c>
      <c r="I1796" s="474" t="s">
        <v>643</v>
      </c>
      <c r="J1796" s="482"/>
      <c r="K1796" s="481"/>
      <c r="L1796" s="482"/>
      <c r="M1796" s="482"/>
      <c r="N1796" s="482"/>
      <c r="O1796" s="482"/>
      <c r="P1796" s="483"/>
      <c r="Q1796" s="476"/>
      <c r="R1796" s="484"/>
      <c r="S1796" s="478" t="s">
        <v>43</v>
      </c>
      <c r="T1796" s="474" t="s">
        <v>497</v>
      </c>
      <c r="U1796" s="474" t="s">
        <v>99</v>
      </c>
      <c r="V1796" s="474" t="s">
        <v>1984</v>
      </c>
      <c r="W1796" s="487">
        <v>126429.0</v>
      </c>
      <c r="X1796" s="487">
        <v>568930.0</v>
      </c>
      <c r="Y1796" s="486"/>
      <c r="Z1796" s="485"/>
      <c r="AA1796" s="487">
        <v>0.0</v>
      </c>
      <c r="AB1796" s="487">
        <v>0.0</v>
      </c>
      <c r="AC1796" s="488" t="s">
        <v>4724</v>
      </c>
      <c r="AD1796" s="474">
        <v>20266.0</v>
      </c>
      <c r="AE1796" s="476"/>
      <c r="AF1796" s="474" t="str">
        <f t="shared" si="1"/>
        <v>Tucumán, Argentina</v>
      </c>
      <c r="AG1796" s="547">
        <f t="shared" si="2"/>
        <v>0</v>
      </c>
      <c r="AH1796" s="490">
        <f t="shared" si="17"/>
        <v>695359</v>
      </c>
      <c r="AI1796" s="490">
        <f t="shared" si="12"/>
        <v>0</v>
      </c>
      <c r="AJ1796" s="491">
        <f t="shared" si="5"/>
        <v>0</v>
      </c>
      <c r="AK1796" s="491">
        <f t="shared" si="18"/>
        <v>695359</v>
      </c>
      <c r="AL1796" s="492"/>
      <c r="AM1796" s="492"/>
    </row>
    <row r="1797">
      <c r="A1797" s="474">
        <v>1788.0</v>
      </c>
      <c r="B1797" s="475">
        <v>45862.0</v>
      </c>
      <c r="C1797" s="476"/>
      <c r="D1797" s="477" t="s">
        <v>4143</v>
      </c>
      <c r="E1797" s="478" t="s">
        <v>4144</v>
      </c>
      <c r="F1797" s="479" t="s">
        <v>1415</v>
      </c>
      <c r="G1797" s="474" t="s">
        <v>64</v>
      </c>
      <c r="H1797" s="474" t="s">
        <v>547</v>
      </c>
      <c r="I1797" s="474" t="s">
        <v>42</v>
      </c>
      <c r="J1797" s="482"/>
      <c r="K1797" s="493">
        <v>1.0</v>
      </c>
      <c r="L1797" s="482"/>
      <c r="M1797" s="482"/>
      <c r="N1797" s="482"/>
      <c r="O1797" s="482"/>
      <c r="P1797" s="483"/>
      <c r="Q1797" s="476"/>
      <c r="R1797" s="484"/>
      <c r="S1797" s="478" t="s">
        <v>137</v>
      </c>
      <c r="T1797" s="474" t="s">
        <v>66</v>
      </c>
      <c r="U1797" s="474" t="s">
        <v>99</v>
      </c>
      <c r="V1797" s="474" t="s">
        <v>2922</v>
      </c>
      <c r="W1797" s="485"/>
      <c r="X1797" s="485"/>
      <c r="Y1797" s="486"/>
      <c r="Z1797" s="485"/>
      <c r="AA1797" s="487">
        <v>86048.0</v>
      </c>
      <c r="AB1797" s="487">
        <v>387216.0</v>
      </c>
      <c r="AC1797" s="488" t="s">
        <v>4725</v>
      </c>
      <c r="AD1797" s="474">
        <v>17092.0</v>
      </c>
      <c r="AE1797" s="476"/>
      <c r="AF1797" s="474" t="str">
        <f t="shared" si="1"/>
        <v>Buenos Aires, Argentina</v>
      </c>
      <c r="AG1797" s="547">
        <f t="shared" si="2"/>
        <v>1</v>
      </c>
      <c r="AH1797" s="490">
        <f t="shared" si="17"/>
        <v>0</v>
      </c>
      <c r="AI1797" s="490">
        <f t="shared" si="12"/>
        <v>0</v>
      </c>
      <c r="AJ1797" s="491">
        <f t="shared" si="5"/>
        <v>473264</v>
      </c>
      <c r="AK1797" s="491">
        <f t="shared" si="18"/>
        <v>473264</v>
      </c>
      <c r="AL1797" s="492"/>
      <c r="AM1797" s="492"/>
    </row>
    <row r="1798">
      <c r="A1798" s="474">
        <v>1789.0</v>
      </c>
      <c r="B1798" s="475">
        <v>45866.0</v>
      </c>
      <c r="C1798" s="476"/>
      <c r="D1798" s="477" t="s">
        <v>4726</v>
      </c>
      <c r="E1798" s="478" t="s">
        <v>4727</v>
      </c>
      <c r="F1798" s="479" t="s">
        <v>2056</v>
      </c>
      <c r="G1798" s="474" t="s">
        <v>40</v>
      </c>
      <c r="H1798" s="474" t="s">
        <v>41</v>
      </c>
      <c r="I1798" s="474" t="s">
        <v>42</v>
      </c>
      <c r="J1798" s="480">
        <v>1.0</v>
      </c>
      <c r="K1798" s="481"/>
      <c r="L1798" s="482"/>
      <c r="M1798" s="494">
        <v>1.0</v>
      </c>
      <c r="N1798" s="482"/>
      <c r="O1798" s="482"/>
      <c r="P1798" s="483"/>
      <c r="Q1798" s="476"/>
      <c r="R1798" s="484"/>
      <c r="S1798" s="478" t="s">
        <v>114</v>
      </c>
      <c r="T1798" s="474" t="s">
        <v>839</v>
      </c>
      <c r="U1798" s="474" t="s">
        <v>45</v>
      </c>
      <c r="V1798" s="474" t="s">
        <v>2922</v>
      </c>
      <c r="W1798" s="485"/>
      <c r="X1798" s="485"/>
      <c r="Y1798" s="486"/>
      <c r="Z1798" s="485"/>
      <c r="AA1798" s="487">
        <v>149000.0</v>
      </c>
      <c r="AB1798" s="487">
        <v>558750.0</v>
      </c>
      <c r="AC1798" s="488" t="s">
        <v>4728</v>
      </c>
      <c r="AD1798" s="474">
        <v>11058.0</v>
      </c>
      <c r="AE1798" s="476"/>
      <c r="AF1798" s="474" t="str">
        <f t="shared" si="1"/>
        <v>Neuquén, Argentina</v>
      </c>
      <c r="AG1798" s="547">
        <f t="shared" si="2"/>
        <v>2</v>
      </c>
      <c r="AH1798" s="490">
        <f t="shared" si="17"/>
        <v>0</v>
      </c>
      <c r="AI1798" s="490">
        <f t="shared" si="12"/>
        <v>0</v>
      </c>
      <c r="AJ1798" s="491">
        <f t="shared" si="5"/>
        <v>707750</v>
      </c>
      <c r="AK1798" s="491">
        <f t="shared" si="18"/>
        <v>707750</v>
      </c>
      <c r="AL1798" s="492"/>
      <c r="AM1798" s="492"/>
    </row>
    <row r="1799">
      <c r="A1799" s="474">
        <v>1790.0</v>
      </c>
      <c r="B1799" s="475">
        <v>45866.0</v>
      </c>
      <c r="C1799" s="476"/>
      <c r="D1799" s="477" t="s">
        <v>4611</v>
      </c>
      <c r="E1799" s="478" t="s">
        <v>3960</v>
      </c>
      <c r="F1799" s="479" t="s">
        <v>4729</v>
      </c>
      <c r="G1799" s="474" t="s">
        <v>64</v>
      </c>
      <c r="H1799" s="474" t="s">
        <v>41</v>
      </c>
      <c r="I1799" s="474" t="s">
        <v>643</v>
      </c>
      <c r="J1799" s="482"/>
      <c r="K1799" s="481"/>
      <c r="L1799" s="482"/>
      <c r="M1799" s="482"/>
      <c r="N1799" s="482"/>
      <c r="O1799" s="494">
        <v>1.0</v>
      </c>
      <c r="P1799" s="483"/>
      <c r="Q1799" s="476"/>
      <c r="R1799" s="484"/>
      <c r="S1799" s="478" t="s">
        <v>189</v>
      </c>
      <c r="T1799" s="474" t="s">
        <v>66</v>
      </c>
      <c r="U1799" s="474" t="s">
        <v>99</v>
      </c>
      <c r="V1799" s="474" t="s">
        <v>1984</v>
      </c>
      <c r="W1799" s="485"/>
      <c r="X1799" s="485"/>
      <c r="Y1799" s="486"/>
      <c r="Z1799" s="485"/>
      <c r="AA1799" s="487">
        <v>81950.0</v>
      </c>
      <c r="AB1799" s="487">
        <v>286825.0</v>
      </c>
      <c r="AC1799" s="488" t="s">
        <v>4730</v>
      </c>
      <c r="AD1799" s="474">
        <v>20236.0</v>
      </c>
      <c r="AE1799" s="476"/>
      <c r="AF1799" s="474" t="str">
        <f t="shared" si="1"/>
        <v>Buenos Aires, Argentina</v>
      </c>
      <c r="AG1799" s="547">
        <f t="shared" si="2"/>
        <v>1</v>
      </c>
      <c r="AH1799" s="490">
        <f t="shared" si="17"/>
        <v>0</v>
      </c>
      <c r="AI1799" s="490">
        <f t="shared" si="12"/>
        <v>0</v>
      </c>
      <c r="AJ1799" s="491">
        <f t="shared" si="5"/>
        <v>368775</v>
      </c>
      <c r="AK1799" s="491">
        <f t="shared" si="18"/>
        <v>368775</v>
      </c>
      <c r="AL1799" s="492"/>
      <c r="AM1799" s="492"/>
    </row>
    <row r="1800">
      <c r="A1800" s="474">
        <v>1791.0</v>
      </c>
      <c r="B1800" s="475">
        <v>45867.0</v>
      </c>
      <c r="C1800" s="476"/>
      <c r="D1800" s="477" t="s">
        <v>3796</v>
      </c>
      <c r="E1800" s="478" t="s">
        <v>3797</v>
      </c>
      <c r="F1800" s="479" t="s">
        <v>1423</v>
      </c>
      <c r="G1800" s="474" t="s">
        <v>64</v>
      </c>
      <c r="H1800" s="474" t="s">
        <v>547</v>
      </c>
      <c r="I1800" s="474" t="s">
        <v>643</v>
      </c>
      <c r="J1800" s="480">
        <v>1.0</v>
      </c>
      <c r="K1800" s="481"/>
      <c r="L1800" s="482"/>
      <c r="M1800" s="482"/>
      <c r="N1800" s="482"/>
      <c r="O1800" s="482"/>
      <c r="P1800" s="483"/>
      <c r="Q1800" s="476"/>
      <c r="R1800" s="484"/>
      <c r="S1800" s="478" t="s">
        <v>72</v>
      </c>
      <c r="T1800" s="474" t="s">
        <v>83</v>
      </c>
      <c r="U1800" s="474" t="s">
        <v>99</v>
      </c>
      <c r="V1800" s="474" t="s">
        <v>1984</v>
      </c>
      <c r="W1800" s="485"/>
      <c r="X1800" s="485"/>
      <c r="Y1800" s="486"/>
      <c r="Z1800" s="485"/>
      <c r="AA1800" s="487">
        <v>114730.0</v>
      </c>
      <c r="AB1800" s="487">
        <v>401555.0</v>
      </c>
      <c r="AC1800" s="488" t="s">
        <v>4731</v>
      </c>
      <c r="AD1800" s="474">
        <v>20486.0</v>
      </c>
      <c r="AE1800" s="476"/>
      <c r="AF1800" s="474" t="str">
        <f t="shared" si="1"/>
        <v>Capital Federal, Argentina</v>
      </c>
      <c r="AG1800" s="547">
        <f t="shared" si="2"/>
        <v>1</v>
      </c>
      <c r="AH1800" s="490">
        <f t="shared" si="17"/>
        <v>0</v>
      </c>
      <c r="AI1800" s="490">
        <f t="shared" si="12"/>
        <v>0</v>
      </c>
      <c r="AJ1800" s="491">
        <f t="shared" si="5"/>
        <v>516285</v>
      </c>
      <c r="AK1800" s="491">
        <f t="shared" si="18"/>
        <v>516285</v>
      </c>
      <c r="AL1800" s="492"/>
      <c r="AM1800" s="492"/>
    </row>
    <row r="1801">
      <c r="A1801" s="474">
        <v>1792.0</v>
      </c>
      <c r="B1801" s="475">
        <v>45868.0</v>
      </c>
      <c r="C1801" s="476"/>
      <c r="D1801" s="477" t="s">
        <v>2677</v>
      </c>
      <c r="E1801" s="478" t="s">
        <v>2678</v>
      </c>
      <c r="F1801" s="479" t="s">
        <v>1507</v>
      </c>
      <c r="G1801" s="474" t="s">
        <v>64</v>
      </c>
      <c r="H1801" s="474" t="s">
        <v>41</v>
      </c>
      <c r="I1801" s="474" t="s">
        <v>643</v>
      </c>
      <c r="J1801" s="482"/>
      <c r="K1801" s="481"/>
      <c r="L1801" s="549">
        <v>1.0</v>
      </c>
      <c r="M1801" s="482"/>
      <c r="N1801" s="482"/>
      <c r="O1801" s="482"/>
      <c r="P1801" s="483"/>
      <c r="Q1801" s="476"/>
      <c r="R1801" s="484"/>
      <c r="S1801" s="478" t="s">
        <v>89</v>
      </c>
      <c r="T1801" s="474" t="s">
        <v>83</v>
      </c>
      <c r="U1801" s="474" t="s">
        <v>99</v>
      </c>
      <c r="V1801" s="474" t="s">
        <v>1984</v>
      </c>
      <c r="W1801" s="485"/>
      <c r="X1801" s="485"/>
      <c r="Y1801" s="486"/>
      <c r="Z1801" s="485"/>
      <c r="AA1801" s="487">
        <v>52150.0</v>
      </c>
      <c r="AB1801" s="487">
        <v>195563.0</v>
      </c>
      <c r="AC1801" s="488" t="s">
        <v>4732</v>
      </c>
      <c r="AD1801" s="474">
        <v>20218.0</v>
      </c>
      <c r="AE1801" s="476"/>
      <c r="AF1801" s="474" t="str">
        <f t="shared" si="1"/>
        <v>Capital Federal, Argentina</v>
      </c>
      <c r="AG1801" s="547">
        <f t="shared" si="2"/>
        <v>1</v>
      </c>
      <c r="AH1801" s="490">
        <f t="shared" si="17"/>
        <v>0</v>
      </c>
      <c r="AI1801" s="490">
        <f t="shared" si="12"/>
        <v>0</v>
      </c>
      <c r="AJ1801" s="491">
        <f t="shared" si="5"/>
        <v>247713</v>
      </c>
      <c r="AK1801" s="491">
        <f t="shared" si="18"/>
        <v>247713</v>
      </c>
      <c r="AL1801" s="492"/>
      <c r="AM1801" s="492"/>
    </row>
    <row r="1802">
      <c r="A1802" s="474">
        <v>1793.0</v>
      </c>
      <c r="B1802" s="475">
        <v>45868.0</v>
      </c>
      <c r="C1802" s="476"/>
      <c r="D1802" s="477" t="s">
        <v>2677</v>
      </c>
      <c r="E1802" s="478" t="s">
        <v>2678</v>
      </c>
      <c r="F1802" s="479" t="s">
        <v>4590</v>
      </c>
      <c r="G1802" s="474" t="s">
        <v>64</v>
      </c>
      <c r="H1802" s="474" t="s">
        <v>41</v>
      </c>
      <c r="I1802" s="474" t="s">
        <v>643</v>
      </c>
      <c r="J1802" s="482"/>
      <c r="K1802" s="481"/>
      <c r="L1802" s="482"/>
      <c r="M1802" s="482"/>
      <c r="N1802" s="482"/>
      <c r="O1802" s="482"/>
      <c r="P1802" s="483"/>
      <c r="Q1802" s="476"/>
      <c r="R1802" s="484"/>
      <c r="S1802" s="478" t="s">
        <v>89</v>
      </c>
      <c r="T1802" s="474" t="s">
        <v>83</v>
      </c>
      <c r="U1802" s="474" t="s">
        <v>99</v>
      </c>
      <c r="V1802" s="474" t="s">
        <v>1984</v>
      </c>
      <c r="W1802" s="487">
        <v>89210.0</v>
      </c>
      <c r="X1802" s="487">
        <v>356840.0</v>
      </c>
      <c r="Y1802" s="486"/>
      <c r="Z1802" s="485"/>
      <c r="AA1802" s="487">
        <v>0.0</v>
      </c>
      <c r="AB1802" s="487">
        <v>0.0</v>
      </c>
      <c r="AC1802" s="488" t="s">
        <v>4733</v>
      </c>
      <c r="AD1802" s="474">
        <v>20404.0</v>
      </c>
      <c r="AE1802" s="476"/>
      <c r="AF1802" s="474" t="str">
        <f t="shared" si="1"/>
        <v>Capital Federal, Argentina</v>
      </c>
      <c r="AG1802" s="547">
        <f t="shared" si="2"/>
        <v>0</v>
      </c>
      <c r="AH1802" s="490">
        <f t="shared" si="17"/>
        <v>446050</v>
      </c>
      <c r="AI1802" s="490">
        <f t="shared" si="12"/>
        <v>0</v>
      </c>
      <c r="AJ1802" s="491">
        <f t="shared" si="5"/>
        <v>0</v>
      </c>
      <c r="AK1802" s="491">
        <f t="shared" si="18"/>
        <v>446050</v>
      </c>
      <c r="AL1802" s="492"/>
      <c r="AM1802" s="492"/>
    </row>
    <row r="1803">
      <c r="A1803" s="474">
        <v>1794.0</v>
      </c>
      <c r="B1803" s="475">
        <v>45868.0</v>
      </c>
      <c r="C1803" s="476"/>
      <c r="D1803" s="477" t="s">
        <v>4676</v>
      </c>
      <c r="E1803" s="478" t="s">
        <v>4677</v>
      </c>
      <c r="F1803" s="479" t="s">
        <v>3490</v>
      </c>
      <c r="G1803" s="474" t="s">
        <v>64</v>
      </c>
      <c r="H1803" s="474" t="s">
        <v>41</v>
      </c>
      <c r="I1803" s="474" t="s">
        <v>42</v>
      </c>
      <c r="J1803" s="482"/>
      <c r="K1803" s="481"/>
      <c r="L1803" s="482"/>
      <c r="M1803" s="482"/>
      <c r="N1803" s="482"/>
      <c r="O1803" s="482"/>
      <c r="P1803" s="494">
        <v>1.0</v>
      </c>
      <c r="Q1803" s="476"/>
      <c r="R1803" s="484"/>
      <c r="S1803" s="478" t="s">
        <v>963</v>
      </c>
      <c r="T1803" s="474" t="s">
        <v>66</v>
      </c>
      <c r="U1803" s="474" t="s">
        <v>99</v>
      </c>
      <c r="V1803" s="474" t="s">
        <v>4626</v>
      </c>
      <c r="W1803" s="485"/>
      <c r="X1803" s="485"/>
      <c r="Y1803" s="486"/>
      <c r="Z1803" s="485"/>
      <c r="AA1803" s="487">
        <v>149000.0</v>
      </c>
      <c r="AB1803" s="487">
        <v>558750.0</v>
      </c>
      <c r="AC1803" s="488" t="s">
        <v>4734</v>
      </c>
      <c r="AD1803" s="474">
        <v>20504.0</v>
      </c>
      <c r="AE1803" s="476"/>
      <c r="AF1803" s="474" t="str">
        <f t="shared" si="1"/>
        <v>Buenos Aires, Argentina</v>
      </c>
      <c r="AG1803" s="547">
        <f t="shared" si="2"/>
        <v>1</v>
      </c>
      <c r="AH1803" s="490">
        <f t="shared" si="17"/>
        <v>0</v>
      </c>
      <c r="AI1803" s="490">
        <f t="shared" si="12"/>
        <v>0</v>
      </c>
      <c r="AJ1803" s="491">
        <f t="shared" si="5"/>
        <v>707750</v>
      </c>
      <c r="AK1803" s="491">
        <f t="shared" si="18"/>
        <v>707750</v>
      </c>
      <c r="AL1803" s="492"/>
      <c r="AM1803" s="492"/>
    </row>
    <row r="1804">
      <c r="A1804" s="474">
        <v>1795.0</v>
      </c>
      <c r="B1804" s="475">
        <v>45868.0</v>
      </c>
      <c r="C1804" s="476"/>
      <c r="D1804" s="477" t="s">
        <v>4676</v>
      </c>
      <c r="E1804" s="478" t="s">
        <v>4677</v>
      </c>
      <c r="F1804" s="479" t="s">
        <v>4735</v>
      </c>
      <c r="G1804" s="474" t="s">
        <v>64</v>
      </c>
      <c r="H1804" s="474" t="s">
        <v>41</v>
      </c>
      <c r="I1804" s="474" t="s">
        <v>643</v>
      </c>
      <c r="J1804" s="482"/>
      <c r="K1804" s="481"/>
      <c r="L1804" s="482"/>
      <c r="M1804" s="482"/>
      <c r="N1804" s="482"/>
      <c r="O1804" s="482"/>
      <c r="P1804" s="483"/>
      <c r="Q1804" s="476"/>
      <c r="R1804" s="484"/>
      <c r="S1804" s="478" t="s">
        <v>963</v>
      </c>
      <c r="T1804" s="474" t="s">
        <v>66</v>
      </c>
      <c r="U1804" s="474" t="s">
        <v>99</v>
      </c>
      <c r="V1804" s="474" t="s">
        <v>1984</v>
      </c>
      <c r="W1804" s="487">
        <v>279587.0</v>
      </c>
      <c r="X1804" s="550" t="s">
        <v>4736</v>
      </c>
      <c r="Y1804" s="486"/>
      <c r="Z1804" s="485"/>
      <c r="AA1804" s="487">
        <v>0.0</v>
      </c>
      <c r="AB1804" s="487">
        <v>0.0</v>
      </c>
      <c r="AC1804" s="488" t="s">
        <v>4737</v>
      </c>
      <c r="AD1804" s="474">
        <v>20412.0</v>
      </c>
      <c r="AE1804" s="476"/>
      <c r="AF1804" s="474" t="str">
        <f t="shared" si="1"/>
        <v>Buenos Aires, Argentina</v>
      </c>
      <c r="AG1804" s="547">
        <f t="shared" si="2"/>
        <v>0</v>
      </c>
      <c r="AH1804" s="490">
        <f t="shared" si="17"/>
        <v>279587</v>
      </c>
      <c r="AI1804" s="490">
        <f t="shared" si="12"/>
        <v>0</v>
      </c>
      <c r="AJ1804" s="491">
        <f t="shared" si="5"/>
        <v>0</v>
      </c>
      <c r="AK1804" s="491">
        <f t="shared" si="18"/>
        <v>279587</v>
      </c>
      <c r="AL1804" s="492"/>
      <c r="AM1804" s="492"/>
    </row>
    <row r="1805">
      <c r="A1805" s="474">
        <v>1796.0</v>
      </c>
      <c r="B1805" s="475">
        <v>45868.0</v>
      </c>
      <c r="C1805" s="476"/>
      <c r="D1805" s="477" t="s">
        <v>4531</v>
      </c>
      <c r="E1805" s="478" t="s">
        <v>4532</v>
      </c>
      <c r="F1805" s="479" t="s">
        <v>3490</v>
      </c>
      <c r="G1805" s="474" t="s">
        <v>64</v>
      </c>
      <c r="H1805" s="474" t="s">
        <v>41</v>
      </c>
      <c r="I1805" s="474" t="s">
        <v>42</v>
      </c>
      <c r="J1805" s="482"/>
      <c r="K1805" s="481"/>
      <c r="L1805" s="482"/>
      <c r="M1805" s="482"/>
      <c r="N1805" s="482"/>
      <c r="O1805" s="482"/>
      <c r="P1805" s="494">
        <v>1.0</v>
      </c>
      <c r="Q1805" s="476"/>
      <c r="R1805" s="484"/>
      <c r="S1805" s="478" t="s">
        <v>72</v>
      </c>
      <c r="T1805" s="474" t="s">
        <v>83</v>
      </c>
      <c r="U1805" s="474" t="s">
        <v>99</v>
      </c>
      <c r="V1805" s="474" t="s">
        <v>2922</v>
      </c>
      <c r="W1805" s="485"/>
      <c r="X1805" s="485"/>
      <c r="Y1805" s="486"/>
      <c r="Z1805" s="485"/>
      <c r="AA1805" s="487">
        <v>150500.0</v>
      </c>
      <c r="AB1805" s="487">
        <v>677250.0</v>
      </c>
      <c r="AC1805" s="488" t="s">
        <v>4738</v>
      </c>
      <c r="AD1805" s="474">
        <v>20250.0</v>
      </c>
      <c r="AE1805" s="476"/>
      <c r="AF1805" s="474" t="str">
        <f t="shared" si="1"/>
        <v>Capital Federal, Argentina</v>
      </c>
      <c r="AG1805" s="547">
        <f t="shared" si="2"/>
        <v>1</v>
      </c>
      <c r="AH1805" s="490">
        <f t="shared" si="17"/>
        <v>0</v>
      </c>
      <c r="AI1805" s="490">
        <f t="shared" si="12"/>
        <v>0</v>
      </c>
      <c r="AJ1805" s="491">
        <f t="shared" si="5"/>
        <v>827750</v>
      </c>
      <c r="AK1805" s="491">
        <f t="shared" si="18"/>
        <v>827750</v>
      </c>
      <c r="AL1805" s="492"/>
      <c r="AM1805" s="492"/>
    </row>
    <row r="1806">
      <c r="A1806" s="474">
        <v>1797.0</v>
      </c>
      <c r="B1806" s="475">
        <v>45869.0</v>
      </c>
      <c r="C1806" s="476"/>
      <c r="D1806" s="477" t="s">
        <v>4739</v>
      </c>
      <c r="E1806" s="478" t="s">
        <v>4740</v>
      </c>
      <c r="F1806" s="479" t="s">
        <v>2056</v>
      </c>
      <c r="G1806" s="474" t="s">
        <v>40</v>
      </c>
      <c r="H1806" s="474" t="s">
        <v>41</v>
      </c>
      <c r="I1806" s="474" t="s">
        <v>42</v>
      </c>
      <c r="J1806" s="480">
        <v>1.0</v>
      </c>
      <c r="K1806" s="481"/>
      <c r="L1806" s="482"/>
      <c r="M1806" s="494">
        <v>1.0</v>
      </c>
      <c r="N1806" s="482"/>
      <c r="O1806" s="482"/>
      <c r="P1806" s="483"/>
      <c r="Q1806" s="476"/>
      <c r="R1806" s="484"/>
      <c r="S1806" s="478" t="s">
        <v>114</v>
      </c>
      <c r="T1806" s="474" t="s">
        <v>66</v>
      </c>
      <c r="U1806" s="474" t="s">
        <v>4456</v>
      </c>
      <c r="V1806" s="474" t="s">
        <v>2922</v>
      </c>
      <c r="W1806" s="485"/>
      <c r="X1806" s="485"/>
      <c r="Y1806" s="486"/>
      <c r="Z1806" s="485"/>
      <c r="AA1806" s="487">
        <v>150500.0</v>
      </c>
      <c r="AB1806" s="487">
        <v>677250.0</v>
      </c>
      <c r="AC1806" s="488" t="s">
        <v>4741</v>
      </c>
      <c r="AD1806" s="474">
        <v>20558.0</v>
      </c>
      <c r="AE1806" s="476"/>
      <c r="AF1806" s="474" t="str">
        <f t="shared" si="1"/>
        <v>Buenos Aires, Argentina</v>
      </c>
      <c r="AG1806" s="547">
        <f t="shared" si="2"/>
        <v>2</v>
      </c>
      <c r="AH1806" s="490">
        <f t="shared" si="17"/>
        <v>0</v>
      </c>
      <c r="AI1806" s="490">
        <f t="shared" si="12"/>
        <v>0</v>
      </c>
      <c r="AJ1806" s="491">
        <f t="shared" si="5"/>
        <v>827750</v>
      </c>
      <c r="AK1806" s="491">
        <f t="shared" si="18"/>
        <v>827750</v>
      </c>
      <c r="AL1806" s="492"/>
      <c r="AM1806" s="492"/>
    </row>
    <row r="1807">
      <c r="A1807" s="474">
        <v>1798.0</v>
      </c>
      <c r="B1807" s="475">
        <v>45869.0</v>
      </c>
      <c r="C1807" s="476"/>
      <c r="D1807" s="477" t="s">
        <v>4742</v>
      </c>
      <c r="E1807" s="478" t="s">
        <v>3459</v>
      </c>
      <c r="F1807" s="479" t="s">
        <v>4743</v>
      </c>
      <c r="G1807" s="474" t="s">
        <v>64</v>
      </c>
      <c r="H1807" s="474" t="s">
        <v>41</v>
      </c>
      <c r="I1807" s="474" t="s">
        <v>643</v>
      </c>
      <c r="J1807" s="482"/>
      <c r="K1807" s="481"/>
      <c r="L1807" s="482"/>
      <c r="M1807" s="482"/>
      <c r="N1807" s="482"/>
      <c r="O1807" s="482"/>
      <c r="P1807" s="483"/>
      <c r="Q1807" s="476"/>
      <c r="R1807" s="484"/>
      <c r="S1807" s="478" t="s">
        <v>109</v>
      </c>
      <c r="T1807" s="474" t="s">
        <v>66</v>
      </c>
      <c r="U1807" s="474" t="s">
        <v>99</v>
      </c>
      <c r="V1807" s="474" t="s">
        <v>1984</v>
      </c>
      <c r="W1807" s="485"/>
      <c r="X1807" s="485"/>
      <c r="Y1807" s="486"/>
      <c r="Z1807" s="485"/>
      <c r="AA1807" s="487">
        <v>0.0</v>
      </c>
      <c r="AB1807" s="487">
        <v>268200.0</v>
      </c>
      <c r="AC1807" s="488" t="s">
        <v>4744</v>
      </c>
      <c r="AD1807" s="474">
        <v>20520.0</v>
      </c>
      <c r="AE1807" s="476"/>
      <c r="AF1807" s="474" t="str">
        <f t="shared" si="1"/>
        <v>Buenos Aires, Argentina</v>
      </c>
      <c r="AG1807" s="547">
        <f t="shared" si="2"/>
        <v>0</v>
      </c>
      <c r="AH1807" s="490">
        <f t="shared" si="17"/>
        <v>0</v>
      </c>
      <c r="AI1807" s="490">
        <f t="shared" si="12"/>
        <v>0</v>
      </c>
      <c r="AJ1807" s="491">
        <f t="shared" si="5"/>
        <v>268200</v>
      </c>
      <c r="AK1807" s="491">
        <f t="shared" si="18"/>
        <v>268200</v>
      </c>
      <c r="AL1807" s="492"/>
      <c r="AM1807" s="492"/>
    </row>
    <row r="1808">
      <c r="A1808" s="474">
        <v>1799.0</v>
      </c>
      <c r="B1808" s="475">
        <v>45869.0</v>
      </c>
      <c r="C1808" s="476"/>
      <c r="D1808" s="477" t="s">
        <v>4514</v>
      </c>
      <c r="E1808" s="478" t="s">
        <v>4515</v>
      </c>
      <c r="F1808" s="479" t="s">
        <v>1412</v>
      </c>
      <c r="G1808" s="474" t="s">
        <v>64</v>
      </c>
      <c r="H1808" s="474" t="s">
        <v>41</v>
      </c>
      <c r="I1808" s="474" t="s">
        <v>643</v>
      </c>
      <c r="J1808" s="480">
        <v>2.0</v>
      </c>
      <c r="K1808" s="481"/>
      <c r="L1808" s="482"/>
      <c r="M1808" s="482"/>
      <c r="N1808" s="482"/>
      <c r="O1808" s="482"/>
      <c r="P1808" s="483"/>
      <c r="Q1808" s="476"/>
      <c r="R1808" s="484"/>
      <c r="S1808" s="478" t="s">
        <v>137</v>
      </c>
      <c r="T1808" s="474" t="s">
        <v>66</v>
      </c>
      <c r="U1808" s="474" t="s">
        <v>99</v>
      </c>
      <c r="V1808" s="474" t="s">
        <v>1984</v>
      </c>
      <c r="W1808" s="485"/>
      <c r="X1808" s="485"/>
      <c r="Y1808" s="486"/>
      <c r="Z1808" s="485"/>
      <c r="AA1808" s="487">
        <v>298000.0</v>
      </c>
      <c r="AB1808" s="487">
        <v>1117500.0</v>
      </c>
      <c r="AC1808" s="488" t="s">
        <v>4745</v>
      </c>
      <c r="AD1808" s="474">
        <v>20604.0</v>
      </c>
      <c r="AE1808" s="476"/>
      <c r="AF1808" s="474" t="str">
        <f t="shared" si="1"/>
        <v>Buenos Aires, Argentina</v>
      </c>
      <c r="AG1808" s="547">
        <f t="shared" si="2"/>
        <v>2</v>
      </c>
      <c r="AH1808" s="490">
        <f t="shared" si="17"/>
        <v>0</v>
      </c>
      <c r="AI1808" s="490">
        <f t="shared" si="12"/>
        <v>0</v>
      </c>
      <c r="AJ1808" s="491">
        <f t="shared" si="5"/>
        <v>1415500</v>
      </c>
      <c r="AK1808" s="491">
        <f t="shared" si="18"/>
        <v>1415500</v>
      </c>
      <c r="AL1808" s="492"/>
      <c r="AM1808" s="492"/>
    </row>
    <row r="1809">
      <c r="A1809" s="474">
        <v>1800.0</v>
      </c>
      <c r="B1809" s="475">
        <v>45869.0</v>
      </c>
      <c r="C1809" s="476"/>
      <c r="D1809" s="477" t="s">
        <v>4531</v>
      </c>
      <c r="E1809" s="478" t="s">
        <v>4532</v>
      </c>
      <c r="F1809" s="479" t="s">
        <v>4746</v>
      </c>
      <c r="G1809" s="474" t="s">
        <v>64</v>
      </c>
      <c r="H1809" s="474" t="s">
        <v>41</v>
      </c>
      <c r="I1809" s="474" t="s">
        <v>643</v>
      </c>
      <c r="J1809" s="482"/>
      <c r="K1809" s="481"/>
      <c r="L1809" s="482"/>
      <c r="M1809" s="482"/>
      <c r="N1809" s="482"/>
      <c r="O1809" s="482"/>
      <c r="P1809" s="483"/>
      <c r="Q1809" s="476"/>
      <c r="R1809" s="484"/>
      <c r="S1809" s="478" t="s">
        <v>72</v>
      </c>
      <c r="T1809" s="474" t="s">
        <v>83</v>
      </c>
      <c r="U1809" s="474" t="s">
        <v>99</v>
      </c>
      <c r="V1809" s="474" t="s">
        <v>1984</v>
      </c>
      <c r="W1809" s="487">
        <v>504682.0</v>
      </c>
      <c r="X1809" s="487">
        <v>2018728.0</v>
      </c>
      <c r="Y1809" s="486"/>
      <c r="Z1809" s="485"/>
      <c r="AA1809" s="487">
        <v>0.0</v>
      </c>
      <c r="AB1809" s="487">
        <v>0.0</v>
      </c>
      <c r="AC1809" s="488" t="s">
        <v>4747</v>
      </c>
      <c r="AD1809" s="474">
        <v>20552.0</v>
      </c>
      <c r="AE1809" s="476"/>
      <c r="AF1809" s="474" t="str">
        <f t="shared" si="1"/>
        <v>Capital Federal, Argentina</v>
      </c>
      <c r="AG1809" s="547">
        <f t="shared" si="2"/>
        <v>0</v>
      </c>
      <c r="AH1809" s="490">
        <f t="shared" si="17"/>
        <v>2523410</v>
      </c>
      <c r="AI1809" s="490">
        <f t="shared" si="12"/>
        <v>0</v>
      </c>
      <c r="AJ1809" s="491">
        <f t="shared" si="5"/>
        <v>0</v>
      </c>
      <c r="AK1809" s="491">
        <f t="shared" si="18"/>
        <v>2523410</v>
      </c>
      <c r="AL1809" s="492"/>
      <c r="AM1809" s="492"/>
    </row>
    <row r="1810">
      <c r="A1810" s="474">
        <v>1801.0</v>
      </c>
      <c r="B1810" s="475">
        <v>45869.0</v>
      </c>
      <c r="C1810" s="476"/>
      <c r="D1810" s="477" t="s">
        <v>3439</v>
      </c>
      <c r="E1810" s="478" t="s">
        <v>3440</v>
      </c>
      <c r="F1810" s="479" t="s">
        <v>4509</v>
      </c>
      <c r="G1810" s="474" t="s">
        <v>64</v>
      </c>
      <c r="H1810" s="474" t="s">
        <v>41</v>
      </c>
      <c r="I1810" s="474" t="s">
        <v>643</v>
      </c>
      <c r="J1810" s="482"/>
      <c r="K1810" s="481"/>
      <c r="L1810" s="482"/>
      <c r="M1810" s="482"/>
      <c r="N1810" s="494">
        <v>1.0</v>
      </c>
      <c r="O1810" s="482"/>
      <c r="P1810" s="483"/>
      <c r="Q1810" s="476"/>
      <c r="R1810" s="484"/>
      <c r="S1810" s="478" t="s">
        <v>114</v>
      </c>
      <c r="T1810" s="474" t="s">
        <v>655</v>
      </c>
      <c r="U1810" s="474" t="s">
        <v>99</v>
      </c>
      <c r="V1810" s="474" t="s">
        <v>1984</v>
      </c>
      <c r="W1810" s="485"/>
      <c r="X1810" s="485"/>
      <c r="Y1810" s="486"/>
      <c r="Z1810" s="485"/>
      <c r="AA1810" s="487">
        <v>149000.0</v>
      </c>
      <c r="AB1810" s="487">
        <v>558750.0</v>
      </c>
      <c r="AC1810" s="488" t="s">
        <v>4748</v>
      </c>
      <c r="AD1810" s="474">
        <v>20584.0</v>
      </c>
      <c r="AE1810" s="476"/>
      <c r="AF1810" s="474" t="str">
        <f t="shared" si="1"/>
        <v>La Pampa, Argentina</v>
      </c>
      <c r="AG1810" s="547">
        <f t="shared" si="2"/>
        <v>1</v>
      </c>
      <c r="AH1810" s="490">
        <f t="shared" si="17"/>
        <v>0</v>
      </c>
      <c r="AI1810" s="490">
        <f t="shared" si="12"/>
        <v>0</v>
      </c>
      <c r="AJ1810" s="491">
        <f t="shared" si="5"/>
        <v>707750</v>
      </c>
      <c r="AK1810" s="491">
        <f t="shared" si="18"/>
        <v>707750</v>
      </c>
      <c r="AL1810" s="492"/>
      <c r="AM1810" s="492"/>
    </row>
    <row r="1811">
      <c r="A1811" s="474">
        <v>1802.0</v>
      </c>
      <c r="B1811" s="475">
        <v>45869.0</v>
      </c>
      <c r="C1811" s="476"/>
      <c r="D1811" s="477" t="s">
        <v>4749</v>
      </c>
      <c r="E1811" s="478" t="s">
        <v>4750</v>
      </c>
      <c r="F1811" s="479" t="s">
        <v>4751</v>
      </c>
      <c r="G1811" s="474" t="s">
        <v>40</v>
      </c>
      <c r="H1811" s="474" t="s">
        <v>41</v>
      </c>
      <c r="I1811" s="474" t="s">
        <v>643</v>
      </c>
      <c r="J1811" s="480">
        <v>2.0</v>
      </c>
      <c r="K1811" s="493">
        <v>1.0</v>
      </c>
      <c r="L1811" s="482"/>
      <c r="M1811" s="494">
        <v>1.0</v>
      </c>
      <c r="N1811" s="482"/>
      <c r="O1811" s="482"/>
      <c r="P1811" s="483"/>
      <c r="Q1811" s="476"/>
      <c r="R1811" s="484"/>
      <c r="S1811" s="478" t="s">
        <v>65</v>
      </c>
      <c r="T1811" s="474" t="s">
        <v>66</v>
      </c>
      <c r="U1811" s="474" t="s">
        <v>342</v>
      </c>
      <c r="V1811" s="474" t="s">
        <v>2935</v>
      </c>
      <c r="W1811" s="485"/>
      <c r="X1811" s="485"/>
      <c r="Y1811" s="486"/>
      <c r="Z1811" s="485"/>
      <c r="AA1811" s="487">
        <v>409750.0</v>
      </c>
      <c r="AB1811" s="487">
        <v>1536562.0</v>
      </c>
      <c r="AC1811" s="488" t="s">
        <v>4752</v>
      </c>
      <c r="AD1811" s="474">
        <v>20380.0</v>
      </c>
      <c r="AE1811" s="476"/>
      <c r="AF1811" s="474" t="str">
        <f t="shared" si="1"/>
        <v>Buenos Aires, Argentina</v>
      </c>
      <c r="AG1811" s="547">
        <f t="shared" si="2"/>
        <v>4</v>
      </c>
      <c r="AH1811" s="490">
        <f t="shared" si="17"/>
        <v>0</v>
      </c>
      <c r="AI1811" s="490">
        <f t="shared" si="12"/>
        <v>0</v>
      </c>
      <c r="AJ1811" s="491">
        <f t="shared" si="5"/>
        <v>1946312</v>
      </c>
      <c r="AK1811" s="491">
        <f t="shared" si="18"/>
        <v>1946312</v>
      </c>
      <c r="AL1811" s="492"/>
      <c r="AM1811" s="492"/>
    </row>
    <row r="1812">
      <c r="A1812" s="474">
        <v>1803.0</v>
      </c>
      <c r="B1812" s="475">
        <v>45869.0</v>
      </c>
      <c r="C1812" s="476"/>
      <c r="D1812" s="477" t="s">
        <v>2454</v>
      </c>
      <c r="E1812" s="478" t="s">
        <v>1810</v>
      </c>
      <c r="F1812" s="479" t="s">
        <v>1427</v>
      </c>
      <c r="G1812" s="474" t="s">
        <v>64</v>
      </c>
      <c r="H1812" s="474" t="s">
        <v>41</v>
      </c>
      <c r="I1812" s="474" t="s">
        <v>643</v>
      </c>
      <c r="J1812" s="482"/>
      <c r="K1812" s="493">
        <v>2.0</v>
      </c>
      <c r="L1812" s="482"/>
      <c r="M1812" s="482"/>
      <c r="N1812" s="482"/>
      <c r="O1812" s="482"/>
      <c r="P1812" s="483"/>
      <c r="Q1812" s="476"/>
      <c r="R1812" s="484"/>
      <c r="S1812" s="478" t="s">
        <v>65</v>
      </c>
      <c r="T1812" s="474" t="s">
        <v>66</v>
      </c>
      <c r="U1812" s="474" t="s">
        <v>99</v>
      </c>
      <c r="V1812" s="474" t="s">
        <v>1984</v>
      </c>
      <c r="W1812" s="485"/>
      <c r="X1812" s="485"/>
      <c r="Y1812" s="486"/>
      <c r="Z1812" s="485"/>
      <c r="AA1812" s="487">
        <v>201150.0</v>
      </c>
      <c r="AB1812" s="487">
        <v>754313.0</v>
      </c>
      <c r="AC1812" s="488" t="s">
        <v>4753</v>
      </c>
      <c r="AD1812" s="474">
        <v>20462.0</v>
      </c>
      <c r="AE1812" s="476"/>
      <c r="AF1812" s="474" t="str">
        <f t="shared" si="1"/>
        <v>Buenos Aires, Argentina</v>
      </c>
      <c r="AG1812" s="547">
        <f t="shared" si="2"/>
        <v>2</v>
      </c>
      <c r="AH1812" s="490">
        <f t="shared" si="17"/>
        <v>0</v>
      </c>
      <c r="AI1812" s="490">
        <f t="shared" si="12"/>
        <v>0</v>
      </c>
      <c r="AJ1812" s="491">
        <f t="shared" si="5"/>
        <v>955463</v>
      </c>
      <c r="AK1812" s="491">
        <f t="shared" si="18"/>
        <v>955463</v>
      </c>
      <c r="AL1812" s="492"/>
      <c r="AM1812" s="492"/>
    </row>
    <row r="1813">
      <c r="A1813" s="474">
        <v>1804.0</v>
      </c>
      <c r="B1813" s="475">
        <v>45869.0</v>
      </c>
      <c r="C1813" s="476"/>
      <c r="D1813" s="477" t="s">
        <v>4166</v>
      </c>
      <c r="E1813" s="478" t="s">
        <v>3375</v>
      </c>
      <c r="F1813" s="479" t="s">
        <v>4754</v>
      </c>
      <c r="G1813" s="474" t="s">
        <v>64</v>
      </c>
      <c r="H1813" s="474" t="s">
        <v>41</v>
      </c>
      <c r="I1813" s="474" t="s">
        <v>643</v>
      </c>
      <c r="J1813" s="482"/>
      <c r="K1813" s="481"/>
      <c r="L1813" s="482"/>
      <c r="M1813" s="482"/>
      <c r="N1813" s="482"/>
      <c r="O1813" s="482"/>
      <c r="P1813" s="483"/>
      <c r="Q1813" s="476"/>
      <c r="R1813" s="484"/>
      <c r="S1813" s="478" t="s">
        <v>98</v>
      </c>
      <c r="T1813" s="474" t="s">
        <v>83</v>
      </c>
      <c r="U1813" s="474" t="s">
        <v>99</v>
      </c>
      <c r="V1813" s="474" t="s">
        <v>1984</v>
      </c>
      <c r="W1813" s="485"/>
      <c r="X1813" s="485"/>
      <c r="Y1813" s="486"/>
      <c r="Z1813" s="485"/>
      <c r="AA1813" s="487">
        <v>0.0</v>
      </c>
      <c r="AB1813" s="487">
        <v>367600.0</v>
      </c>
      <c r="AC1813" s="488" t="s">
        <v>4755</v>
      </c>
      <c r="AD1813" s="474">
        <v>20472.0</v>
      </c>
      <c r="AE1813" s="476"/>
      <c r="AF1813" s="474" t="str">
        <f t="shared" si="1"/>
        <v>Capital Federal, Argentina</v>
      </c>
      <c r="AG1813" s="547">
        <f t="shared" si="2"/>
        <v>0</v>
      </c>
      <c r="AH1813" s="490">
        <f t="shared" si="17"/>
        <v>0</v>
      </c>
      <c r="AI1813" s="490">
        <f t="shared" si="12"/>
        <v>0</v>
      </c>
      <c r="AJ1813" s="491">
        <f t="shared" si="5"/>
        <v>367600</v>
      </c>
      <c r="AK1813" s="491">
        <f t="shared" si="18"/>
        <v>367600</v>
      </c>
      <c r="AL1813" s="492"/>
      <c r="AM1813" s="492"/>
    </row>
    <row r="1814">
      <c r="A1814" s="474">
        <v>1805.0</v>
      </c>
      <c r="B1814" s="475">
        <v>45869.0</v>
      </c>
      <c r="C1814" s="476"/>
      <c r="D1814" s="477" t="s">
        <v>1912</v>
      </c>
      <c r="E1814" s="478" t="s">
        <v>4756</v>
      </c>
      <c r="F1814" s="479" t="s">
        <v>4757</v>
      </c>
      <c r="G1814" s="474" t="s">
        <v>64</v>
      </c>
      <c r="H1814" s="474" t="s">
        <v>41</v>
      </c>
      <c r="I1814" s="474" t="s">
        <v>643</v>
      </c>
      <c r="J1814" s="482"/>
      <c r="K1814" s="481"/>
      <c r="L1814" s="482"/>
      <c r="M1814" s="482"/>
      <c r="N1814" s="482"/>
      <c r="O1814" s="482"/>
      <c r="P1814" s="483"/>
      <c r="Q1814" s="476"/>
      <c r="R1814" s="484"/>
      <c r="S1814" s="478" t="s">
        <v>189</v>
      </c>
      <c r="T1814" s="474" t="s">
        <v>66</v>
      </c>
      <c r="U1814" s="474" t="s">
        <v>99</v>
      </c>
      <c r="V1814" s="474" t="s">
        <v>1984</v>
      </c>
      <c r="W1814" s="485"/>
      <c r="X1814" s="485"/>
      <c r="Y1814" s="486"/>
      <c r="Z1814" s="485"/>
      <c r="AA1814" s="487">
        <v>0.0</v>
      </c>
      <c r="AB1814" s="487">
        <v>402300.0</v>
      </c>
      <c r="AC1814" s="488" t="s">
        <v>4758</v>
      </c>
      <c r="AD1814" s="474">
        <v>20254.0</v>
      </c>
      <c r="AE1814" s="476"/>
      <c r="AF1814" s="474" t="str">
        <f t="shared" si="1"/>
        <v>Buenos Aires, Argentina</v>
      </c>
      <c r="AG1814" s="547">
        <f t="shared" si="2"/>
        <v>0</v>
      </c>
      <c r="AH1814" s="490">
        <f t="shared" si="17"/>
        <v>0</v>
      </c>
      <c r="AI1814" s="490">
        <f t="shared" si="12"/>
        <v>0</v>
      </c>
      <c r="AJ1814" s="491">
        <f t="shared" si="5"/>
        <v>402300</v>
      </c>
      <c r="AK1814" s="491">
        <f t="shared" si="18"/>
        <v>402300</v>
      </c>
      <c r="AL1814" s="492"/>
      <c r="AM1814" s="492"/>
    </row>
    <row r="1815">
      <c r="A1815" s="474">
        <v>1806.0</v>
      </c>
      <c r="B1815" s="475">
        <v>45869.0</v>
      </c>
      <c r="C1815" s="476"/>
      <c r="D1815" s="551" t="s">
        <v>3153</v>
      </c>
      <c r="E1815" s="552" t="s">
        <v>3154</v>
      </c>
      <c r="F1815" s="479" t="s">
        <v>1415</v>
      </c>
      <c r="G1815" s="474" t="s">
        <v>64</v>
      </c>
      <c r="H1815" s="474" t="s">
        <v>41</v>
      </c>
      <c r="I1815" s="474" t="s">
        <v>643</v>
      </c>
      <c r="J1815" s="482"/>
      <c r="K1815" s="493">
        <v>1.0</v>
      </c>
      <c r="L1815" s="482"/>
      <c r="M1815" s="482"/>
      <c r="N1815" s="482"/>
      <c r="O1815" s="482"/>
      <c r="P1815" s="483"/>
      <c r="Q1815" s="476"/>
      <c r="R1815" s="484"/>
      <c r="S1815" s="478" t="s">
        <v>189</v>
      </c>
      <c r="T1815" s="474" t="s">
        <v>66</v>
      </c>
      <c r="U1815" s="474" t="s">
        <v>99</v>
      </c>
      <c r="V1815" s="474" t="s">
        <v>1984</v>
      </c>
      <c r="W1815" s="485"/>
      <c r="X1815" s="485"/>
      <c r="Y1815" s="486"/>
      <c r="Z1815" s="485"/>
      <c r="AA1815" s="487">
        <v>111750.0</v>
      </c>
      <c r="AB1815" s="487">
        <v>391125.0</v>
      </c>
      <c r="AC1815" s="488" t="s">
        <v>4759</v>
      </c>
      <c r="AD1815" s="474">
        <v>20370.0</v>
      </c>
      <c r="AE1815" s="476"/>
      <c r="AF1815" s="474" t="str">
        <f t="shared" si="1"/>
        <v>Buenos Aires, Argentina</v>
      </c>
      <c r="AG1815" s="547">
        <f t="shared" si="2"/>
        <v>1</v>
      </c>
      <c r="AH1815" s="490">
        <f t="shared" si="17"/>
        <v>0</v>
      </c>
      <c r="AI1815" s="490">
        <f t="shared" si="12"/>
        <v>0</v>
      </c>
      <c r="AJ1815" s="491">
        <f t="shared" si="5"/>
        <v>502875</v>
      </c>
      <c r="AK1815" s="491">
        <f t="shared" si="18"/>
        <v>502875</v>
      </c>
      <c r="AL1815" s="492"/>
      <c r="AM1815" s="492"/>
    </row>
    <row r="1816">
      <c r="A1816" s="474">
        <v>1807.0</v>
      </c>
      <c r="B1816" s="475">
        <v>45869.0</v>
      </c>
      <c r="C1816" s="476"/>
      <c r="D1816" s="551" t="s">
        <v>4033</v>
      </c>
      <c r="E1816" s="478" t="s">
        <v>4034</v>
      </c>
      <c r="F1816" s="479" t="s">
        <v>1415</v>
      </c>
      <c r="G1816" s="474" t="s">
        <v>64</v>
      </c>
      <c r="H1816" s="474" t="s">
        <v>41</v>
      </c>
      <c r="I1816" s="474" t="s">
        <v>643</v>
      </c>
      <c r="J1816" s="482"/>
      <c r="K1816" s="493">
        <v>1.0</v>
      </c>
      <c r="L1816" s="482"/>
      <c r="M1816" s="482"/>
      <c r="N1816" s="482"/>
      <c r="O1816" s="482"/>
      <c r="P1816" s="483"/>
      <c r="Q1816" s="476"/>
      <c r="R1816" s="484"/>
      <c r="S1816" s="478" t="s">
        <v>72</v>
      </c>
      <c r="T1816" s="474" t="s">
        <v>83</v>
      </c>
      <c r="U1816" s="474" t="s">
        <v>99</v>
      </c>
      <c r="V1816" s="474" t="s">
        <v>1984</v>
      </c>
      <c r="W1816" s="485"/>
      <c r="X1816" s="485"/>
      <c r="Y1816" s="486"/>
      <c r="Z1816" s="485"/>
      <c r="AA1816" s="487">
        <v>111750.0</v>
      </c>
      <c r="AB1816" s="487">
        <v>419063.0</v>
      </c>
      <c r="AC1816" s="488" t="s">
        <v>4760</v>
      </c>
      <c r="AD1816" s="474">
        <v>20672.0</v>
      </c>
      <c r="AE1816" s="476"/>
      <c r="AF1816" s="474" t="str">
        <f t="shared" si="1"/>
        <v>Capital Federal, Argentina</v>
      </c>
      <c r="AG1816" s="547">
        <f t="shared" si="2"/>
        <v>1</v>
      </c>
      <c r="AH1816" s="490">
        <f t="shared" si="17"/>
        <v>0</v>
      </c>
      <c r="AI1816" s="490">
        <f t="shared" si="12"/>
        <v>0</v>
      </c>
      <c r="AJ1816" s="491">
        <f t="shared" si="5"/>
        <v>530813</v>
      </c>
      <c r="AK1816" s="491">
        <f t="shared" si="18"/>
        <v>530813</v>
      </c>
      <c r="AL1816" s="492"/>
      <c r="AM1816" s="492"/>
    </row>
    <row r="1817">
      <c r="A1817" s="474">
        <v>1808.0</v>
      </c>
      <c r="B1817" s="475">
        <v>45869.0</v>
      </c>
      <c r="C1817" s="476"/>
      <c r="D1817" s="551" t="s">
        <v>4761</v>
      </c>
      <c r="E1817" s="552" t="s">
        <v>179</v>
      </c>
      <c r="F1817" s="479" t="s">
        <v>3490</v>
      </c>
      <c r="G1817" s="474" t="s">
        <v>64</v>
      </c>
      <c r="H1817" s="474" t="s">
        <v>41</v>
      </c>
      <c r="I1817" s="474" t="s">
        <v>643</v>
      </c>
      <c r="J1817" s="482"/>
      <c r="K1817" s="481"/>
      <c r="L1817" s="482"/>
      <c r="M1817" s="482"/>
      <c r="N1817" s="482"/>
      <c r="O1817" s="482"/>
      <c r="P1817" s="494">
        <v>1.0</v>
      </c>
      <c r="Q1817" s="476"/>
      <c r="R1817" s="484"/>
      <c r="S1817" s="478" t="s">
        <v>51</v>
      </c>
      <c r="T1817" s="474" t="s">
        <v>83</v>
      </c>
      <c r="U1817" s="474" t="s">
        <v>99</v>
      </c>
      <c r="V1817" s="474" t="s">
        <v>1984</v>
      </c>
      <c r="W1817" s="485"/>
      <c r="X1817" s="485"/>
      <c r="Y1817" s="486"/>
      <c r="Z1817" s="485"/>
      <c r="AA1817" s="487">
        <v>149000.0</v>
      </c>
      <c r="AB1817" s="487">
        <v>521500.0</v>
      </c>
      <c r="AC1817" s="488" t="s">
        <v>4762</v>
      </c>
      <c r="AD1817" s="474">
        <v>20654.0</v>
      </c>
      <c r="AE1817" s="476"/>
      <c r="AF1817" s="474" t="str">
        <f t="shared" si="1"/>
        <v>Capital Federal, Argentina</v>
      </c>
      <c r="AG1817" s="547">
        <f t="shared" si="2"/>
        <v>1</v>
      </c>
      <c r="AH1817" s="490">
        <f t="shared" si="17"/>
        <v>0</v>
      </c>
      <c r="AI1817" s="490">
        <f t="shared" si="12"/>
        <v>0</v>
      </c>
      <c r="AJ1817" s="491">
        <f t="shared" si="5"/>
        <v>670500</v>
      </c>
      <c r="AK1817" s="491">
        <f t="shared" si="18"/>
        <v>670500</v>
      </c>
      <c r="AL1817" s="492"/>
      <c r="AM1817" s="492"/>
    </row>
    <row r="1818">
      <c r="A1818" s="224">
        <v>1809.0</v>
      </c>
      <c r="B1818" s="225">
        <v>45880.0</v>
      </c>
      <c r="C1818" s="229"/>
      <c r="D1818" s="226" t="s">
        <v>4763</v>
      </c>
      <c r="E1818" s="426" t="s">
        <v>4764</v>
      </c>
      <c r="F1818" s="226" t="s">
        <v>2063</v>
      </c>
      <c r="G1818" s="224" t="s">
        <v>40</v>
      </c>
      <c r="H1818" s="224" t="s">
        <v>227</v>
      </c>
      <c r="I1818" s="224" t="s">
        <v>643</v>
      </c>
      <c r="J1818" s="275">
        <v>2.0</v>
      </c>
      <c r="K1818" s="227">
        <v>2.0</v>
      </c>
      <c r="L1818" s="228"/>
      <c r="M1818" s="227">
        <v>1.0</v>
      </c>
      <c r="N1818" s="228"/>
      <c r="O1818" s="228"/>
      <c r="P1818" s="496"/>
      <c r="Q1818" s="229"/>
      <c r="R1818" s="229"/>
      <c r="S1818" s="426" t="s">
        <v>98</v>
      </c>
      <c r="T1818" s="224" t="s">
        <v>83</v>
      </c>
      <c r="U1818" s="224" t="s">
        <v>342</v>
      </c>
      <c r="V1818" s="224" t="s">
        <v>1984</v>
      </c>
      <c r="W1818" s="230"/>
      <c r="X1818" s="230"/>
      <c r="Y1818" s="230"/>
      <c r="Z1818" s="230"/>
      <c r="AA1818" s="231">
        <v>684776.0</v>
      </c>
      <c r="AB1818" s="231">
        <v>2567910.0</v>
      </c>
      <c r="AC1818" s="499" t="s">
        <v>4765</v>
      </c>
      <c r="AD1818" s="224">
        <v>20736.0</v>
      </c>
      <c r="AE1818" s="229"/>
      <c r="AF1818" s="224" t="str">
        <f t="shared" si="1"/>
        <v>Capital Federal, Argentina</v>
      </c>
      <c r="AG1818" s="426">
        <f t="shared" si="2"/>
        <v>5</v>
      </c>
      <c r="AH1818" s="553">
        <f t="shared" si="17"/>
        <v>0</v>
      </c>
      <c r="AI1818" s="553">
        <f t="shared" si="12"/>
        <v>0</v>
      </c>
      <c r="AJ1818" s="231">
        <f t="shared" si="5"/>
        <v>3252686</v>
      </c>
      <c r="AK1818" s="231">
        <f t="shared" si="18"/>
        <v>3252686</v>
      </c>
      <c r="AL1818" s="233"/>
      <c r="AM1818" s="233"/>
    </row>
    <row r="1819">
      <c r="A1819" s="224">
        <v>1810.0</v>
      </c>
      <c r="B1819" s="554">
        <v>45881.0</v>
      </c>
      <c r="C1819" s="229"/>
      <c r="D1819" s="226" t="s">
        <v>2163</v>
      </c>
      <c r="E1819" s="426" t="s">
        <v>2255</v>
      </c>
      <c r="F1819" s="226" t="s">
        <v>1423</v>
      </c>
      <c r="G1819" s="224" t="s">
        <v>64</v>
      </c>
      <c r="H1819" s="224" t="s">
        <v>41</v>
      </c>
      <c r="I1819" s="224" t="s">
        <v>643</v>
      </c>
      <c r="J1819" s="275">
        <v>1.0</v>
      </c>
      <c r="K1819" s="228"/>
      <c r="L1819" s="228"/>
      <c r="M1819" s="228"/>
      <c r="N1819" s="228"/>
      <c r="O1819" s="228"/>
      <c r="P1819" s="496"/>
      <c r="Q1819" s="229"/>
      <c r="R1819" s="229"/>
      <c r="S1819" s="426" t="s">
        <v>65</v>
      </c>
      <c r="T1819" s="224" t="s">
        <v>66</v>
      </c>
      <c r="U1819" s="224" t="s">
        <v>99</v>
      </c>
      <c r="V1819" s="224" t="s">
        <v>1984</v>
      </c>
      <c r="W1819" s="230"/>
      <c r="X1819" s="230"/>
      <c r="Y1819" s="230"/>
      <c r="Z1819" s="230"/>
      <c r="AA1819" s="231">
        <v>135450.0</v>
      </c>
      <c r="AB1819" s="231">
        <v>541800.0</v>
      </c>
      <c r="AC1819" s="499" t="s">
        <v>4766</v>
      </c>
      <c r="AD1819" s="224">
        <v>20738.0</v>
      </c>
      <c r="AE1819" s="229"/>
      <c r="AF1819" s="224" t="str">
        <f t="shared" si="1"/>
        <v>Buenos Aires, Argentina</v>
      </c>
      <c r="AG1819" s="426">
        <f t="shared" si="2"/>
        <v>1</v>
      </c>
      <c r="AH1819" s="553">
        <f t="shared" si="17"/>
        <v>0</v>
      </c>
      <c r="AI1819" s="553">
        <f t="shared" si="12"/>
        <v>0</v>
      </c>
      <c r="AJ1819" s="231">
        <f t="shared" si="5"/>
        <v>677250</v>
      </c>
      <c r="AK1819" s="231">
        <f t="shared" si="18"/>
        <v>677250</v>
      </c>
      <c r="AL1819" s="233"/>
      <c r="AM1819" s="233"/>
    </row>
    <row r="1820">
      <c r="A1820" s="224">
        <v>1811.0</v>
      </c>
      <c r="B1820" s="225">
        <v>45882.0</v>
      </c>
      <c r="C1820" s="229"/>
      <c r="D1820" s="226" t="s">
        <v>4767</v>
      </c>
      <c r="E1820" s="426" t="s">
        <v>4768</v>
      </c>
      <c r="F1820" s="226" t="s">
        <v>1423</v>
      </c>
      <c r="G1820" s="224" t="s">
        <v>40</v>
      </c>
      <c r="H1820" s="224" t="s">
        <v>41</v>
      </c>
      <c r="I1820" s="224" t="s">
        <v>643</v>
      </c>
      <c r="J1820" s="275">
        <v>1.0</v>
      </c>
      <c r="K1820" s="228"/>
      <c r="L1820" s="228"/>
      <c r="M1820" s="228"/>
      <c r="N1820" s="228"/>
      <c r="O1820" s="228"/>
      <c r="P1820" s="496"/>
      <c r="Q1820" s="229"/>
      <c r="R1820" s="229"/>
      <c r="S1820" s="426" t="s">
        <v>189</v>
      </c>
      <c r="T1820" s="224" t="s">
        <v>734</v>
      </c>
      <c r="U1820" s="224" t="s">
        <v>342</v>
      </c>
      <c r="V1820" s="224" t="s">
        <v>1984</v>
      </c>
      <c r="W1820" s="230"/>
      <c r="X1820" s="230"/>
      <c r="Y1820" s="230"/>
      <c r="Z1820" s="230"/>
      <c r="AA1820" s="231">
        <v>150500.0</v>
      </c>
      <c r="AB1820" s="231">
        <v>564375.0</v>
      </c>
      <c r="AC1820" s="499" t="s">
        <v>4769</v>
      </c>
      <c r="AD1820" s="224">
        <v>20784.0</v>
      </c>
      <c r="AE1820" s="229"/>
      <c r="AF1820" s="224" t="str">
        <f t="shared" si="1"/>
        <v>Corrientes, Argentina</v>
      </c>
      <c r="AG1820" s="426">
        <f t="shared" si="2"/>
        <v>1</v>
      </c>
      <c r="AH1820" s="553">
        <f t="shared" si="17"/>
        <v>0</v>
      </c>
      <c r="AI1820" s="553">
        <f t="shared" si="12"/>
        <v>0</v>
      </c>
      <c r="AJ1820" s="231">
        <f t="shared" si="5"/>
        <v>714875</v>
      </c>
      <c r="AK1820" s="231">
        <f t="shared" si="18"/>
        <v>714875</v>
      </c>
      <c r="AL1820" s="233"/>
      <c r="AM1820" s="233"/>
    </row>
    <row r="1821">
      <c r="A1821" s="224">
        <v>1812.0</v>
      </c>
      <c r="B1821" s="225">
        <v>45883.0</v>
      </c>
      <c r="C1821" s="229"/>
      <c r="D1821" s="226" t="s">
        <v>4719</v>
      </c>
      <c r="E1821" s="426" t="s">
        <v>4720</v>
      </c>
      <c r="F1821" s="226" t="s">
        <v>1423</v>
      </c>
      <c r="G1821" s="224" t="s">
        <v>64</v>
      </c>
      <c r="H1821" s="224" t="s">
        <v>41</v>
      </c>
      <c r="I1821" s="224" t="s">
        <v>643</v>
      </c>
      <c r="J1821" s="275">
        <v>1.0</v>
      </c>
      <c r="K1821" s="228"/>
      <c r="L1821" s="228"/>
      <c r="M1821" s="228"/>
      <c r="N1821" s="228"/>
      <c r="O1821" s="228"/>
      <c r="P1821" s="496"/>
      <c r="Q1821" s="229"/>
      <c r="R1821" s="229"/>
      <c r="S1821" s="426" t="s">
        <v>89</v>
      </c>
      <c r="T1821" s="224" t="s">
        <v>66</v>
      </c>
      <c r="U1821" s="224" t="s">
        <v>99</v>
      </c>
      <c r="V1821" s="224" t="s">
        <v>1984</v>
      </c>
      <c r="W1821" s="230"/>
      <c r="X1821" s="230"/>
      <c r="Y1821" s="230"/>
      <c r="Z1821" s="230"/>
      <c r="AA1821" s="231">
        <v>149000.0</v>
      </c>
      <c r="AB1821" s="231">
        <v>564375.0</v>
      </c>
      <c r="AC1821" s="499" t="s">
        <v>4770</v>
      </c>
      <c r="AD1821" s="224">
        <v>20768.0</v>
      </c>
      <c r="AE1821" s="229"/>
      <c r="AF1821" s="224" t="str">
        <f t="shared" si="1"/>
        <v>Buenos Aires, Argentina</v>
      </c>
      <c r="AG1821" s="426">
        <f t="shared" si="2"/>
        <v>1</v>
      </c>
      <c r="AH1821" s="553">
        <f t="shared" si="17"/>
        <v>0</v>
      </c>
      <c r="AI1821" s="553">
        <f t="shared" si="12"/>
        <v>0</v>
      </c>
      <c r="AJ1821" s="231">
        <f t="shared" si="5"/>
        <v>713375</v>
      </c>
      <c r="AK1821" s="231">
        <f t="shared" si="18"/>
        <v>713375</v>
      </c>
      <c r="AL1821" s="233"/>
      <c r="AM1821" s="233"/>
    </row>
    <row r="1822">
      <c r="A1822" s="224">
        <v>1813.0</v>
      </c>
      <c r="B1822" s="225">
        <v>45887.0</v>
      </c>
      <c r="C1822" s="229"/>
      <c r="D1822" s="226" t="s">
        <v>4771</v>
      </c>
      <c r="E1822" s="426" t="s">
        <v>4772</v>
      </c>
      <c r="F1822" s="226" t="s">
        <v>4773</v>
      </c>
      <c r="G1822" s="224" t="s">
        <v>64</v>
      </c>
      <c r="H1822" s="224" t="s">
        <v>41</v>
      </c>
      <c r="I1822" s="224" t="s">
        <v>643</v>
      </c>
      <c r="J1822" s="228"/>
      <c r="K1822" s="228"/>
      <c r="L1822" s="228"/>
      <c r="M1822" s="227">
        <v>1.0</v>
      </c>
      <c r="N1822" s="228"/>
      <c r="O1822" s="228"/>
      <c r="P1822" s="496"/>
      <c r="Q1822" s="229"/>
      <c r="R1822" s="229"/>
      <c r="S1822" s="426" t="s">
        <v>105</v>
      </c>
      <c r="T1822" s="224" t="s">
        <v>66</v>
      </c>
      <c r="U1822" s="224" t="s">
        <v>99</v>
      </c>
      <c r="V1822" s="224" t="s">
        <v>1984</v>
      </c>
      <c r="W1822" s="230"/>
      <c r="X1822" s="230"/>
      <c r="Y1822" s="230"/>
      <c r="Z1822" s="230"/>
      <c r="AA1822" s="231">
        <v>150500.0</v>
      </c>
      <c r="AB1822" s="231">
        <v>489125.0</v>
      </c>
      <c r="AC1822" s="499" t="s">
        <v>4774</v>
      </c>
      <c r="AD1822" s="224">
        <v>20812.0</v>
      </c>
      <c r="AE1822" s="229"/>
      <c r="AF1822" s="224" t="str">
        <f t="shared" si="1"/>
        <v>Buenos Aires, Argentina</v>
      </c>
      <c r="AG1822" s="426">
        <f t="shared" si="2"/>
        <v>1</v>
      </c>
      <c r="AH1822" s="553">
        <f t="shared" si="17"/>
        <v>0</v>
      </c>
      <c r="AI1822" s="553">
        <f t="shared" si="12"/>
        <v>0</v>
      </c>
      <c r="AJ1822" s="231">
        <f t="shared" si="5"/>
        <v>639625</v>
      </c>
      <c r="AK1822" s="231">
        <f t="shared" si="18"/>
        <v>639625</v>
      </c>
      <c r="AL1822" s="233"/>
      <c r="AM1822" s="233"/>
    </row>
    <row r="1823">
      <c r="A1823" s="224">
        <v>1814.0</v>
      </c>
      <c r="B1823" s="225">
        <v>45888.0</v>
      </c>
      <c r="C1823" s="229"/>
      <c r="D1823" s="226" t="s">
        <v>4742</v>
      </c>
      <c r="E1823" s="426" t="s">
        <v>3459</v>
      </c>
      <c r="F1823" s="226" t="s">
        <v>4775</v>
      </c>
      <c r="G1823" s="224" t="s">
        <v>64</v>
      </c>
      <c r="H1823" s="224" t="s">
        <v>41</v>
      </c>
      <c r="I1823" s="224" t="s">
        <v>643</v>
      </c>
      <c r="J1823" s="228"/>
      <c r="K1823" s="228"/>
      <c r="L1823" s="228"/>
      <c r="M1823" s="228"/>
      <c r="N1823" s="228"/>
      <c r="O1823" s="228"/>
      <c r="P1823" s="496"/>
      <c r="Q1823" s="229"/>
      <c r="R1823" s="229"/>
      <c r="S1823" s="426" t="s">
        <v>109</v>
      </c>
      <c r="T1823" s="224" t="s">
        <v>66</v>
      </c>
      <c r="U1823" s="224" t="s">
        <v>99</v>
      </c>
      <c r="V1823" s="224" t="s">
        <v>1984</v>
      </c>
      <c r="W1823" s="230"/>
      <c r="X1823" s="230"/>
      <c r="Y1823" s="230"/>
      <c r="Z1823" s="230"/>
      <c r="AA1823" s="231">
        <v>0.0</v>
      </c>
      <c r="AB1823" s="231">
        <v>270900.0</v>
      </c>
      <c r="AC1823" s="499" t="s">
        <v>4776</v>
      </c>
      <c r="AD1823" s="224">
        <v>20746.0</v>
      </c>
      <c r="AE1823" s="229"/>
      <c r="AF1823" s="224" t="str">
        <f t="shared" si="1"/>
        <v>Buenos Aires, Argentina</v>
      </c>
      <c r="AG1823" s="426">
        <f t="shared" si="2"/>
        <v>0</v>
      </c>
      <c r="AH1823" s="553">
        <f t="shared" si="17"/>
        <v>0</v>
      </c>
      <c r="AI1823" s="553">
        <f t="shared" si="12"/>
        <v>0</v>
      </c>
      <c r="AJ1823" s="231">
        <f t="shared" si="5"/>
        <v>270900</v>
      </c>
      <c r="AK1823" s="231">
        <f t="shared" si="18"/>
        <v>270900</v>
      </c>
      <c r="AL1823" s="233"/>
      <c r="AM1823" s="233"/>
    </row>
    <row r="1824">
      <c r="A1824" s="224">
        <v>1815.0</v>
      </c>
      <c r="B1824" s="225">
        <v>45889.0</v>
      </c>
      <c r="C1824" s="229"/>
      <c r="D1824" s="226" t="s">
        <v>4777</v>
      </c>
      <c r="E1824" s="426" t="s">
        <v>4778</v>
      </c>
      <c r="F1824" s="226" t="s">
        <v>2141</v>
      </c>
      <c r="G1824" s="224" t="s">
        <v>40</v>
      </c>
      <c r="H1824" s="224" t="s">
        <v>41</v>
      </c>
      <c r="I1824" s="224" t="s">
        <v>42</v>
      </c>
      <c r="J1824" s="275">
        <v>1.0</v>
      </c>
      <c r="K1824" s="227">
        <v>1.0</v>
      </c>
      <c r="L1824" s="228"/>
      <c r="M1824" s="227">
        <v>1.0</v>
      </c>
      <c r="N1824" s="228"/>
      <c r="O1824" s="228"/>
      <c r="P1824" s="496"/>
      <c r="Q1824" s="229"/>
      <c r="R1824" s="229"/>
      <c r="S1824" s="426" t="s">
        <v>189</v>
      </c>
      <c r="T1824" s="224" t="s">
        <v>58</v>
      </c>
      <c r="U1824" s="224" t="s">
        <v>45</v>
      </c>
      <c r="V1824" s="224" t="s">
        <v>2922</v>
      </c>
      <c r="W1824" s="230"/>
      <c r="X1824" s="230"/>
      <c r="Y1824" s="230"/>
      <c r="Z1824" s="230"/>
      <c r="AA1824" s="231">
        <v>263375.0</v>
      </c>
      <c r="AB1824" s="231">
        <v>987656.0</v>
      </c>
      <c r="AC1824" s="499" t="s">
        <v>4779</v>
      </c>
      <c r="AD1824" s="224">
        <v>20706.0</v>
      </c>
      <c r="AE1824" s="229"/>
      <c r="AF1824" s="224" t="str">
        <f t="shared" si="1"/>
        <v>Córdoba, Argentina</v>
      </c>
      <c r="AG1824" s="426">
        <f t="shared" si="2"/>
        <v>3</v>
      </c>
      <c r="AH1824" s="553">
        <f t="shared" si="17"/>
        <v>0</v>
      </c>
      <c r="AI1824" s="553">
        <f t="shared" si="12"/>
        <v>0</v>
      </c>
      <c r="AJ1824" s="231">
        <f t="shared" si="5"/>
        <v>1251031</v>
      </c>
      <c r="AK1824" s="231">
        <f t="shared" si="18"/>
        <v>1251031</v>
      </c>
      <c r="AL1824" s="233"/>
      <c r="AM1824" s="233"/>
    </row>
    <row r="1825">
      <c r="A1825" s="224">
        <v>1816.0</v>
      </c>
      <c r="B1825" s="225">
        <v>45890.0</v>
      </c>
      <c r="C1825" s="229"/>
      <c r="D1825" s="226" t="s">
        <v>4780</v>
      </c>
      <c r="E1825" s="426" t="s">
        <v>4781</v>
      </c>
      <c r="F1825" s="226" t="s">
        <v>1412</v>
      </c>
      <c r="G1825" s="224" t="s">
        <v>64</v>
      </c>
      <c r="H1825" s="224" t="s">
        <v>41</v>
      </c>
      <c r="I1825" s="224" t="s">
        <v>643</v>
      </c>
      <c r="J1825" s="275">
        <v>2.0</v>
      </c>
      <c r="K1825" s="228"/>
      <c r="L1825" s="228"/>
      <c r="M1825" s="228"/>
      <c r="N1825" s="228"/>
      <c r="O1825" s="228"/>
      <c r="P1825" s="496"/>
      <c r="Q1825" s="229"/>
      <c r="R1825" s="229"/>
      <c r="S1825" s="426" t="s">
        <v>105</v>
      </c>
      <c r="T1825" s="224" t="s">
        <v>267</v>
      </c>
      <c r="U1825" s="224" t="s">
        <v>99</v>
      </c>
      <c r="V1825" s="224" t="s">
        <v>1984</v>
      </c>
      <c r="W1825" s="230"/>
      <c r="X1825" s="230"/>
      <c r="Y1825" s="230"/>
      <c r="Z1825" s="230"/>
      <c r="AA1825" s="231">
        <v>301000.0</v>
      </c>
      <c r="AB1825" s="231">
        <v>1204000.0</v>
      </c>
      <c r="AC1825" s="499" t="s">
        <v>4782</v>
      </c>
      <c r="AD1825" s="224">
        <v>20838.0</v>
      </c>
      <c r="AE1825" s="229"/>
      <c r="AF1825" s="224" t="str">
        <f t="shared" si="1"/>
        <v>Entre Ríos, Argentina</v>
      </c>
      <c r="AG1825" s="426">
        <f t="shared" si="2"/>
        <v>2</v>
      </c>
      <c r="AH1825" s="553">
        <f t="shared" si="17"/>
        <v>0</v>
      </c>
      <c r="AI1825" s="553">
        <f t="shared" si="12"/>
        <v>0</v>
      </c>
      <c r="AJ1825" s="231">
        <f t="shared" si="5"/>
        <v>1505000</v>
      </c>
      <c r="AK1825" s="231">
        <f t="shared" si="18"/>
        <v>1505000</v>
      </c>
      <c r="AL1825" s="233"/>
      <c r="AM1825" s="233"/>
    </row>
    <row r="1826">
      <c r="A1826" s="224">
        <v>1817.0</v>
      </c>
      <c r="B1826" s="225">
        <v>45891.0</v>
      </c>
      <c r="C1826" s="229"/>
      <c r="D1826" s="226" t="s">
        <v>4414</v>
      </c>
      <c r="E1826" s="426" t="s">
        <v>4415</v>
      </c>
      <c r="F1826" s="226" t="s">
        <v>1423</v>
      </c>
      <c r="G1826" s="224" t="s">
        <v>64</v>
      </c>
      <c r="H1826" s="224" t="s">
        <v>547</v>
      </c>
      <c r="I1826" s="224" t="s">
        <v>643</v>
      </c>
      <c r="J1826" s="275">
        <v>1.0</v>
      </c>
      <c r="K1826" s="228"/>
      <c r="L1826" s="228"/>
      <c r="M1826" s="228"/>
      <c r="N1826" s="228"/>
      <c r="O1826" s="228"/>
      <c r="P1826" s="496"/>
      <c r="Q1826" s="229"/>
      <c r="R1826" s="229"/>
      <c r="S1826" s="426" t="s">
        <v>204</v>
      </c>
      <c r="T1826" s="224" t="s">
        <v>66</v>
      </c>
      <c r="U1826" s="224" t="s">
        <v>99</v>
      </c>
      <c r="V1826" s="224" t="s">
        <v>1984</v>
      </c>
      <c r="W1826" s="230"/>
      <c r="X1826" s="230"/>
      <c r="Y1826" s="230"/>
      <c r="Z1826" s="230"/>
      <c r="AA1826" s="231">
        <v>115885.0</v>
      </c>
      <c r="AB1826" s="231">
        <v>463540.0</v>
      </c>
      <c r="AC1826" s="499" t="s">
        <v>4783</v>
      </c>
      <c r="AD1826" s="224">
        <v>20846.0</v>
      </c>
      <c r="AE1826" s="229"/>
      <c r="AF1826" s="224" t="str">
        <f t="shared" si="1"/>
        <v>Buenos Aires, Argentina</v>
      </c>
      <c r="AG1826" s="426">
        <f t="shared" si="2"/>
        <v>1</v>
      </c>
      <c r="AH1826" s="553">
        <f t="shared" si="17"/>
        <v>0</v>
      </c>
      <c r="AI1826" s="553">
        <f t="shared" si="12"/>
        <v>0</v>
      </c>
      <c r="AJ1826" s="231">
        <f t="shared" si="5"/>
        <v>579425</v>
      </c>
      <c r="AK1826" s="231">
        <f t="shared" si="18"/>
        <v>579425</v>
      </c>
      <c r="AL1826" s="233"/>
      <c r="AM1826" s="233"/>
    </row>
    <row r="1827">
      <c r="A1827" s="224">
        <v>1818.0</v>
      </c>
      <c r="B1827" s="225">
        <v>45895.0</v>
      </c>
      <c r="C1827" s="229"/>
      <c r="D1827" s="226" t="s">
        <v>4098</v>
      </c>
      <c r="E1827" s="426" t="s">
        <v>4099</v>
      </c>
      <c r="F1827" s="226" t="s">
        <v>1878</v>
      </c>
      <c r="G1827" s="224" t="s">
        <v>64</v>
      </c>
      <c r="H1827" s="224" t="s">
        <v>41</v>
      </c>
      <c r="I1827" s="224" t="s">
        <v>643</v>
      </c>
      <c r="J1827" s="228"/>
      <c r="K1827" s="228"/>
      <c r="L1827" s="228"/>
      <c r="M1827" s="228"/>
      <c r="N1827" s="227">
        <v>1.0</v>
      </c>
      <c r="O1827" s="228"/>
      <c r="P1827" s="496"/>
      <c r="Q1827" s="229"/>
      <c r="R1827" s="229"/>
      <c r="S1827" s="426" t="s">
        <v>189</v>
      </c>
      <c r="T1827" s="224" t="s">
        <v>66</v>
      </c>
      <c r="U1827" s="224" t="s">
        <v>99</v>
      </c>
      <c r="V1827" s="224" t="s">
        <v>1984</v>
      </c>
      <c r="W1827" s="230"/>
      <c r="X1827" s="230"/>
      <c r="Y1827" s="230"/>
      <c r="Z1827" s="230"/>
      <c r="AA1827" s="231">
        <v>150500.0</v>
      </c>
      <c r="AB1827" s="231">
        <v>677250.0</v>
      </c>
      <c r="AC1827" s="499" t="s">
        <v>4784</v>
      </c>
      <c r="AD1827" s="224">
        <v>20856.0</v>
      </c>
      <c r="AE1827" s="229"/>
      <c r="AF1827" s="224" t="str">
        <f t="shared" si="1"/>
        <v>Buenos Aires, Argentina</v>
      </c>
      <c r="AG1827" s="426">
        <f t="shared" si="2"/>
        <v>1</v>
      </c>
      <c r="AH1827" s="553">
        <f t="shared" si="17"/>
        <v>0</v>
      </c>
      <c r="AI1827" s="553">
        <f t="shared" si="12"/>
        <v>0</v>
      </c>
      <c r="AJ1827" s="231">
        <f t="shared" si="5"/>
        <v>827750</v>
      </c>
      <c r="AK1827" s="231">
        <f t="shared" si="18"/>
        <v>827750</v>
      </c>
      <c r="AL1827" s="233"/>
      <c r="AM1827" s="233"/>
    </row>
    <row r="1828">
      <c r="A1828" s="224">
        <v>1819.0</v>
      </c>
      <c r="B1828" s="225">
        <v>45895.0</v>
      </c>
      <c r="C1828" s="229"/>
      <c r="D1828" s="226" t="s">
        <v>1982</v>
      </c>
      <c r="E1828" s="426" t="s">
        <v>1983</v>
      </c>
      <c r="F1828" s="226" t="s">
        <v>1423</v>
      </c>
      <c r="G1828" s="224" t="s">
        <v>64</v>
      </c>
      <c r="H1828" s="224" t="s">
        <v>41</v>
      </c>
      <c r="I1828" s="224" t="s">
        <v>643</v>
      </c>
      <c r="J1828" s="275">
        <v>1.0</v>
      </c>
      <c r="K1828" s="228"/>
      <c r="L1828" s="228"/>
      <c r="M1828" s="228"/>
      <c r="N1828" s="228"/>
      <c r="O1828" s="228"/>
      <c r="P1828" s="496"/>
      <c r="Q1828" s="229"/>
      <c r="R1828" s="229"/>
      <c r="S1828" s="426" t="s">
        <v>65</v>
      </c>
      <c r="T1828" s="224" t="s">
        <v>66</v>
      </c>
      <c r="U1828" s="224" t="s">
        <v>99</v>
      </c>
      <c r="V1828" s="224" t="s">
        <v>1984</v>
      </c>
      <c r="W1828" s="230"/>
      <c r="X1828" s="230"/>
      <c r="Y1828" s="230"/>
      <c r="Z1828" s="230"/>
      <c r="AA1828" s="231">
        <v>150500.0</v>
      </c>
      <c r="AB1828" s="231">
        <v>602000.0</v>
      </c>
      <c r="AC1828" s="499" t="s">
        <v>4785</v>
      </c>
      <c r="AD1828" s="224">
        <v>20916.0</v>
      </c>
      <c r="AE1828" s="229"/>
      <c r="AF1828" s="224" t="str">
        <f t="shared" si="1"/>
        <v>Buenos Aires, Argentina</v>
      </c>
      <c r="AG1828" s="426">
        <f t="shared" si="2"/>
        <v>1</v>
      </c>
      <c r="AH1828" s="553">
        <f t="shared" si="17"/>
        <v>0</v>
      </c>
      <c r="AI1828" s="553">
        <f t="shared" si="12"/>
        <v>0</v>
      </c>
      <c r="AJ1828" s="231">
        <f t="shared" si="5"/>
        <v>752500</v>
      </c>
      <c r="AK1828" s="231">
        <f t="shared" si="18"/>
        <v>752500</v>
      </c>
      <c r="AL1828" s="233"/>
      <c r="AM1828" s="233"/>
    </row>
    <row r="1829">
      <c r="A1829" s="224">
        <v>1820.0</v>
      </c>
      <c r="B1829" s="225">
        <v>45896.0</v>
      </c>
      <c r="C1829" s="229"/>
      <c r="D1829" s="226" t="s">
        <v>4786</v>
      </c>
      <c r="E1829" s="426" t="s">
        <v>4787</v>
      </c>
      <c r="F1829" s="226" t="s">
        <v>2172</v>
      </c>
      <c r="G1829" s="224" t="s">
        <v>40</v>
      </c>
      <c r="H1829" s="224" t="s">
        <v>41</v>
      </c>
      <c r="I1829" s="224" t="s">
        <v>643</v>
      </c>
      <c r="J1829" s="275">
        <v>2.0</v>
      </c>
      <c r="K1829" s="228"/>
      <c r="L1829" s="228"/>
      <c r="M1829" s="227">
        <v>1.0</v>
      </c>
      <c r="N1829" s="228"/>
      <c r="O1829" s="228"/>
      <c r="P1829" s="496"/>
      <c r="Q1829" s="229"/>
      <c r="R1829" s="229"/>
      <c r="S1829" s="426" t="s">
        <v>43</v>
      </c>
      <c r="T1829" s="224" t="s">
        <v>66</v>
      </c>
      <c r="U1829" s="224" t="s">
        <v>342</v>
      </c>
      <c r="V1829" s="224" t="s">
        <v>1984</v>
      </c>
      <c r="W1829" s="230"/>
      <c r="X1829" s="230"/>
      <c r="Y1829" s="230"/>
      <c r="Z1829" s="230"/>
      <c r="AA1829" s="231">
        <v>301000.0</v>
      </c>
      <c r="AB1829" s="231">
        <v>1204000.0</v>
      </c>
      <c r="AC1829" s="499" t="s">
        <v>4788</v>
      </c>
      <c r="AD1829" s="224">
        <v>20938.0</v>
      </c>
      <c r="AE1829" s="229"/>
      <c r="AF1829" s="224" t="str">
        <f t="shared" si="1"/>
        <v>Buenos Aires, Argentina</v>
      </c>
      <c r="AG1829" s="426">
        <f t="shared" si="2"/>
        <v>3</v>
      </c>
      <c r="AH1829" s="553">
        <f t="shared" si="17"/>
        <v>0</v>
      </c>
      <c r="AI1829" s="553">
        <f t="shared" si="12"/>
        <v>0</v>
      </c>
      <c r="AJ1829" s="231">
        <f t="shared" si="5"/>
        <v>1505000</v>
      </c>
      <c r="AK1829" s="231">
        <f t="shared" si="18"/>
        <v>1505000</v>
      </c>
      <c r="AL1829" s="233"/>
      <c r="AM1829" s="233"/>
    </row>
    <row r="1830">
      <c r="A1830" s="224">
        <v>1821.0</v>
      </c>
      <c r="B1830" s="225">
        <v>45896.0</v>
      </c>
      <c r="C1830" s="229"/>
      <c r="D1830" s="226" t="s">
        <v>795</v>
      </c>
      <c r="E1830" s="426" t="s">
        <v>796</v>
      </c>
      <c r="F1830" s="226" t="s">
        <v>1427</v>
      </c>
      <c r="G1830" s="224" t="s">
        <v>64</v>
      </c>
      <c r="H1830" s="224" t="s">
        <v>41</v>
      </c>
      <c r="I1830" s="224" t="s">
        <v>643</v>
      </c>
      <c r="J1830" s="228"/>
      <c r="K1830" s="227">
        <v>2.0</v>
      </c>
      <c r="L1830" s="228"/>
      <c r="M1830" s="228"/>
      <c r="N1830" s="228"/>
      <c r="O1830" s="228"/>
      <c r="P1830" s="496"/>
      <c r="Q1830" s="229"/>
      <c r="R1830" s="229"/>
      <c r="S1830" s="426" t="s">
        <v>98</v>
      </c>
      <c r="T1830" s="224" t="s">
        <v>66</v>
      </c>
      <c r="U1830" s="224" t="s">
        <v>99</v>
      </c>
      <c r="V1830" s="224" t="s">
        <v>1984</v>
      </c>
      <c r="W1830" s="230"/>
      <c r="X1830" s="230"/>
      <c r="Y1830" s="230"/>
      <c r="Z1830" s="230"/>
      <c r="AA1830" s="231">
        <v>225750.0</v>
      </c>
      <c r="AB1830" s="231">
        <v>903000.0</v>
      </c>
      <c r="AC1830" s="499" t="s">
        <v>4789</v>
      </c>
      <c r="AD1830" s="224">
        <v>20850.0</v>
      </c>
      <c r="AE1830" s="229"/>
      <c r="AF1830" s="224" t="str">
        <f t="shared" si="1"/>
        <v>Buenos Aires, Argentina</v>
      </c>
      <c r="AG1830" s="426">
        <f t="shared" si="2"/>
        <v>2</v>
      </c>
      <c r="AH1830" s="553">
        <f t="shared" si="17"/>
        <v>0</v>
      </c>
      <c r="AI1830" s="553">
        <f t="shared" si="12"/>
        <v>0</v>
      </c>
      <c r="AJ1830" s="231">
        <f t="shared" si="5"/>
        <v>1128750</v>
      </c>
      <c r="AK1830" s="231">
        <f t="shared" si="18"/>
        <v>1128750</v>
      </c>
      <c r="AL1830" s="233"/>
      <c r="AM1830" s="233"/>
    </row>
    <row r="1831">
      <c r="A1831" s="224">
        <v>1822.0</v>
      </c>
      <c r="B1831" s="225">
        <v>45896.0</v>
      </c>
      <c r="C1831" s="229"/>
      <c r="D1831" s="226" t="s">
        <v>4790</v>
      </c>
      <c r="E1831" s="426" t="s">
        <v>4791</v>
      </c>
      <c r="F1831" s="226" t="s">
        <v>1423</v>
      </c>
      <c r="G1831" s="224" t="s">
        <v>40</v>
      </c>
      <c r="H1831" s="224" t="s">
        <v>41</v>
      </c>
      <c r="I1831" s="224" t="s">
        <v>643</v>
      </c>
      <c r="J1831" s="275">
        <v>1.0</v>
      </c>
      <c r="K1831" s="228"/>
      <c r="L1831" s="228"/>
      <c r="M1831" s="228"/>
      <c r="N1831" s="228"/>
      <c r="O1831" s="228"/>
      <c r="P1831" s="496"/>
      <c r="Q1831" s="229"/>
      <c r="R1831" s="229"/>
      <c r="S1831" s="426" t="s">
        <v>137</v>
      </c>
      <c r="T1831" s="224" t="s">
        <v>66</v>
      </c>
      <c r="U1831" s="224" t="s">
        <v>99</v>
      </c>
      <c r="V1831" s="224" t="s">
        <v>1984</v>
      </c>
      <c r="W1831" s="230"/>
      <c r="X1831" s="230"/>
      <c r="Y1831" s="230"/>
      <c r="Z1831" s="230"/>
      <c r="AA1831" s="231">
        <v>150500.0</v>
      </c>
      <c r="AB1831" s="231">
        <v>564375.0</v>
      </c>
      <c r="AC1831" s="499" t="s">
        <v>4792</v>
      </c>
      <c r="AD1831" s="224">
        <v>20894.0</v>
      </c>
      <c r="AE1831" s="229"/>
      <c r="AF1831" s="224" t="str">
        <f t="shared" si="1"/>
        <v>Buenos Aires, Argentina</v>
      </c>
      <c r="AG1831" s="426">
        <f t="shared" si="2"/>
        <v>1</v>
      </c>
      <c r="AH1831" s="553">
        <f t="shared" si="17"/>
        <v>0</v>
      </c>
      <c r="AI1831" s="553">
        <f t="shared" si="12"/>
        <v>0</v>
      </c>
      <c r="AJ1831" s="231">
        <f t="shared" si="5"/>
        <v>714875</v>
      </c>
      <c r="AK1831" s="231">
        <f t="shared" si="18"/>
        <v>714875</v>
      </c>
      <c r="AL1831" s="233"/>
      <c r="AM1831" s="233"/>
    </row>
    <row r="1832">
      <c r="A1832" s="224">
        <v>1823.0</v>
      </c>
      <c r="B1832" s="225">
        <v>45896.0</v>
      </c>
      <c r="C1832" s="229"/>
      <c r="D1832" s="226" t="s">
        <v>4793</v>
      </c>
      <c r="E1832" s="426" t="s">
        <v>3279</v>
      </c>
      <c r="F1832" s="226" t="s">
        <v>1415</v>
      </c>
      <c r="G1832" s="224" t="s">
        <v>64</v>
      </c>
      <c r="H1832" s="224" t="s">
        <v>41</v>
      </c>
      <c r="I1832" s="224" t="s">
        <v>643</v>
      </c>
      <c r="J1832" s="228"/>
      <c r="K1832" s="227">
        <v>1.0</v>
      </c>
      <c r="L1832" s="228"/>
      <c r="M1832" s="228"/>
      <c r="N1832" s="228"/>
      <c r="O1832" s="228"/>
      <c r="P1832" s="496"/>
      <c r="Q1832" s="229"/>
      <c r="R1832" s="229"/>
      <c r="S1832" s="426" t="s">
        <v>65</v>
      </c>
      <c r="T1832" s="224" t="s">
        <v>66</v>
      </c>
      <c r="U1832" s="224" t="s">
        <v>99</v>
      </c>
      <c r="V1832" s="224" t="s">
        <v>1984</v>
      </c>
      <c r="W1832" s="230"/>
      <c r="X1832" s="230"/>
      <c r="Y1832" s="230"/>
      <c r="Z1832" s="230"/>
      <c r="AA1832" s="231">
        <v>112875.0</v>
      </c>
      <c r="AB1832" s="231">
        <v>395063.0</v>
      </c>
      <c r="AC1832" s="499" t="s">
        <v>4794</v>
      </c>
      <c r="AD1832" s="224">
        <v>20908.0</v>
      </c>
      <c r="AE1832" s="229"/>
      <c r="AF1832" s="224" t="str">
        <f t="shared" si="1"/>
        <v>Buenos Aires, Argentina</v>
      </c>
      <c r="AG1832" s="426">
        <f t="shared" si="2"/>
        <v>1</v>
      </c>
      <c r="AH1832" s="553">
        <f t="shared" si="17"/>
        <v>0</v>
      </c>
      <c r="AI1832" s="553">
        <f t="shared" si="12"/>
        <v>0</v>
      </c>
      <c r="AJ1832" s="231">
        <f t="shared" si="5"/>
        <v>507938</v>
      </c>
      <c r="AK1832" s="231">
        <f t="shared" si="18"/>
        <v>507938</v>
      </c>
      <c r="AL1832" s="233"/>
      <c r="AM1832" s="233"/>
    </row>
    <row r="1833">
      <c r="A1833" s="224">
        <v>1824.0</v>
      </c>
      <c r="B1833" s="225">
        <v>45897.0</v>
      </c>
      <c r="C1833" s="229"/>
      <c r="D1833" s="226" t="s">
        <v>4795</v>
      </c>
      <c r="E1833" s="426" t="s">
        <v>4796</v>
      </c>
      <c r="F1833" s="226" t="s">
        <v>4797</v>
      </c>
      <c r="G1833" s="224" t="s">
        <v>40</v>
      </c>
      <c r="H1833" s="224" t="s">
        <v>41</v>
      </c>
      <c r="I1833" s="224" t="s">
        <v>42</v>
      </c>
      <c r="J1833" s="275">
        <v>3.0</v>
      </c>
      <c r="K1833" s="227">
        <v>5.0</v>
      </c>
      <c r="L1833" s="228"/>
      <c r="M1833" s="227">
        <v>1.0</v>
      </c>
      <c r="N1833" s="228"/>
      <c r="O1833" s="228"/>
      <c r="P1833" s="496"/>
      <c r="Q1833" s="229"/>
      <c r="R1833" s="229"/>
      <c r="S1833" s="426" t="s">
        <v>65</v>
      </c>
      <c r="T1833" s="224" t="s">
        <v>66</v>
      </c>
      <c r="U1833" s="224" t="s">
        <v>45</v>
      </c>
      <c r="V1833" s="224" t="s">
        <v>4626</v>
      </c>
      <c r="W1833" s="230"/>
      <c r="X1833" s="230"/>
      <c r="Y1833" s="230"/>
      <c r="Z1833" s="230"/>
      <c r="AA1833" s="231">
        <v>914287.0</v>
      </c>
      <c r="AB1833" s="231">
        <v>4458562.0</v>
      </c>
      <c r="AC1833" s="499" t="s">
        <v>4798</v>
      </c>
      <c r="AD1833" s="224">
        <v>20728.0</v>
      </c>
      <c r="AE1833" s="229"/>
      <c r="AF1833" s="224" t="str">
        <f t="shared" si="1"/>
        <v>Buenos Aires, Argentina</v>
      </c>
      <c r="AG1833" s="426">
        <f t="shared" si="2"/>
        <v>9</v>
      </c>
      <c r="AH1833" s="553">
        <f t="shared" si="17"/>
        <v>0</v>
      </c>
      <c r="AI1833" s="553">
        <f t="shared" si="12"/>
        <v>0</v>
      </c>
      <c r="AJ1833" s="231">
        <f t="shared" si="5"/>
        <v>5372849</v>
      </c>
      <c r="AK1833" s="231">
        <f t="shared" si="18"/>
        <v>5372849</v>
      </c>
      <c r="AL1833" s="233"/>
      <c r="AM1833" s="233"/>
    </row>
    <row r="1834">
      <c r="A1834" s="224">
        <v>1825.0</v>
      </c>
      <c r="B1834" s="225">
        <v>45897.0</v>
      </c>
      <c r="C1834" s="229"/>
      <c r="D1834" s="226" t="s">
        <v>4799</v>
      </c>
      <c r="E1834" s="426" t="s">
        <v>4800</v>
      </c>
      <c r="F1834" s="226" t="s">
        <v>4801</v>
      </c>
      <c r="G1834" s="224" t="s">
        <v>40</v>
      </c>
      <c r="H1834" s="224" t="s">
        <v>547</v>
      </c>
      <c r="I1834" s="224" t="s">
        <v>42</v>
      </c>
      <c r="J1834" s="275">
        <v>2.0</v>
      </c>
      <c r="K1834" s="227">
        <v>4.0</v>
      </c>
      <c r="L1834" s="228"/>
      <c r="M1834" s="227">
        <v>1.0</v>
      </c>
      <c r="N1834" s="228"/>
      <c r="O1834" s="227">
        <v>1.0</v>
      </c>
      <c r="P1834" s="496"/>
      <c r="Q1834" s="229"/>
      <c r="R1834" s="229"/>
      <c r="S1834" s="426" t="s">
        <v>137</v>
      </c>
      <c r="T1834" s="224" t="s">
        <v>263</v>
      </c>
      <c r="U1834" s="224" t="s">
        <v>4456</v>
      </c>
      <c r="V1834" s="224" t="s">
        <v>2922</v>
      </c>
      <c r="W1834" s="230"/>
      <c r="X1834" s="230"/>
      <c r="Y1834" s="230"/>
      <c r="Z1834" s="230"/>
      <c r="AA1834" s="231">
        <v>643163.0</v>
      </c>
      <c r="AB1834" s="231">
        <v>2317704.0</v>
      </c>
      <c r="AC1834" s="499" t="s">
        <v>4802</v>
      </c>
      <c r="AD1834" s="224">
        <v>20750.0</v>
      </c>
      <c r="AE1834" s="229"/>
      <c r="AF1834" s="224" t="str">
        <f t="shared" si="1"/>
        <v>Santa Fé, Argentina</v>
      </c>
      <c r="AG1834" s="426">
        <f t="shared" si="2"/>
        <v>8</v>
      </c>
      <c r="AH1834" s="553">
        <f t="shared" si="17"/>
        <v>0</v>
      </c>
      <c r="AI1834" s="553">
        <f t="shared" si="12"/>
        <v>0</v>
      </c>
      <c r="AJ1834" s="231">
        <f t="shared" si="5"/>
        <v>2960867</v>
      </c>
      <c r="AK1834" s="231">
        <f t="shared" si="18"/>
        <v>2960867</v>
      </c>
      <c r="AL1834" s="233"/>
      <c r="AM1834" s="233"/>
    </row>
    <row r="1835">
      <c r="A1835" s="224">
        <v>1826.0</v>
      </c>
      <c r="B1835" s="225">
        <v>45898.0</v>
      </c>
      <c r="C1835" s="229"/>
      <c r="D1835" s="226" t="s">
        <v>4803</v>
      </c>
      <c r="E1835" s="426" t="s">
        <v>4804</v>
      </c>
      <c r="F1835" s="226" t="s">
        <v>4805</v>
      </c>
      <c r="G1835" s="224" t="s">
        <v>64</v>
      </c>
      <c r="H1835" s="224" t="s">
        <v>547</v>
      </c>
      <c r="I1835" s="224" t="s">
        <v>643</v>
      </c>
      <c r="J1835" s="228"/>
      <c r="K1835" s="228"/>
      <c r="L1835" s="228"/>
      <c r="M1835" s="228"/>
      <c r="N1835" s="228"/>
      <c r="O1835" s="228"/>
      <c r="P1835" s="496"/>
      <c r="Q1835" s="229"/>
      <c r="R1835" s="229"/>
      <c r="S1835" s="426" t="s">
        <v>114</v>
      </c>
      <c r="T1835" s="224" t="s">
        <v>66</v>
      </c>
      <c r="U1835" s="224" t="s">
        <v>99</v>
      </c>
      <c r="V1835" s="224" t="s">
        <v>1984</v>
      </c>
      <c r="W1835" s="230"/>
      <c r="X1835" s="230"/>
      <c r="Y1835" s="230"/>
      <c r="Z1835" s="230"/>
      <c r="AA1835" s="231">
        <v>0.0</v>
      </c>
      <c r="AB1835" s="231">
        <v>278124.0</v>
      </c>
      <c r="AC1835" s="499" t="s">
        <v>4806</v>
      </c>
      <c r="AD1835" s="224">
        <v>20582.0</v>
      </c>
      <c r="AE1835" s="229"/>
      <c r="AF1835" s="224" t="str">
        <f t="shared" si="1"/>
        <v>Buenos Aires, Argentina</v>
      </c>
      <c r="AG1835" s="426">
        <f t="shared" si="2"/>
        <v>0</v>
      </c>
      <c r="AH1835" s="553">
        <f t="shared" si="17"/>
        <v>0</v>
      </c>
      <c r="AI1835" s="553">
        <f t="shared" si="12"/>
        <v>0</v>
      </c>
      <c r="AJ1835" s="231">
        <f t="shared" si="5"/>
        <v>278124</v>
      </c>
      <c r="AK1835" s="231">
        <f t="shared" si="18"/>
        <v>278124</v>
      </c>
      <c r="AL1835" s="233"/>
      <c r="AM1835" s="233"/>
    </row>
    <row r="1836">
      <c r="A1836" s="224">
        <v>1827.0</v>
      </c>
      <c r="B1836" s="225">
        <v>45900.0</v>
      </c>
      <c r="C1836" s="229"/>
      <c r="D1836" s="226" t="s">
        <v>4807</v>
      </c>
      <c r="E1836" s="426" t="s">
        <v>1962</v>
      </c>
      <c r="F1836" s="226" t="s">
        <v>4808</v>
      </c>
      <c r="G1836" s="224" t="s">
        <v>64</v>
      </c>
      <c r="H1836" s="224" t="s">
        <v>227</v>
      </c>
      <c r="I1836" s="224" t="s">
        <v>643</v>
      </c>
      <c r="J1836" s="228"/>
      <c r="K1836" s="228"/>
      <c r="L1836" s="228"/>
      <c r="M1836" s="228"/>
      <c r="N1836" s="228"/>
      <c r="O1836" s="227">
        <v>2.0</v>
      </c>
      <c r="P1836" s="496"/>
      <c r="Q1836" s="229"/>
      <c r="R1836" s="229"/>
      <c r="S1836" s="426" t="s">
        <v>89</v>
      </c>
      <c r="T1836" s="224" t="s">
        <v>83</v>
      </c>
      <c r="U1836" s="224" t="s">
        <v>99</v>
      </c>
      <c r="V1836" s="224" t="s">
        <v>1984</v>
      </c>
      <c r="W1836" s="230"/>
      <c r="X1836" s="230"/>
      <c r="Y1836" s="230"/>
      <c r="Z1836" s="230"/>
      <c r="AA1836" s="231">
        <v>215216.0</v>
      </c>
      <c r="AB1836" s="231">
        <v>860864.0</v>
      </c>
      <c r="AC1836" s="499" t="s">
        <v>4809</v>
      </c>
      <c r="AD1836" s="224">
        <v>20780.0</v>
      </c>
      <c r="AE1836" s="229"/>
      <c r="AF1836" s="224" t="str">
        <f t="shared" si="1"/>
        <v>Capital Federal, Argentina</v>
      </c>
      <c r="AG1836" s="426">
        <f t="shared" si="2"/>
        <v>2</v>
      </c>
      <c r="AH1836" s="553">
        <f t="shared" si="17"/>
        <v>0</v>
      </c>
      <c r="AI1836" s="553">
        <f t="shared" si="12"/>
        <v>0</v>
      </c>
      <c r="AJ1836" s="231">
        <f t="shared" si="5"/>
        <v>1076080</v>
      </c>
      <c r="AK1836" s="231">
        <f t="shared" si="18"/>
        <v>1076080</v>
      </c>
      <c r="AL1836" s="233"/>
      <c r="AM1836" s="233"/>
    </row>
    <row r="1837">
      <c r="A1837" s="224">
        <v>1828.0</v>
      </c>
      <c r="B1837" s="225">
        <v>45900.0</v>
      </c>
      <c r="C1837" s="229"/>
      <c r="D1837" s="226" t="s">
        <v>4810</v>
      </c>
      <c r="E1837" s="426" t="s">
        <v>4811</v>
      </c>
      <c r="F1837" s="226" t="s">
        <v>4812</v>
      </c>
      <c r="G1837" s="224" t="s">
        <v>40</v>
      </c>
      <c r="H1837" s="224" t="s">
        <v>41</v>
      </c>
      <c r="I1837" s="224" t="s">
        <v>42</v>
      </c>
      <c r="J1837" s="275">
        <v>2.0</v>
      </c>
      <c r="K1837" s="227">
        <v>5.0</v>
      </c>
      <c r="L1837" s="228"/>
      <c r="M1837" s="227">
        <v>1.0</v>
      </c>
      <c r="N1837" s="228"/>
      <c r="O1837" s="228"/>
      <c r="P1837" s="496"/>
      <c r="Q1837" s="229"/>
      <c r="R1837" s="229"/>
      <c r="S1837" s="426" t="s">
        <v>65</v>
      </c>
      <c r="T1837" s="224" t="s">
        <v>66</v>
      </c>
      <c r="U1837" s="224" t="s">
        <v>4456</v>
      </c>
      <c r="V1837" s="224" t="s">
        <v>4626</v>
      </c>
      <c r="W1837" s="230"/>
      <c r="X1837" s="230"/>
      <c r="Y1837" s="230"/>
      <c r="Z1837" s="230"/>
      <c r="AA1837" s="231">
        <v>778837.0</v>
      </c>
      <c r="AB1837" s="231">
        <v>3028812.0</v>
      </c>
      <c r="AC1837" s="499" t="s">
        <v>4813</v>
      </c>
      <c r="AD1837" s="224">
        <v>20608.0</v>
      </c>
      <c r="AE1837" s="229"/>
      <c r="AF1837" s="224" t="str">
        <f t="shared" si="1"/>
        <v>Buenos Aires, Argentina</v>
      </c>
      <c r="AG1837" s="426">
        <f t="shared" si="2"/>
        <v>8</v>
      </c>
      <c r="AH1837" s="553">
        <f t="shared" si="17"/>
        <v>0</v>
      </c>
      <c r="AI1837" s="553">
        <f t="shared" si="12"/>
        <v>0</v>
      </c>
      <c r="AJ1837" s="231">
        <f t="shared" si="5"/>
        <v>3807649</v>
      </c>
      <c r="AK1837" s="231">
        <f t="shared" si="18"/>
        <v>3807649</v>
      </c>
      <c r="AL1837" s="233"/>
      <c r="AM1837" s="233"/>
    </row>
    <row r="1838">
      <c r="A1838" s="224">
        <v>1829.0</v>
      </c>
      <c r="B1838" s="225">
        <v>45900.0</v>
      </c>
      <c r="C1838" s="229"/>
      <c r="D1838" s="226" t="s">
        <v>4814</v>
      </c>
      <c r="E1838" s="426" t="s">
        <v>4501</v>
      </c>
      <c r="F1838" s="226" t="s">
        <v>1415</v>
      </c>
      <c r="G1838" s="224" t="s">
        <v>64</v>
      </c>
      <c r="H1838" s="224" t="s">
        <v>41</v>
      </c>
      <c r="I1838" s="224" t="s">
        <v>42</v>
      </c>
      <c r="J1838" s="228"/>
      <c r="K1838" s="227">
        <v>1.0</v>
      </c>
      <c r="L1838" s="228"/>
      <c r="M1838" s="228"/>
      <c r="N1838" s="228"/>
      <c r="O1838" s="228"/>
      <c r="P1838" s="496"/>
      <c r="Q1838" s="229"/>
      <c r="R1838" s="229"/>
      <c r="S1838" s="426" t="s">
        <v>65</v>
      </c>
      <c r="T1838" s="224" t="s">
        <v>66</v>
      </c>
      <c r="U1838" s="224" t="s">
        <v>99</v>
      </c>
      <c r="V1838" s="224" t="s">
        <v>2922</v>
      </c>
      <c r="W1838" s="230"/>
      <c r="X1838" s="230"/>
      <c r="Y1838" s="230"/>
      <c r="Z1838" s="230"/>
      <c r="AA1838" s="231">
        <v>114000.0</v>
      </c>
      <c r="AB1838" s="231">
        <v>513000.0</v>
      </c>
      <c r="AC1838" s="499" t="s">
        <v>4815</v>
      </c>
      <c r="AD1838" s="224">
        <v>20998.0</v>
      </c>
      <c r="AE1838" s="229"/>
      <c r="AF1838" s="224" t="str">
        <f t="shared" si="1"/>
        <v>Buenos Aires, Argentina</v>
      </c>
      <c r="AG1838" s="426">
        <f t="shared" si="2"/>
        <v>1</v>
      </c>
      <c r="AH1838" s="553">
        <f t="shared" si="17"/>
        <v>0</v>
      </c>
      <c r="AI1838" s="553">
        <f t="shared" si="12"/>
        <v>0</v>
      </c>
      <c r="AJ1838" s="231">
        <f t="shared" si="5"/>
        <v>627000</v>
      </c>
      <c r="AK1838" s="231">
        <f t="shared" si="18"/>
        <v>627000</v>
      </c>
      <c r="AL1838" s="233"/>
      <c r="AM1838" s="233"/>
    </row>
    <row r="1839">
      <c r="A1839" s="224">
        <v>1830.0</v>
      </c>
      <c r="B1839" s="225">
        <v>45900.0</v>
      </c>
      <c r="C1839" s="229"/>
      <c r="D1839" s="226" t="s">
        <v>3894</v>
      </c>
      <c r="E1839" s="426" t="s">
        <v>3895</v>
      </c>
      <c r="F1839" s="226" t="s">
        <v>3490</v>
      </c>
      <c r="G1839" s="224" t="s">
        <v>64</v>
      </c>
      <c r="H1839" s="224" t="s">
        <v>41</v>
      </c>
      <c r="I1839" s="224" t="s">
        <v>643</v>
      </c>
      <c r="J1839" s="228"/>
      <c r="K1839" s="228"/>
      <c r="L1839" s="228"/>
      <c r="M1839" s="228"/>
      <c r="N1839" s="228"/>
      <c r="O1839" s="228"/>
      <c r="P1839" s="227">
        <v>1.0</v>
      </c>
      <c r="Q1839" s="229"/>
      <c r="R1839" s="229"/>
      <c r="S1839" s="426" t="s">
        <v>189</v>
      </c>
      <c r="T1839" s="224" t="s">
        <v>66</v>
      </c>
      <c r="U1839" s="224" t="s">
        <v>99</v>
      </c>
      <c r="V1839" s="224" t="s">
        <v>1984</v>
      </c>
      <c r="W1839" s="230"/>
      <c r="X1839" s="230"/>
      <c r="Y1839" s="230"/>
      <c r="Z1839" s="230"/>
      <c r="AA1839" s="231">
        <v>150500.0</v>
      </c>
      <c r="AB1839" s="231">
        <v>602000.0</v>
      </c>
      <c r="AC1839" s="499" t="s">
        <v>4816</v>
      </c>
      <c r="AD1839" s="224">
        <v>20912.0</v>
      </c>
      <c r="AE1839" s="229"/>
      <c r="AF1839" s="224" t="str">
        <f t="shared" si="1"/>
        <v>Buenos Aires, Argentina</v>
      </c>
      <c r="AG1839" s="426">
        <f t="shared" si="2"/>
        <v>1</v>
      </c>
      <c r="AH1839" s="553">
        <f t="shared" si="17"/>
        <v>0</v>
      </c>
      <c r="AI1839" s="553">
        <f t="shared" si="12"/>
        <v>0</v>
      </c>
      <c r="AJ1839" s="231">
        <f t="shared" si="5"/>
        <v>752500</v>
      </c>
      <c r="AK1839" s="231">
        <f t="shared" si="18"/>
        <v>752500</v>
      </c>
      <c r="AL1839" s="233"/>
      <c r="AM1839" s="233"/>
    </row>
    <row r="1840">
      <c r="A1840" s="224">
        <v>1831.0</v>
      </c>
      <c r="B1840" s="225">
        <v>45900.0</v>
      </c>
      <c r="C1840" s="229"/>
      <c r="D1840" s="226" t="s">
        <v>3894</v>
      </c>
      <c r="E1840" s="426" t="s">
        <v>3895</v>
      </c>
      <c r="F1840" s="226" t="s">
        <v>4817</v>
      </c>
      <c r="G1840" s="224" t="s">
        <v>64</v>
      </c>
      <c r="H1840" s="224" t="s">
        <v>41</v>
      </c>
      <c r="I1840" s="224" t="s">
        <v>643</v>
      </c>
      <c r="J1840" s="228"/>
      <c r="K1840" s="228"/>
      <c r="L1840" s="228"/>
      <c r="M1840" s="228"/>
      <c r="N1840" s="228"/>
      <c r="O1840" s="228"/>
      <c r="P1840" s="496"/>
      <c r="Q1840" s="229"/>
      <c r="R1840" s="229"/>
      <c r="S1840" s="426" t="s">
        <v>189</v>
      </c>
      <c r="T1840" s="224" t="s">
        <v>66</v>
      </c>
      <c r="U1840" s="224" t="s">
        <v>99</v>
      </c>
      <c r="V1840" s="224" t="s">
        <v>1984</v>
      </c>
      <c r="W1840" s="231">
        <v>192307.0</v>
      </c>
      <c r="X1840" s="231">
        <v>865382.0</v>
      </c>
      <c r="Y1840" s="230"/>
      <c r="Z1840" s="230"/>
      <c r="AA1840" s="231">
        <v>0.0</v>
      </c>
      <c r="AB1840" s="231">
        <v>0.0</v>
      </c>
      <c r="AC1840" s="499" t="s">
        <v>4816</v>
      </c>
      <c r="AD1840" s="224">
        <v>20912.0</v>
      </c>
      <c r="AE1840" s="229"/>
      <c r="AF1840" s="224" t="str">
        <f t="shared" si="1"/>
        <v>Buenos Aires, Argentina</v>
      </c>
      <c r="AG1840" s="426">
        <f t="shared" si="2"/>
        <v>0</v>
      </c>
      <c r="AH1840" s="553">
        <f t="shared" si="17"/>
        <v>1057689</v>
      </c>
      <c r="AI1840" s="553">
        <f t="shared" si="12"/>
        <v>0</v>
      </c>
      <c r="AJ1840" s="231">
        <f t="shared" si="5"/>
        <v>0</v>
      </c>
      <c r="AK1840" s="231">
        <f t="shared" si="18"/>
        <v>1057689</v>
      </c>
      <c r="AL1840" s="233"/>
      <c r="AM1840" s="233"/>
    </row>
    <row r="1841">
      <c r="A1841" s="224">
        <v>1832.0</v>
      </c>
      <c r="B1841" s="225">
        <v>45900.0</v>
      </c>
      <c r="C1841" s="229"/>
      <c r="D1841" s="226" t="s">
        <v>4044</v>
      </c>
      <c r="E1841" s="426" t="s">
        <v>4045</v>
      </c>
      <c r="F1841" s="226" t="s">
        <v>4818</v>
      </c>
      <c r="G1841" s="224" t="s">
        <v>64</v>
      </c>
      <c r="H1841" s="224" t="s">
        <v>41</v>
      </c>
      <c r="I1841" s="224" t="s">
        <v>42</v>
      </c>
      <c r="J1841" s="228"/>
      <c r="K1841" s="228"/>
      <c r="L1841" s="228"/>
      <c r="M1841" s="228"/>
      <c r="N1841" s="228"/>
      <c r="O1841" s="228"/>
      <c r="P1841" s="496"/>
      <c r="Q1841" s="229"/>
      <c r="R1841" s="229"/>
      <c r="S1841" s="426" t="s">
        <v>43</v>
      </c>
      <c r="T1841" s="224" t="s">
        <v>66</v>
      </c>
      <c r="U1841" s="224" t="s">
        <v>99</v>
      </c>
      <c r="V1841" s="224" t="s">
        <v>2922</v>
      </c>
      <c r="W1841" s="230"/>
      <c r="X1841" s="230"/>
      <c r="Y1841" s="230"/>
      <c r="Z1841" s="230"/>
      <c r="AA1841" s="231">
        <v>0.0</v>
      </c>
      <c r="AB1841" s="231">
        <v>273600.0</v>
      </c>
      <c r="AC1841" s="499" t="s">
        <v>4819</v>
      </c>
      <c r="AD1841" s="224">
        <v>17738.0</v>
      </c>
      <c r="AE1841" s="229"/>
      <c r="AF1841" s="224" t="str">
        <f t="shared" si="1"/>
        <v>Buenos Aires, Argentina</v>
      </c>
      <c r="AG1841" s="426">
        <f t="shared" si="2"/>
        <v>0</v>
      </c>
      <c r="AH1841" s="553">
        <f t="shared" si="17"/>
        <v>0</v>
      </c>
      <c r="AI1841" s="553">
        <f t="shared" si="12"/>
        <v>0</v>
      </c>
      <c r="AJ1841" s="231">
        <f t="shared" si="5"/>
        <v>273600</v>
      </c>
      <c r="AK1841" s="231">
        <f t="shared" si="18"/>
        <v>273600</v>
      </c>
      <c r="AL1841" s="233"/>
      <c r="AM1841" s="233"/>
    </row>
    <row r="1842">
      <c r="A1842" s="224">
        <v>1833.0</v>
      </c>
      <c r="B1842" s="225">
        <v>45900.0</v>
      </c>
      <c r="C1842" s="229"/>
      <c r="D1842" s="226" t="s">
        <v>4667</v>
      </c>
      <c r="E1842" s="426" t="s">
        <v>2990</v>
      </c>
      <c r="F1842" s="226" t="s">
        <v>1415</v>
      </c>
      <c r="G1842" s="224" t="s">
        <v>64</v>
      </c>
      <c r="H1842" s="224" t="s">
        <v>41</v>
      </c>
      <c r="I1842" s="224" t="s">
        <v>643</v>
      </c>
      <c r="J1842" s="228"/>
      <c r="K1842" s="227">
        <v>1.0</v>
      </c>
      <c r="L1842" s="228"/>
      <c r="M1842" s="228"/>
      <c r="N1842" s="228"/>
      <c r="O1842" s="228"/>
      <c r="P1842" s="496"/>
      <c r="Q1842" s="229"/>
      <c r="R1842" s="229"/>
      <c r="S1842" s="426" t="s">
        <v>72</v>
      </c>
      <c r="T1842" s="224" t="s">
        <v>66</v>
      </c>
      <c r="U1842" s="224" t="s">
        <v>99</v>
      </c>
      <c r="V1842" s="224" t="s">
        <v>1984</v>
      </c>
      <c r="W1842" s="230"/>
      <c r="X1842" s="230"/>
      <c r="Y1842" s="230"/>
      <c r="Z1842" s="230"/>
      <c r="AA1842" s="231">
        <v>112875.0</v>
      </c>
      <c r="AB1842" s="231">
        <v>451500.0</v>
      </c>
      <c r="AC1842" s="499" t="s">
        <v>4820</v>
      </c>
      <c r="AD1842" s="224">
        <v>21034.0</v>
      </c>
      <c r="AE1842" s="229"/>
      <c r="AF1842" s="224" t="str">
        <f t="shared" si="1"/>
        <v>Buenos Aires, Argentina</v>
      </c>
      <c r="AG1842" s="426">
        <f t="shared" si="2"/>
        <v>1</v>
      </c>
      <c r="AH1842" s="553">
        <f t="shared" si="17"/>
        <v>0</v>
      </c>
      <c r="AI1842" s="553">
        <f t="shared" si="12"/>
        <v>0</v>
      </c>
      <c r="AJ1842" s="231">
        <f t="shared" si="5"/>
        <v>564375</v>
      </c>
      <c r="AK1842" s="231">
        <f t="shared" si="18"/>
        <v>564375</v>
      </c>
      <c r="AL1842" s="233"/>
      <c r="AM1842" s="233"/>
    </row>
    <row r="1843">
      <c r="A1843" s="224">
        <v>1834.0</v>
      </c>
      <c r="B1843" s="225">
        <v>45900.0</v>
      </c>
      <c r="C1843" s="229"/>
      <c r="D1843" s="226" t="s">
        <v>4821</v>
      </c>
      <c r="E1843" s="426" t="s">
        <v>4822</v>
      </c>
      <c r="F1843" s="226" t="s">
        <v>2056</v>
      </c>
      <c r="G1843" s="224" t="s">
        <v>40</v>
      </c>
      <c r="H1843" s="224" t="s">
        <v>41</v>
      </c>
      <c r="I1843" s="224" t="s">
        <v>643</v>
      </c>
      <c r="J1843" s="275">
        <v>1.0</v>
      </c>
      <c r="K1843" s="228"/>
      <c r="L1843" s="228"/>
      <c r="M1843" s="227">
        <v>1.0</v>
      </c>
      <c r="N1843" s="228"/>
      <c r="O1843" s="228"/>
      <c r="P1843" s="496"/>
      <c r="Q1843" s="229"/>
      <c r="R1843" s="229"/>
      <c r="S1843" s="426" t="s">
        <v>89</v>
      </c>
      <c r="T1843" s="224" t="s">
        <v>66</v>
      </c>
      <c r="U1843" s="224" t="s">
        <v>99</v>
      </c>
      <c r="V1843" s="224" t="s">
        <v>1984</v>
      </c>
      <c r="W1843" s="230"/>
      <c r="X1843" s="230"/>
      <c r="Y1843" s="230"/>
      <c r="Z1843" s="230"/>
      <c r="AA1843" s="231">
        <v>150500.0</v>
      </c>
      <c r="AB1843" s="231">
        <v>1896300.0</v>
      </c>
      <c r="AC1843" s="428" t="s">
        <v>4823</v>
      </c>
      <c r="AD1843" s="224">
        <v>21048.0</v>
      </c>
      <c r="AE1843" s="229"/>
      <c r="AF1843" s="224" t="str">
        <f t="shared" si="1"/>
        <v>Buenos Aires, Argentina</v>
      </c>
      <c r="AG1843" s="426">
        <f t="shared" si="2"/>
        <v>2</v>
      </c>
      <c r="AH1843" s="553">
        <f t="shared" si="17"/>
        <v>0</v>
      </c>
      <c r="AI1843" s="553">
        <f t="shared" si="12"/>
        <v>0</v>
      </c>
      <c r="AJ1843" s="231">
        <f t="shared" si="5"/>
        <v>2046800</v>
      </c>
      <c r="AK1843" s="231">
        <f t="shared" si="18"/>
        <v>2046800</v>
      </c>
      <c r="AL1843" s="233"/>
      <c r="AM1843" s="233"/>
    </row>
    <row r="1844">
      <c r="A1844" s="224">
        <v>1835.0</v>
      </c>
      <c r="B1844" s="225">
        <v>45900.0</v>
      </c>
      <c r="C1844" s="229"/>
      <c r="D1844" s="226" t="s">
        <v>4824</v>
      </c>
      <c r="E1844" s="426" t="s">
        <v>4825</v>
      </c>
      <c r="F1844" s="226" t="s">
        <v>2056</v>
      </c>
      <c r="G1844" s="224" t="s">
        <v>40</v>
      </c>
      <c r="H1844" s="224" t="s">
        <v>41</v>
      </c>
      <c r="I1844" s="224" t="s">
        <v>42</v>
      </c>
      <c r="J1844" s="275">
        <v>1.0</v>
      </c>
      <c r="K1844" s="228"/>
      <c r="L1844" s="228"/>
      <c r="M1844" s="227">
        <v>1.0</v>
      </c>
      <c r="N1844" s="228"/>
      <c r="O1844" s="228"/>
      <c r="P1844" s="496"/>
      <c r="Q1844" s="229"/>
      <c r="R1844" s="229"/>
      <c r="S1844" s="426" t="s">
        <v>963</v>
      </c>
      <c r="T1844" s="224" t="s">
        <v>972</v>
      </c>
      <c r="U1844" s="224" t="s">
        <v>4456</v>
      </c>
      <c r="V1844" s="224" t="s">
        <v>4185</v>
      </c>
      <c r="W1844" s="230"/>
      <c r="X1844" s="230"/>
      <c r="Y1844" s="230"/>
      <c r="Z1844" s="230"/>
      <c r="AA1844" s="231">
        <v>150500.0</v>
      </c>
      <c r="AB1844" s="231">
        <v>564375.0</v>
      </c>
      <c r="AC1844" s="499" t="s">
        <v>4826</v>
      </c>
      <c r="AD1844" s="224">
        <v>20356.0</v>
      </c>
      <c r="AE1844" s="229"/>
      <c r="AF1844" s="224" t="str">
        <f t="shared" si="1"/>
        <v>Río Negro, Argentina</v>
      </c>
      <c r="AG1844" s="426">
        <f t="shared" si="2"/>
        <v>2</v>
      </c>
      <c r="AH1844" s="553">
        <f t="shared" si="17"/>
        <v>0</v>
      </c>
      <c r="AI1844" s="553">
        <f t="shared" si="12"/>
        <v>0</v>
      </c>
      <c r="AJ1844" s="231">
        <f t="shared" si="5"/>
        <v>714875</v>
      </c>
      <c r="AK1844" s="231">
        <f t="shared" si="18"/>
        <v>714875</v>
      </c>
      <c r="AL1844" s="233"/>
      <c r="AM1844" s="233"/>
    </row>
    <row r="1845">
      <c r="A1845" s="224">
        <v>1836.0</v>
      </c>
      <c r="B1845" s="225">
        <v>45900.0</v>
      </c>
      <c r="C1845" s="229"/>
      <c r="D1845" s="226" t="s">
        <v>4827</v>
      </c>
      <c r="E1845" s="426" t="s">
        <v>4828</v>
      </c>
      <c r="F1845" s="226" t="s">
        <v>1427</v>
      </c>
      <c r="G1845" s="224" t="s">
        <v>64</v>
      </c>
      <c r="H1845" s="224" t="s">
        <v>41</v>
      </c>
      <c r="I1845" s="224" t="s">
        <v>643</v>
      </c>
      <c r="J1845" s="228"/>
      <c r="K1845" s="227">
        <v>2.0</v>
      </c>
      <c r="L1845" s="228"/>
      <c r="M1845" s="228"/>
      <c r="N1845" s="228"/>
      <c r="O1845" s="228"/>
      <c r="P1845" s="496"/>
      <c r="Q1845" s="229"/>
      <c r="R1845" s="229"/>
      <c r="S1845" s="426" t="s">
        <v>65</v>
      </c>
      <c r="T1845" s="224" t="s">
        <v>984</v>
      </c>
      <c r="U1845" s="224" t="s">
        <v>99</v>
      </c>
      <c r="V1845" s="224" t="s">
        <v>1984</v>
      </c>
      <c r="W1845" s="230"/>
      <c r="X1845" s="230"/>
      <c r="Y1845" s="230"/>
      <c r="Z1845" s="230"/>
      <c r="AA1845" s="231">
        <v>203000.0</v>
      </c>
      <c r="AB1845" s="231">
        <v>790125.0</v>
      </c>
      <c r="AC1845" s="499" t="s">
        <v>4829</v>
      </c>
      <c r="AD1845" s="224">
        <v>21064.0</v>
      </c>
      <c r="AE1845" s="229"/>
      <c r="AF1845" s="224" t="str">
        <f t="shared" si="1"/>
        <v>Santiago del Estero, Argentina</v>
      </c>
      <c r="AG1845" s="426">
        <f t="shared" si="2"/>
        <v>2</v>
      </c>
      <c r="AH1845" s="553">
        <f t="shared" si="17"/>
        <v>0</v>
      </c>
      <c r="AI1845" s="553">
        <f t="shared" si="12"/>
        <v>0</v>
      </c>
      <c r="AJ1845" s="231">
        <f t="shared" si="5"/>
        <v>993125</v>
      </c>
      <c r="AK1845" s="231">
        <f t="shared" si="18"/>
        <v>993125</v>
      </c>
      <c r="AL1845" s="233"/>
      <c r="AM1845" s="233"/>
    </row>
    <row r="1846">
      <c r="A1846" s="203">
        <v>1837.0</v>
      </c>
      <c r="B1846" s="204">
        <v>45910.0</v>
      </c>
      <c r="C1846" s="119"/>
      <c r="D1846" s="205" t="s">
        <v>4830</v>
      </c>
      <c r="E1846" s="504" t="s">
        <v>4831</v>
      </c>
      <c r="F1846" s="205" t="s">
        <v>2056</v>
      </c>
      <c r="G1846" s="203" t="s">
        <v>40</v>
      </c>
      <c r="H1846" s="203" t="s">
        <v>41</v>
      </c>
      <c r="I1846" s="203" t="s">
        <v>643</v>
      </c>
      <c r="J1846" s="118">
        <v>1.0</v>
      </c>
      <c r="K1846" s="117"/>
      <c r="L1846" s="117"/>
      <c r="M1846" s="206">
        <v>1.0</v>
      </c>
      <c r="N1846" s="117"/>
      <c r="O1846" s="117"/>
      <c r="P1846" s="506"/>
      <c r="Q1846" s="119"/>
      <c r="R1846" s="119"/>
      <c r="S1846" s="504" t="s">
        <v>189</v>
      </c>
      <c r="T1846" s="203" t="s">
        <v>66</v>
      </c>
      <c r="U1846" s="203" t="s">
        <v>342</v>
      </c>
      <c r="V1846" s="203" t="s">
        <v>1984</v>
      </c>
      <c r="W1846" s="121"/>
      <c r="X1846" s="121"/>
      <c r="Y1846" s="121"/>
      <c r="Z1846" s="121"/>
      <c r="AA1846" s="207">
        <v>152000.0</v>
      </c>
      <c r="AB1846" s="207">
        <v>570000.0</v>
      </c>
      <c r="AC1846" s="509" t="s">
        <v>4832</v>
      </c>
      <c r="AD1846" s="203">
        <v>21114.0</v>
      </c>
      <c r="AE1846" s="119"/>
      <c r="AF1846" s="203" t="str">
        <f t="shared" si="1"/>
        <v>Buenos Aires, Argentina</v>
      </c>
      <c r="AG1846" s="504">
        <f t="shared" si="2"/>
        <v>2</v>
      </c>
      <c r="AH1846" s="555">
        <f t="shared" si="17"/>
        <v>0</v>
      </c>
      <c r="AI1846" s="555">
        <f t="shared" si="12"/>
        <v>0</v>
      </c>
      <c r="AJ1846" s="207">
        <f t="shared" si="5"/>
        <v>722000</v>
      </c>
      <c r="AK1846" s="207">
        <f t="shared" si="18"/>
        <v>722000</v>
      </c>
      <c r="AL1846" s="123"/>
      <c r="AM1846" s="123"/>
    </row>
    <row r="1847">
      <c r="A1847" s="203">
        <v>1838.0</v>
      </c>
      <c r="B1847" s="204">
        <v>45912.0</v>
      </c>
      <c r="C1847" s="119"/>
      <c r="D1847" s="205" t="s">
        <v>4833</v>
      </c>
      <c r="E1847" s="504" t="s">
        <v>4834</v>
      </c>
      <c r="F1847" s="205" t="s">
        <v>4835</v>
      </c>
      <c r="G1847" s="203" t="s">
        <v>64</v>
      </c>
      <c r="H1847" s="203" t="s">
        <v>41</v>
      </c>
      <c r="I1847" s="203" t="s">
        <v>643</v>
      </c>
      <c r="J1847" s="117"/>
      <c r="K1847" s="206">
        <v>5.0</v>
      </c>
      <c r="L1847" s="117"/>
      <c r="M1847" s="117"/>
      <c r="N1847" s="117"/>
      <c r="O1847" s="117"/>
      <c r="P1847" s="506"/>
      <c r="Q1847" s="119"/>
      <c r="R1847" s="119"/>
      <c r="S1847" s="504" t="s">
        <v>65</v>
      </c>
      <c r="T1847" s="203" t="s">
        <v>66</v>
      </c>
      <c r="U1847" s="203" t="s">
        <v>99</v>
      </c>
      <c r="V1847" s="203" t="s">
        <v>1984</v>
      </c>
      <c r="W1847" s="121"/>
      <c r="X1847" s="121"/>
      <c r="Y1847" s="121"/>
      <c r="Z1847" s="121"/>
      <c r="AA1847" s="207">
        <v>570000.0</v>
      </c>
      <c r="AB1847" s="207">
        <v>2280000.0</v>
      </c>
      <c r="AC1847" s="509" t="s">
        <v>4836</v>
      </c>
      <c r="AD1847" s="203">
        <v>21166.0</v>
      </c>
      <c r="AE1847" s="119"/>
      <c r="AF1847" s="203" t="str">
        <f t="shared" si="1"/>
        <v>Buenos Aires, Argentina</v>
      </c>
      <c r="AG1847" s="504">
        <f t="shared" si="2"/>
        <v>5</v>
      </c>
      <c r="AH1847" s="555">
        <f t="shared" si="17"/>
        <v>0</v>
      </c>
      <c r="AI1847" s="555">
        <f t="shared" si="12"/>
        <v>0</v>
      </c>
      <c r="AJ1847" s="207">
        <f t="shared" si="5"/>
        <v>2850000</v>
      </c>
      <c r="AK1847" s="207">
        <f t="shared" si="18"/>
        <v>2850000</v>
      </c>
      <c r="AL1847" s="123"/>
      <c r="AM1847" s="123"/>
    </row>
    <row r="1848">
      <c r="A1848" s="203">
        <v>1839.0</v>
      </c>
      <c r="B1848" s="204">
        <v>45912.0</v>
      </c>
      <c r="C1848" s="119"/>
      <c r="D1848" s="205" t="s">
        <v>4837</v>
      </c>
      <c r="E1848" s="504" t="s">
        <v>3839</v>
      </c>
      <c r="F1848" s="205" t="s">
        <v>2172</v>
      </c>
      <c r="G1848" s="203" t="s">
        <v>64</v>
      </c>
      <c r="H1848" s="203" t="s">
        <v>41</v>
      </c>
      <c r="I1848" s="203" t="s">
        <v>643</v>
      </c>
      <c r="J1848" s="118">
        <v>2.0</v>
      </c>
      <c r="K1848" s="117"/>
      <c r="L1848" s="117"/>
      <c r="M1848" s="206">
        <v>1.0</v>
      </c>
      <c r="N1848" s="117"/>
      <c r="O1848" s="117"/>
      <c r="P1848" s="506"/>
      <c r="Q1848" s="119"/>
      <c r="R1848" s="119"/>
      <c r="S1848" s="504" t="s">
        <v>189</v>
      </c>
      <c r="T1848" s="203" t="s">
        <v>66</v>
      </c>
      <c r="U1848" s="203" t="s">
        <v>99</v>
      </c>
      <c r="V1848" s="203" t="s">
        <v>1984</v>
      </c>
      <c r="W1848" s="121"/>
      <c r="X1848" s="121"/>
      <c r="Y1848" s="121"/>
      <c r="Z1848" s="121"/>
      <c r="AA1848" s="207">
        <v>456000.0</v>
      </c>
      <c r="AB1848" s="207">
        <v>0.0</v>
      </c>
      <c r="AC1848" s="509" t="s">
        <v>4838</v>
      </c>
      <c r="AD1848" s="203">
        <v>21170.0</v>
      </c>
      <c r="AE1848" s="119"/>
      <c r="AF1848" s="203" t="str">
        <f t="shared" si="1"/>
        <v>Buenos Aires, Argentina</v>
      </c>
      <c r="AG1848" s="504">
        <f t="shared" si="2"/>
        <v>3</v>
      </c>
      <c r="AH1848" s="555">
        <f t="shared" si="17"/>
        <v>0</v>
      </c>
      <c r="AI1848" s="555">
        <f t="shared" si="12"/>
        <v>0</v>
      </c>
      <c r="AJ1848" s="207">
        <f t="shared" si="5"/>
        <v>456000</v>
      </c>
      <c r="AK1848" s="207">
        <f t="shared" si="18"/>
        <v>456000</v>
      </c>
      <c r="AL1848" s="123"/>
      <c r="AM1848" s="123"/>
    </row>
    <row r="1849">
      <c r="A1849" s="203">
        <v>1840.0</v>
      </c>
      <c r="B1849" s="204">
        <v>45916.0</v>
      </c>
      <c r="C1849" s="119"/>
      <c r="D1849" s="205" t="s">
        <v>4821</v>
      </c>
      <c r="E1849" s="504" t="s">
        <v>4822</v>
      </c>
      <c r="F1849" s="205" t="s">
        <v>1878</v>
      </c>
      <c r="G1849" s="203" t="s">
        <v>64</v>
      </c>
      <c r="H1849" s="203" t="s">
        <v>41</v>
      </c>
      <c r="I1849" s="203" t="s">
        <v>643</v>
      </c>
      <c r="J1849" s="117"/>
      <c r="K1849" s="117"/>
      <c r="L1849" s="117"/>
      <c r="M1849" s="117"/>
      <c r="N1849" s="206">
        <v>1.0</v>
      </c>
      <c r="O1849" s="117"/>
      <c r="P1849" s="506"/>
      <c r="Q1849" s="119"/>
      <c r="R1849" s="119"/>
      <c r="S1849" s="504" t="s">
        <v>89</v>
      </c>
      <c r="T1849" s="203" t="s">
        <v>66</v>
      </c>
      <c r="U1849" s="203" t="s">
        <v>99</v>
      </c>
      <c r="V1849" s="203" t="s">
        <v>1984</v>
      </c>
      <c r="W1849" s="121"/>
      <c r="X1849" s="121"/>
      <c r="Y1849" s="121"/>
      <c r="Z1849" s="121"/>
      <c r="AA1849" s="207">
        <v>152000.0</v>
      </c>
      <c r="AB1849" s="207">
        <v>760000.0</v>
      </c>
      <c r="AC1849" s="509" t="s">
        <v>4839</v>
      </c>
      <c r="AD1849" s="203">
        <v>21180.0</v>
      </c>
      <c r="AE1849" s="119"/>
      <c r="AF1849" s="203" t="str">
        <f t="shared" si="1"/>
        <v>Buenos Aires, Argentina</v>
      </c>
      <c r="AG1849" s="504">
        <f t="shared" si="2"/>
        <v>1</v>
      </c>
      <c r="AH1849" s="555">
        <f t="shared" si="17"/>
        <v>0</v>
      </c>
      <c r="AI1849" s="555">
        <f t="shared" si="12"/>
        <v>0</v>
      </c>
      <c r="AJ1849" s="207">
        <f t="shared" si="5"/>
        <v>912000</v>
      </c>
      <c r="AK1849" s="207">
        <f t="shared" si="18"/>
        <v>912000</v>
      </c>
      <c r="AL1849" s="123"/>
      <c r="AM1849" s="123"/>
    </row>
    <row r="1850">
      <c r="A1850" s="203">
        <v>1841.0</v>
      </c>
      <c r="B1850" s="204">
        <v>45916.0</v>
      </c>
      <c r="C1850" s="119"/>
      <c r="D1850" s="205" t="s">
        <v>4581</v>
      </c>
      <c r="E1850" s="504" t="s">
        <v>4582</v>
      </c>
      <c r="F1850" s="205" t="s">
        <v>4590</v>
      </c>
      <c r="G1850" s="203" t="s">
        <v>64</v>
      </c>
      <c r="H1850" s="203" t="s">
        <v>41</v>
      </c>
      <c r="I1850" s="203" t="s">
        <v>643</v>
      </c>
      <c r="J1850" s="117"/>
      <c r="K1850" s="117"/>
      <c r="L1850" s="117"/>
      <c r="M1850" s="117"/>
      <c r="N1850" s="117"/>
      <c r="O1850" s="117"/>
      <c r="P1850" s="506"/>
      <c r="Q1850" s="119"/>
      <c r="R1850" s="119"/>
      <c r="S1850" s="504" t="s">
        <v>43</v>
      </c>
      <c r="T1850" s="203" t="s">
        <v>497</v>
      </c>
      <c r="U1850" s="203" t="s">
        <v>99</v>
      </c>
      <c r="V1850" s="203" t="s">
        <v>1984</v>
      </c>
      <c r="W1850" s="207">
        <v>108134.0</v>
      </c>
      <c r="X1850" s="207">
        <v>486603.0</v>
      </c>
      <c r="Y1850" s="121"/>
      <c r="Z1850" s="121"/>
      <c r="AA1850" s="207">
        <v>0.0</v>
      </c>
      <c r="AB1850" s="207">
        <v>0.0</v>
      </c>
      <c r="AC1850" s="509" t="s">
        <v>4840</v>
      </c>
      <c r="AD1850" s="203">
        <v>21164.0</v>
      </c>
      <c r="AE1850" s="119"/>
      <c r="AF1850" s="203" t="str">
        <f t="shared" si="1"/>
        <v>Tucumán, Argentina</v>
      </c>
      <c r="AG1850" s="504">
        <f t="shared" si="2"/>
        <v>0</v>
      </c>
      <c r="AH1850" s="555">
        <f t="shared" si="17"/>
        <v>594737</v>
      </c>
      <c r="AI1850" s="555">
        <f t="shared" si="12"/>
        <v>0</v>
      </c>
      <c r="AJ1850" s="207">
        <f t="shared" si="5"/>
        <v>0</v>
      </c>
      <c r="AK1850" s="207">
        <f t="shared" si="18"/>
        <v>594737</v>
      </c>
      <c r="AL1850" s="123"/>
      <c r="AM1850" s="123"/>
    </row>
    <row r="1851">
      <c r="A1851" s="203">
        <v>1842.0</v>
      </c>
      <c r="B1851" s="204">
        <v>45916.0</v>
      </c>
      <c r="C1851" s="119"/>
      <c r="D1851" s="205" t="s">
        <v>4821</v>
      </c>
      <c r="E1851" s="504" t="s">
        <v>4822</v>
      </c>
      <c r="F1851" s="205" t="s">
        <v>2123</v>
      </c>
      <c r="G1851" s="203" t="s">
        <v>64</v>
      </c>
      <c r="H1851" s="203" t="s">
        <v>41</v>
      </c>
      <c r="I1851" s="203" t="s">
        <v>643</v>
      </c>
      <c r="J1851" s="118">
        <v>1.0</v>
      </c>
      <c r="K1851" s="206">
        <v>4.0</v>
      </c>
      <c r="L1851" s="117"/>
      <c r="M1851" s="117"/>
      <c r="N1851" s="117"/>
      <c r="O1851" s="117"/>
      <c r="P1851" s="506"/>
      <c r="Q1851" s="119"/>
      <c r="R1851" s="119"/>
      <c r="S1851" s="504" t="s">
        <v>89</v>
      </c>
      <c r="T1851" s="203" t="s">
        <v>66</v>
      </c>
      <c r="U1851" s="203" t="s">
        <v>99</v>
      </c>
      <c r="V1851" s="203" t="s">
        <v>1984</v>
      </c>
      <c r="W1851" s="121"/>
      <c r="X1851" s="121"/>
      <c r="Y1851" s="121"/>
      <c r="Z1851" s="121"/>
      <c r="AA1851" s="207">
        <v>606500.0</v>
      </c>
      <c r="AB1851" s="207">
        <v>2128000.0</v>
      </c>
      <c r="AC1851" s="509" t="s">
        <v>4841</v>
      </c>
      <c r="AD1851" s="203">
        <v>21192.0</v>
      </c>
      <c r="AE1851" s="119"/>
      <c r="AF1851" s="203" t="str">
        <f t="shared" si="1"/>
        <v>Buenos Aires, Argentina</v>
      </c>
      <c r="AG1851" s="504">
        <f t="shared" si="2"/>
        <v>5</v>
      </c>
      <c r="AH1851" s="555">
        <f t="shared" si="17"/>
        <v>0</v>
      </c>
      <c r="AI1851" s="555">
        <f t="shared" si="12"/>
        <v>0</v>
      </c>
      <c r="AJ1851" s="207">
        <f t="shared" si="5"/>
        <v>2734500</v>
      </c>
      <c r="AK1851" s="207">
        <f t="shared" si="18"/>
        <v>2734500</v>
      </c>
      <c r="AL1851" s="123"/>
      <c r="AM1851" s="123"/>
    </row>
    <row r="1852">
      <c r="A1852" s="203">
        <v>1843.0</v>
      </c>
      <c r="B1852" s="204">
        <v>45919.0</v>
      </c>
      <c r="C1852" s="119"/>
      <c r="D1852" s="205" t="s">
        <v>3331</v>
      </c>
      <c r="E1852" s="504" t="s">
        <v>3332</v>
      </c>
      <c r="F1852" s="205" t="s">
        <v>4842</v>
      </c>
      <c r="G1852" s="203" t="s">
        <v>64</v>
      </c>
      <c r="H1852" s="203" t="s">
        <v>41</v>
      </c>
      <c r="I1852" s="203" t="s">
        <v>643</v>
      </c>
      <c r="J1852" s="117"/>
      <c r="K1852" s="117"/>
      <c r="L1852" s="117"/>
      <c r="M1852" s="117"/>
      <c r="N1852" s="117"/>
      <c r="O1852" s="117"/>
      <c r="P1852" s="506"/>
      <c r="Q1852" s="119"/>
      <c r="R1852" s="119"/>
      <c r="S1852" s="504" t="s">
        <v>109</v>
      </c>
      <c r="T1852" s="203" t="s">
        <v>66</v>
      </c>
      <c r="U1852" s="203" t="s">
        <v>99</v>
      </c>
      <c r="V1852" s="203" t="s">
        <v>1984</v>
      </c>
      <c r="W1852" s="121"/>
      <c r="X1852" s="121"/>
      <c r="Y1852" s="121"/>
      <c r="Z1852" s="121"/>
      <c r="AA1852" s="207">
        <v>0.0</v>
      </c>
      <c r="AB1852" s="207">
        <v>243200.0</v>
      </c>
      <c r="AC1852" s="509" t="s">
        <v>4843</v>
      </c>
      <c r="AD1852" s="203">
        <v>21212.0</v>
      </c>
      <c r="AE1852" s="119"/>
      <c r="AF1852" s="203" t="str">
        <f t="shared" si="1"/>
        <v>Buenos Aires, Argentina</v>
      </c>
      <c r="AG1852" s="504">
        <f t="shared" si="2"/>
        <v>0</v>
      </c>
      <c r="AH1852" s="555">
        <f t="shared" si="17"/>
        <v>0</v>
      </c>
      <c r="AI1852" s="555">
        <f t="shared" si="12"/>
        <v>0</v>
      </c>
      <c r="AJ1852" s="207">
        <f t="shared" si="5"/>
        <v>243200</v>
      </c>
      <c r="AK1852" s="207">
        <f t="shared" si="18"/>
        <v>243200</v>
      </c>
      <c r="AL1852" s="123"/>
      <c r="AM1852" s="123"/>
    </row>
    <row r="1853">
      <c r="A1853" s="203">
        <v>1844.0</v>
      </c>
      <c r="B1853" s="204">
        <v>45919.0</v>
      </c>
      <c r="C1853" s="119"/>
      <c r="D1853" s="205" t="s">
        <v>4844</v>
      </c>
      <c r="E1853" s="504" t="s">
        <v>4845</v>
      </c>
      <c r="F1853" s="205" t="s">
        <v>4751</v>
      </c>
      <c r="G1853" s="203" t="s">
        <v>40</v>
      </c>
      <c r="H1853" s="203" t="s">
        <v>41</v>
      </c>
      <c r="I1853" s="203" t="s">
        <v>42</v>
      </c>
      <c r="J1853" s="118">
        <v>2.0</v>
      </c>
      <c r="K1853" s="206">
        <v>1.0</v>
      </c>
      <c r="L1853" s="117"/>
      <c r="M1853" s="206">
        <v>1.0</v>
      </c>
      <c r="N1853" s="117"/>
      <c r="O1853" s="117"/>
      <c r="P1853" s="506"/>
      <c r="Q1853" s="119"/>
      <c r="R1853" s="119"/>
      <c r="S1853" s="504" t="s">
        <v>141</v>
      </c>
      <c r="T1853" s="203" t="s">
        <v>44</v>
      </c>
      <c r="U1853" s="203" t="s">
        <v>45</v>
      </c>
      <c r="V1853" s="203" t="s">
        <v>4626</v>
      </c>
      <c r="W1853" s="121"/>
      <c r="X1853" s="121"/>
      <c r="Y1853" s="121"/>
      <c r="Z1853" s="121"/>
      <c r="AA1853" s="207">
        <v>418000.0</v>
      </c>
      <c r="AB1853" s="207">
        <v>1567500.0</v>
      </c>
      <c r="AC1853" s="509" t="s">
        <v>4846</v>
      </c>
      <c r="AD1853" s="203">
        <v>21020.0</v>
      </c>
      <c r="AE1853" s="119"/>
      <c r="AF1853" s="203" t="str">
        <f t="shared" si="1"/>
        <v>Mendoza, Argentina</v>
      </c>
      <c r="AG1853" s="504">
        <f t="shared" si="2"/>
        <v>4</v>
      </c>
      <c r="AH1853" s="555">
        <f t="shared" si="17"/>
        <v>0</v>
      </c>
      <c r="AI1853" s="555">
        <f t="shared" si="12"/>
        <v>0</v>
      </c>
      <c r="AJ1853" s="207">
        <f t="shared" si="5"/>
        <v>1985500</v>
      </c>
      <c r="AK1853" s="207">
        <f t="shared" si="18"/>
        <v>1985500</v>
      </c>
      <c r="AL1853" s="123"/>
      <c r="AM1853" s="123"/>
    </row>
    <row r="1854">
      <c r="A1854" s="203">
        <v>1845.0</v>
      </c>
      <c r="B1854" s="204">
        <v>45923.0</v>
      </c>
      <c r="C1854" s="119"/>
      <c r="D1854" s="205" t="s">
        <v>4847</v>
      </c>
      <c r="E1854" s="504" t="s">
        <v>3972</v>
      </c>
      <c r="F1854" s="205" t="s">
        <v>1423</v>
      </c>
      <c r="G1854" s="203" t="s">
        <v>64</v>
      </c>
      <c r="H1854" s="203" t="s">
        <v>41</v>
      </c>
      <c r="I1854" s="203" t="s">
        <v>643</v>
      </c>
      <c r="J1854" s="118">
        <v>1.0</v>
      </c>
      <c r="K1854" s="117"/>
      <c r="L1854" s="117"/>
      <c r="M1854" s="117"/>
      <c r="N1854" s="117"/>
      <c r="O1854" s="117"/>
      <c r="P1854" s="506"/>
      <c r="Q1854" s="119"/>
      <c r="R1854" s="119"/>
      <c r="S1854" s="504" t="s">
        <v>65</v>
      </c>
      <c r="T1854" s="203" t="s">
        <v>83</v>
      </c>
      <c r="U1854" s="203" t="s">
        <v>99</v>
      </c>
      <c r="V1854" s="203" t="s">
        <v>1984</v>
      </c>
      <c r="W1854" s="121"/>
      <c r="X1854" s="121"/>
      <c r="Y1854" s="121"/>
      <c r="Z1854" s="121"/>
      <c r="AA1854" s="207">
        <v>136800.0</v>
      </c>
      <c r="AB1854" s="207">
        <v>608000.0</v>
      </c>
      <c r="AC1854" s="509" t="s">
        <v>4848</v>
      </c>
      <c r="AD1854" s="203">
        <v>21254.0</v>
      </c>
      <c r="AE1854" s="119"/>
      <c r="AF1854" s="203" t="str">
        <f t="shared" si="1"/>
        <v>Capital Federal, Argentina</v>
      </c>
      <c r="AG1854" s="504">
        <f t="shared" si="2"/>
        <v>1</v>
      </c>
      <c r="AH1854" s="555">
        <f t="shared" si="17"/>
        <v>0</v>
      </c>
      <c r="AI1854" s="555">
        <f t="shared" si="12"/>
        <v>0</v>
      </c>
      <c r="AJ1854" s="207">
        <f t="shared" si="5"/>
        <v>744800</v>
      </c>
      <c r="AK1854" s="207">
        <f t="shared" si="18"/>
        <v>744800</v>
      </c>
      <c r="AL1854" s="123"/>
      <c r="AM1854" s="123"/>
    </row>
    <row r="1855">
      <c r="A1855" s="203">
        <v>1846.0</v>
      </c>
      <c r="B1855" s="204">
        <v>45925.0</v>
      </c>
      <c r="C1855" s="119"/>
      <c r="D1855" s="205" t="s">
        <v>3020</v>
      </c>
      <c r="E1855" s="504" t="s">
        <v>3021</v>
      </c>
      <c r="F1855" s="205" t="s">
        <v>3490</v>
      </c>
      <c r="G1855" s="203" t="s">
        <v>64</v>
      </c>
      <c r="H1855" s="203" t="s">
        <v>41</v>
      </c>
      <c r="I1855" s="203" t="s">
        <v>643</v>
      </c>
      <c r="J1855" s="117"/>
      <c r="K1855" s="117"/>
      <c r="L1855" s="117"/>
      <c r="M1855" s="117"/>
      <c r="N1855" s="117"/>
      <c r="O1855" s="117"/>
      <c r="P1855" s="206">
        <v>1.0</v>
      </c>
      <c r="Q1855" s="119"/>
      <c r="R1855" s="119"/>
      <c r="S1855" s="504" t="s">
        <v>65</v>
      </c>
      <c r="T1855" s="203" t="s">
        <v>66</v>
      </c>
      <c r="U1855" s="203" t="s">
        <v>99</v>
      </c>
      <c r="V1855" s="203" t="s">
        <v>1984</v>
      </c>
      <c r="W1855" s="121"/>
      <c r="X1855" s="121"/>
      <c r="Y1855" s="121"/>
      <c r="Z1855" s="121"/>
      <c r="AA1855" s="207">
        <v>136800.0</v>
      </c>
      <c r="AB1855" s="207">
        <v>608000.0</v>
      </c>
      <c r="AC1855" s="509" t="s">
        <v>4849</v>
      </c>
      <c r="AD1855" s="203">
        <v>21266.0</v>
      </c>
      <c r="AE1855" s="119"/>
      <c r="AF1855" s="203" t="str">
        <f t="shared" si="1"/>
        <v>Buenos Aires, Argentina</v>
      </c>
      <c r="AG1855" s="504">
        <f t="shared" si="2"/>
        <v>1</v>
      </c>
      <c r="AH1855" s="555">
        <f t="shared" si="17"/>
        <v>0</v>
      </c>
      <c r="AI1855" s="555">
        <f t="shared" si="12"/>
        <v>0</v>
      </c>
      <c r="AJ1855" s="207">
        <f t="shared" si="5"/>
        <v>744800</v>
      </c>
      <c r="AK1855" s="207">
        <f t="shared" si="18"/>
        <v>744800</v>
      </c>
      <c r="AL1855" s="123"/>
      <c r="AM1855" s="123"/>
    </row>
    <row r="1856">
      <c r="A1856" s="203">
        <v>1847.0</v>
      </c>
      <c r="B1856" s="204">
        <v>45925.0</v>
      </c>
      <c r="C1856" s="119"/>
      <c r="D1856" s="205" t="s">
        <v>3020</v>
      </c>
      <c r="E1856" s="504" t="s">
        <v>3021</v>
      </c>
      <c r="F1856" s="205" t="s">
        <v>4817</v>
      </c>
      <c r="G1856" s="203" t="s">
        <v>64</v>
      </c>
      <c r="H1856" s="203" t="s">
        <v>41</v>
      </c>
      <c r="I1856" s="203" t="s">
        <v>643</v>
      </c>
      <c r="J1856" s="117"/>
      <c r="K1856" s="117"/>
      <c r="L1856" s="117"/>
      <c r="M1856" s="117"/>
      <c r="N1856" s="117"/>
      <c r="O1856" s="117"/>
      <c r="P1856" s="506"/>
      <c r="Q1856" s="119"/>
      <c r="R1856" s="119"/>
      <c r="S1856" s="504" t="s">
        <v>65</v>
      </c>
      <c r="T1856" s="203" t="s">
        <v>66</v>
      </c>
      <c r="U1856" s="203" t="s">
        <v>99</v>
      </c>
      <c r="V1856" s="203" t="s">
        <v>1984</v>
      </c>
      <c r="W1856" s="207">
        <v>230768.0</v>
      </c>
      <c r="X1856" s="207">
        <v>1038456.0</v>
      </c>
      <c r="Y1856" s="121"/>
      <c r="Z1856" s="121"/>
      <c r="AA1856" s="207">
        <v>0.0</v>
      </c>
      <c r="AB1856" s="207">
        <v>0.0</v>
      </c>
      <c r="AC1856" s="509" t="s">
        <v>4849</v>
      </c>
      <c r="AD1856" s="203">
        <v>21266.0</v>
      </c>
      <c r="AE1856" s="119"/>
      <c r="AF1856" s="203" t="str">
        <f t="shared" si="1"/>
        <v>Buenos Aires, Argentina</v>
      </c>
      <c r="AG1856" s="504">
        <f t="shared" si="2"/>
        <v>0</v>
      </c>
      <c r="AH1856" s="555">
        <f t="shared" si="17"/>
        <v>1269224</v>
      </c>
      <c r="AI1856" s="555">
        <f t="shared" si="12"/>
        <v>0</v>
      </c>
      <c r="AJ1856" s="207">
        <f t="shared" si="5"/>
        <v>0</v>
      </c>
      <c r="AK1856" s="207">
        <f t="shared" si="18"/>
        <v>1269224</v>
      </c>
      <c r="AL1856" s="123"/>
      <c r="AM1856" s="123"/>
    </row>
    <row r="1857">
      <c r="A1857" s="203">
        <v>1848.0</v>
      </c>
      <c r="B1857" s="204">
        <v>45926.0</v>
      </c>
      <c r="C1857" s="119"/>
      <c r="D1857" s="205" t="s">
        <v>4614</v>
      </c>
      <c r="E1857" s="504" t="s">
        <v>4615</v>
      </c>
      <c r="F1857" s="205" t="s">
        <v>2063</v>
      </c>
      <c r="G1857" s="203" t="s">
        <v>64</v>
      </c>
      <c r="H1857" s="203" t="s">
        <v>41</v>
      </c>
      <c r="I1857" s="203" t="s">
        <v>643</v>
      </c>
      <c r="J1857" s="118">
        <v>2.0</v>
      </c>
      <c r="K1857" s="206">
        <v>2.0</v>
      </c>
      <c r="L1857" s="117"/>
      <c r="M1857" s="206">
        <v>1.0</v>
      </c>
      <c r="N1857" s="117"/>
      <c r="O1857" s="117"/>
      <c r="P1857" s="506"/>
      <c r="Q1857" s="119"/>
      <c r="R1857" s="119"/>
      <c r="S1857" s="504" t="s">
        <v>114</v>
      </c>
      <c r="T1857" s="203" t="s">
        <v>671</v>
      </c>
      <c r="U1857" s="203" t="s">
        <v>99</v>
      </c>
      <c r="V1857" s="203" t="s">
        <v>1984</v>
      </c>
      <c r="W1857" s="121"/>
      <c r="X1857" s="121"/>
      <c r="Y1857" s="121"/>
      <c r="Z1857" s="121"/>
      <c r="AA1857" s="207">
        <v>684000.0</v>
      </c>
      <c r="AB1857" s="207">
        <v>1781440.0</v>
      </c>
      <c r="AC1857" s="509" t="s">
        <v>4850</v>
      </c>
      <c r="AD1857" s="203">
        <v>21142.0</v>
      </c>
      <c r="AE1857" s="119"/>
      <c r="AF1857" s="203" t="str">
        <f t="shared" si="1"/>
        <v>Chubut, Argentina</v>
      </c>
      <c r="AG1857" s="504">
        <f t="shared" si="2"/>
        <v>5</v>
      </c>
      <c r="AH1857" s="555">
        <f t="shared" si="17"/>
        <v>0</v>
      </c>
      <c r="AI1857" s="555">
        <f t="shared" si="12"/>
        <v>0</v>
      </c>
      <c r="AJ1857" s="207">
        <f t="shared" si="5"/>
        <v>2465440</v>
      </c>
      <c r="AK1857" s="207">
        <f t="shared" si="18"/>
        <v>2465440</v>
      </c>
      <c r="AL1857" s="123"/>
      <c r="AM1857" s="123"/>
    </row>
    <row r="1858">
      <c r="A1858" s="203">
        <v>1849.0</v>
      </c>
      <c r="B1858" s="204">
        <v>45926.0</v>
      </c>
      <c r="C1858" s="119"/>
      <c r="D1858" s="205" t="s">
        <v>4821</v>
      </c>
      <c r="E1858" s="504" t="s">
        <v>4822</v>
      </c>
      <c r="F1858" s="205" t="s">
        <v>1412</v>
      </c>
      <c r="G1858" s="203" t="s">
        <v>64</v>
      </c>
      <c r="H1858" s="203" t="s">
        <v>41</v>
      </c>
      <c r="I1858" s="203" t="s">
        <v>643</v>
      </c>
      <c r="J1858" s="118">
        <v>2.0</v>
      </c>
      <c r="K1858" s="117"/>
      <c r="L1858" s="117"/>
      <c r="M1858" s="117"/>
      <c r="N1858" s="117"/>
      <c r="O1858" s="117"/>
      <c r="P1858" s="506"/>
      <c r="Q1858" s="119"/>
      <c r="R1858" s="119"/>
      <c r="S1858" s="504" t="s">
        <v>89</v>
      </c>
      <c r="T1858" s="203" t="s">
        <v>66</v>
      </c>
      <c r="U1858" s="203" t="s">
        <v>99</v>
      </c>
      <c r="V1858" s="203" t="s">
        <v>1984</v>
      </c>
      <c r="W1858" s="121"/>
      <c r="X1858" s="121"/>
      <c r="Y1858" s="121"/>
      <c r="Z1858" s="121"/>
      <c r="AA1858" s="207">
        <v>301000.0</v>
      </c>
      <c r="AB1858" s="207">
        <v>707000.0</v>
      </c>
      <c r="AC1858" s="509" t="s">
        <v>4851</v>
      </c>
      <c r="AD1858" s="203">
        <v>21220.0</v>
      </c>
      <c r="AE1858" s="119"/>
      <c r="AF1858" s="203" t="str">
        <f t="shared" si="1"/>
        <v>Buenos Aires, Argentina</v>
      </c>
      <c r="AG1858" s="504">
        <f t="shared" si="2"/>
        <v>2</v>
      </c>
      <c r="AH1858" s="555">
        <f t="shared" si="17"/>
        <v>0</v>
      </c>
      <c r="AI1858" s="555">
        <f t="shared" si="12"/>
        <v>0</v>
      </c>
      <c r="AJ1858" s="207">
        <f t="shared" si="5"/>
        <v>1008000</v>
      </c>
      <c r="AK1858" s="207">
        <f t="shared" si="18"/>
        <v>1008000</v>
      </c>
      <c r="AL1858" s="123"/>
      <c r="AM1858" s="123"/>
    </row>
    <row r="1859">
      <c r="A1859" s="203">
        <v>1850.0</v>
      </c>
      <c r="B1859" s="204">
        <v>45930.0</v>
      </c>
      <c r="C1859" s="119"/>
      <c r="D1859" s="205" t="s">
        <v>4852</v>
      </c>
      <c r="E1859" s="504" t="s">
        <v>4660</v>
      </c>
      <c r="F1859" s="205" t="s">
        <v>1423</v>
      </c>
      <c r="G1859" s="203" t="s">
        <v>64</v>
      </c>
      <c r="H1859" s="203" t="s">
        <v>547</v>
      </c>
      <c r="I1859" s="203" t="s">
        <v>42</v>
      </c>
      <c r="J1859" s="118">
        <v>1.0</v>
      </c>
      <c r="K1859" s="117"/>
      <c r="L1859" s="117"/>
      <c r="M1859" s="117"/>
      <c r="N1859" s="117"/>
      <c r="O1859" s="117"/>
      <c r="P1859" s="506"/>
      <c r="Q1859" s="119"/>
      <c r="R1859" s="119"/>
      <c r="S1859" s="504" t="s">
        <v>114</v>
      </c>
      <c r="T1859" s="203" t="s">
        <v>58</v>
      </c>
      <c r="U1859" s="203" t="s">
        <v>99</v>
      </c>
      <c r="V1859" s="203" t="s">
        <v>2922</v>
      </c>
      <c r="W1859" s="121"/>
      <c r="X1859" s="121"/>
      <c r="Y1859" s="121"/>
      <c r="Z1859" s="121"/>
      <c r="AA1859" s="207">
        <v>118580.0</v>
      </c>
      <c r="AB1859" s="207">
        <v>592900.0</v>
      </c>
      <c r="AC1859" s="509" t="s">
        <v>4853</v>
      </c>
      <c r="AD1859" s="203" t="s">
        <v>4854</v>
      </c>
      <c r="AE1859" s="119"/>
      <c r="AF1859" s="203" t="str">
        <f t="shared" si="1"/>
        <v>Córdoba, Argentina</v>
      </c>
      <c r="AG1859" s="504">
        <f t="shared" si="2"/>
        <v>1</v>
      </c>
      <c r="AH1859" s="555">
        <f t="shared" si="17"/>
        <v>0</v>
      </c>
      <c r="AI1859" s="555">
        <f t="shared" si="12"/>
        <v>0</v>
      </c>
      <c r="AJ1859" s="207">
        <f t="shared" si="5"/>
        <v>711480</v>
      </c>
      <c r="AK1859" s="207">
        <f t="shared" si="18"/>
        <v>711480</v>
      </c>
      <c r="AL1859" s="123"/>
      <c r="AM1859" s="123"/>
    </row>
    <row r="1860">
      <c r="A1860" s="203">
        <v>1851.0</v>
      </c>
      <c r="B1860" s="204">
        <v>45930.0</v>
      </c>
      <c r="C1860" s="119"/>
      <c r="D1860" s="205" t="s">
        <v>4855</v>
      </c>
      <c r="E1860" s="504" t="s">
        <v>4856</v>
      </c>
      <c r="F1860" s="205" t="s">
        <v>4857</v>
      </c>
      <c r="G1860" s="203" t="s">
        <v>64</v>
      </c>
      <c r="H1860" s="203" t="s">
        <v>41</v>
      </c>
      <c r="I1860" s="203" t="s">
        <v>643</v>
      </c>
      <c r="J1860" s="117"/>
      <c r="K1860" s="117"/>
      <c r="L1860" s="117"/>
      <c r="M1860" s="117"/>
      <c r="N1860" s="117"/>
      <c r="O1860" s="117"/>
      <c r="P1860" s="506"/>
      <c r="Q1860" s="119"/>
      <c r="R1860" s="119"/>
      <c r="S1860" s="504" t="s">
        <v>65</v>
      </c>
      <c r="T1860" s="203" t="s">
        <v>66</v>
      </c>
      <c r="U1860" s="203" t="s">
        <v>99</v>
      </c>
      <c r="V1860" s="203" t="s">
        <v>1984</v>
      </c>
      <c r="W1860" s="121"/>
      <c r="X1860" s="121"/>
      <c r="Y1860" s="121"/>
      <c r="Z1860" s="121"/>
      <c r="AA1860" s="207">
        <v>0.0</v>
      </c>
      <c r="AB1860" s="207">
        <v>410400.0</v>
      </c>
      <c r="AC1860" s="509" t="s">
        <v>4858</v>
      </c>
      <c r="AD1860" s="203">
        <v>21196.0</v>
      </c>
      <c r="AE1860" s="119"/>
      <c r="AF1860" s="203" t="str">
        <f t="shared" si="1"/>
        <v>Buenos Aires, Argentina</v>
      </c>
      <c r="AG1860" s="504">
        <f t="shared" si="2"/>
        <v>0</v>
      </c>
      <c r="AH1860" s="555">
        <f t="shared" si="17"/>
        <v>0</v>
      </c>
      <c r="AI1860" s="555">
        <f t="shared" si="12"/>
        <v>0</v>
      </c>
      <c r="AJ1860" s="207">
        <f t="shared" si="5"/>
        <v>410400</v>
      </c>
      <c r="AK1860" s="207">
        <f t="shared" si="18"/>
        <v>410400</v>
      </c>
      <c r="AL1860" s="123"/>
      <c r="AM1860" s="123"/>
    </row>
    <row r="1861">
      <c r="A1861" s="203">
        <v>1852.0</v>
      </c>
      <c r="B1861" s="204">
        <v>45930.0</v>
      </c>
      <c r="C1861" s="119"/>
      <c r="D1861" s="205" t="s">
        <v>4859</v>
      </c>
      <c r="E1861" s="504" t="s">
        <v>3785</v>
      </c>
      <c r="F1861" s="205" t="s">
        <v>4590</v>
      </c>
      <c r="G1861" s="203" t="s">
        <v>64</v>
      </c>
      <c r="H1861" s="203" t="s">
        <v>41</v>
      </c>
      <c r="I1861" s="203" t="s">
        <v>643</v>
      </c>
      <c r="J1861" s="117"/>
      <c r="K1861" s="117"/>
      <c r="L1861" s="117"/>
      <c r="M1861" s="117"/>
      <c r="N1861" s="117"/>
      <c r="O1861" s="117"/>
      <c r="P1861" s="506"/>
      <c r="Q1861" s="119"/>
      <c r="R1861" s="119"/>
      <c r="S1861" s="504" t="s">
        <v>137</v>
      </c>
      <c r="T1861" s="203" t="s">
        <v>83</v>
      </c>
      <c r="U1861" s="203" t="s">
        <v>99</v>
      </c>
      <c r="V1861" s="203" t="s">
        <v>1984</v>
      </c>
      <c r="W1861" s="207">
        <v>108134.0</v>
      </c>
      <c r="X1861" s="207">
        <v>486225.0</v>
      </c>
      <c r="Y1861" s="121"/>
      <c r="Z1861" s="121"/>
      <c r="AA1861" s="207">
        <v>0.0</v>
      </c>
      <c r="AB1861" s="207">
        <v>0.0</v>
      </c>
      <c r="AC1861" s="509" t="s">
        <v>4860</v>
      </c>
      <c r="AD1861" s="203">
        <v>21088.0</v>
      </c>
      <c r="AE1861" s="119"/>
      <c r="AF1861" s="203" t="str">
        <f t="shared" si="1"/>
        <v>Capital Federal, Argentina</v>
      </c>
      <c r="AG1861" s="504">
        <f t="shared" si="2"/>
        <v>0</v>
      </c>
      <c r="AH1861" s="555">
        <f t="shared" si="17"/>
        <v>594359</v>
      </c>
      <c r="AI1861" s="555">
        <f t="shared" si="12"/>
        <v>0</v>
      </c>
      <c r="AJ1861" s="207">
        <f t="shared" si="5"/>
        <v>0</v>
      </c>
      <c r="AK1861" s="207">
        <f t="shared" si="18"/>
        <v>594359</v>
      </c>
      <c r="AL1861" s="123"/>
      <c r="AM1861" s="123"/>
    </row>
    <row r="1862">
      <c r="A1862" s="203">
        <v>1853.0</v>
      </c>
      <c r="B1862" s="204">
        <v>45930.0</v>
      </c>
      <c r="C1862" s="119"/>
      <c r="D1862" s="205" t="s">
        <v>4119</v>
      </c>
      <c r="E1862" s="504" t="s">
        <v>4120</v>
      </c>
      <c r="F1862" s="205" t="s">
        <v>4861</v>
      </c>
      <c r="G1862" s="203" t="s">
        <v>64</v>
      </c>
      <c r="H1862" s="203" t="s">
        <v>41</v>
      </c>
      <c r="I1862" s="203" t="s">
        <v>643</v>
      </c>
      <c r="J1862" s="117"/>
      <c r="K1862" s="117"/>
      <c r="L1862" s="117"/>
      <c r="M1862" s="117"/>
      <c r="N1862" s="117"/>
      <c r="O1862" s="117"/>
      <c r="P1862" s="506"/>
      <c r="Q1862" s="119"/>
      <c r="R1862" s="119"/>
      <c r="S1862" s="504" t="s">
        <v>189</v>
      </c>
      <c r="T1862" s="203" t="s">
        <v>73</v>
      </c>
      <c r="U1862" s="203" t="s">
        <v>99</v>
      </c>
      <c r="V1862" s="203" t="s">
        <v>1984</v>
      </c>
      <c r="W1862" s="121"/>
      <c r="X1862" s="121"/>
      <c r="Y1862" s="121"/>
      <c r="Z1862" s="121"/>
      <c r="AA1862" s="207">
        <v>0.0</v>
      </c>
      <c r="AB1862" s="207">
        <v>0.0</v>
      </c>
      <c r="AC1862" s="509" t="s">
        <v>4862</v>
      </c>
      <c r="AD1862" s="203">
        <v>21390.0</v>
      </c>
      <c r="AE1862" s="119"/>
      <c r="AF1862" s="203" t="str">
        <f t="shared" si="1"/>
        <v>Tierra de Fuego, Argentina</v>
      </c>
      <c r="AG1862" s="504">
        <f t="shared" si="2"/>
        <v>0</v>
      </c>
      <c r="AH1862" s="555">
        <f t="shared" si="17"/>
        <v>0</v>
      </c>
      <c r="AI1862" s="555">
        <f t="shared" si="12"/>
        <v>0</v>
      </c>
      <c r="AJ1862" s="207">
        <f t="shared" si="5"/>
        <v>0</v>
      </c>
      <c r="AK1862" s="207">
        <f t="shared" si="18"/>
        <v>0</v>
      </c>
      <c r="AL1862" s="123"/>
      <c r="AM1862" s="123"/>
    </row>
    <row r="1863">
      <c r="A1863" s="203">
        <v>1854.0</v>
      </c>
      <c r="B1863" s="204">
        <v>45930.0</v>
      </c>
      <c r="C1863" s="119"/>
      <c r="D1863" s="205" t="s">
        <v>4314</v>
      </c>
      <c r="E1863" s="504" t="s">
        <v>3350</v>
      </c>
      <c r="F1863" s="205" t="s">
        <v>1415</v>
      </c>
      <c r="G1863" s="203" t="s">
        <v>64</v>
      </c>
      <c r="H1863" s="203" t="s">
        <v>41</v>
      </c>
      <c r="I1863" s="203" t="s">
        <v>643</v>
      </c>
      <c r="J1863" s="117"/>
      <c r="K1863" s="206">
        <v>1.0</v>
      </c>
      <c r="L1863" s="117"/>
      <c r="M1863" s="117"/>
      <c r="N1863" s="117"/>
      <c r="O1863" s="117"/>
      <c r="P1863" s="506"/>
      <c r="Q1863" s="119"/>
      <c r="R1863" s="119"/>
      <c r="S1863" s="504" t="s">
        <v>65</v>
      </c>
      <c r="T1863" s="203" t="s">
        <v>66</v>
      </c>
      <c r="U1863" s="203" t="s">
        <v>99</v>
      </c>
      <c r="V1863" s="203" t="s">
        <v>1984</v>
      </c>
      <c r="W1863" s="121"/>
      <c r="X1863" s="121"/>
      <c r="Y1863" s="121"/>
      <c r="Z1863" s="121"/>
      <c r="AA1863" s="207">
        <v>114000.0</v>
      </c>
      <c r="AB1863" s="207">
        <v>456000.0</v>
      </c>
      <c r="AC1863" s="509" t="s">
        <v>4863</v>
      </c>
      <c r="AD1863" s="203">
        <v>21386.0</v>
      </c>
      <c r="AE1863" s="119"/>
      <c r="AF1863" s="203" t="str">
        <f t="shared" si="1"/>
        <v>Buenos Aires, Argentina</v>
      </c>
      <c r="AG1863" s="504">
        <f t="shared" si="2"/>
        <v>1</v>
      </c>
      <c r="AH1863" s="555">
        <f t="shared" si="17"/>
        <v>0</v>
      </c>
      <c r="AI1863" s="555">
        <f t="shared" si="12"/>
        <v>0</v>
      </c>
      <c r="AJ1863" s="207">
        <f t="shared" si="5"/>
        <v>570000</v>
      </c>
      <c r="AK1863" s="207">
        <f t="shared" si="18"/>
        <v>570000</v>
      </c>
      <c r="AL1863" s="123"/>
      <c r="AM1863" s="123"/>
    </row>
    <row r="1864">
      <c r="A1864" s="203">
        <v>1855.0</v>
      </c>
      <c r="B1864" s="204">
        <v>45930.0</v>
      </c>
      <c r="C1864" s="119"/>
      <c r="D1864" s="205" t="s">
        <v>3794</v>
      </c>
      <c r="E1864" s="504" t="s">
        <v>3043</v>
      </c>
      <c r="F1864" s="205" t="s">
        <v>1592</v>
      </c>
      <c r="G1864" s="203" t="s">
        <v>64</v>
      </c>
      <c r="H1864" s="203" t="s">
        <v>41</v>
      </c>
      <c r="I1864" s="203" t="s">
        <v>643</v>
      </c>
      <c r="J1864" s="118">
        <v>1.0</v>
      </c>
      <c r="K1864" s="206">
        <v>1.0</v>
      </c>
      <c r="L1864" s="117"/>
      <c r="M1864" s="117"/>
      <c r="N1864" s="117"/>
      <c r="O1864" s="117"/>
      <c r="P1864" s="506"/>
      <c r="Q1864" s="119"/>
      <c r="R1864" s="119"/>
      <c r="S1864" s="504" t="s">
        <v>114</v>
      </c>
      <c r="T1864" s="203" t="s">
        <v>66</v>
      </c>
      <c r="U1864" s="203" t="s">
        <v>99</v>
      </c>
      <c r="V1864" s="203" t="s">
        <v>1984</v>
      </c>
      <c r="W1864" s="121"/>
      <c r="X1864" s="121"/>
      <c r="Y1864" s="121"/>
      <c r="Z1864" s="121"/>
      <c r="AA1864" s="207">
        <v>266000.0</v>
      </c>
      <c r="AB1864" s="207">
        <v>1197000.0</v>
      </c>
      <c r="AC1864" s="509" t="s">
        <v>4864</v>
      </c>
      <c r="AD1864" s="203">
        <v>21284.0</v>
      </c>
      <c r="AE1864" s="119"/>
      <c r="AF1864" s="203" t="str">
        <f t="shared" si="1"/>
        <v>Buenos Aires, Argentina</v>
      </c>
      <c r="AG1864" s="504">
        <f t="shared" si="2"/>
        <v>2</v>
      </c>
      <c r="AH1864" s="555">
        <f t="shared" si="17"/>
        <v>0</v>
      </c>
      <c r="AI1864" s="555">
        <f t="shared" si="12"/>
        <v>0</v>
      </c>
      <c r="AJ1864" s="207">
        <f t="shared" si="5"/>
        <v>1463000</v>
      </c>
      <c r="AK1864" s="207">
        <f t="shared" si="18"/>
        <v>1463000</v>
      </c>
      <c r="AL1864" s="123"/>
      <c r="AM1864" s="123"/>
    </row>
    <row r="1865">
      <c r="A1865" s="203">
        <v>1856.0</v>
      </c>
      <c r="B1865" s="204">
        <v>45930.0</v>
      </c>
      <c r="C1865" s="119"/>
      <c r="D1865" s="205" t="s">
        <v>3063</v>
      </c>
      <c r="E1865" s="504" t="s">
        <v>3064</v>
      </c>
      <c r="F1865" s="205" t="s">
        <v>1878</v>
      </c>
      <c r="G1865" s="203" t="s">
        <v>64</v>
      </c>
      <c r="H1865" s="203" t="s">
        <v>41</v>
      </c>
      <c r="I1865" s="203" t="s">
        <v>643</v>
      </c>
      <c r="J1865" s="117"/>
      <c r="K1865" s="117"/>
      <c r="L1865" s="117"/>
      <c r="M1865" s="117"/>
      <c r="N1865" s="206">
        <v>1.0</v>
      </c>
      <c r="O1865" s="117"/>
      <c r="P1865" s="506"/>
      <c r="Q1865" s="119"/>
      <c r="R1865" s="119"/>
      <c r="S1865" s="504" t="s">
        <v>65</v>
      </c>
      <c r="T1865" s="203" t="s">
        <v>972</v>
      </c>
      <c r="U1865" s="203" t="s">
        <v>99</v>
      </c>
      <c r="V1865" s="203" t="s">
        <v>1984</v>
      </c>
      <c r="W1865" s="121"/>
      <c r="X1865" s="121"/>
      <c r="Y1865" s="121"/>
      <c r="Z1865" s="121"/>
      <c r="AA1865" s="207">
        <v>136800.0</v>
      </c>
      <c r="AB1865" s="207">
        <v>570000.0</v>
      </c>
      <c r="AC1865" s="509" t="s">
        <v>4865</v>
      </c>
      <c r="AD1865" s="203">
        <v>21404.0</v>
      </c>
      <c r="AE1865" s="119"/>
      <c r="AF1865" s="203" t="str">
        <f t="shared" si="1"/>
        <v>Río Negro, Argentina</v>
      </c>
      <c r="AG1865" s="504">
        <f t="shared" si="2"/>
        <v>1</v>
      </c>
      <c r="AH1865" s="555">
        <f t="shared" si="17"/>
        <v>0</v>
      </c>
      <c r="AI1865" s="555">
        <f t="shared" si="12"/>
        <v>0</v>
      </c>
      <c r="AJ1865" s="207">
        <f t="shared" si="5"/>
        <v>706800</v>
      </c>
      <c r="AK1865" s="207">
        <f t="shared" si="18"/>
        <v>706800</v>
      </c>
      <c r="AL1865" s="123"/>
      <c r="AM1865" s="123"/>
    </row>
    <row r="1866">
      <c r="A1866" s="203">
        <v>1857.0</v>
      </c>
      <c r="B1866" s="204">
        <v>45930.0</v>
      </c>
      <c r="C1866" s="119"/>
      <c r="D1866" s="205" t="s">
        <v>2666</v>
      </c>
      <c r="E1866" s="504" t="s">
        <v>2667</v>
      </c>
      <c r="F1866" s="205" t="s">
        <v>1415</v>
      </c>
      <c r="G1866" s="203" t="s">
        <v>64</v>
      </c>
      <c r="H1866" s="203" t="s">
        <v>41</v>
      </c>
      <c r="I1866" s="203" t="s">
        <v>643</v>
      </c>
      <c r="J1866" s="117"/>
      <c r="K1866" s="206">
        <v>1.0</v>
      </c>
      <c r="L1866" s="117"/>
      <c r="M1866" s="117"/>
      <c r="N1866" s="117"/>
      <c r="O1866" s="117"/>
      <c r="P1866" s="506"/>
      <c r="Q1866" s="119"/>
      <c r="R1866" s="119"/>
      <c r="S1866" s="504" t="s">
        <v>204</v>
      </c>
      <c r="T1866" s="203" t="s">
        <v>66</v>
      </c>
      <c r="U1866" s="203" t="s">
        <v>99</v>
      </c>
      <c r="V1866" s="203" t="s">
        <v>1984</v>
      </c>
      <c r="W1866" s="121"/>
      <c r="X1866" s="121"/>
      <c r="Y1866" s="121"/>
      <c r="Z1866" s="121"/>
      <c r="AA1866" s="207">
        <v>114000.0</v>
      </c>
      <c r="AB1866" s="207">
        <v>456000.0</v>
      </c>
      <c r="AC1866" s="509" t="s">
        <v>4866</v>
      </c>
      <c r="AD1866" s="203">
        <v>21490.0</v>
      </c>
      <c r="AE1866" s="119"/>
      <c r="AF1866" s="203" t="str">
        <f t="shared" si="1"/>
        <v>Buenos Aires, Argentina</v>
      </c>
      <c r="AG1866" s="504">
        <f t="shared" si="2"/>
        <v>1</v>
      </c>
      <c r="AH1866" s="555">
        <f t="shared" si="17"/>
        <v>0</v>
      </c>
      <c r="AI1866" s="555">
        <f t="shared" si="12"/>
        <v>0</v>
      </c>
      <c r="AJ1866" s="207">
        <f t="shared" si="5"/>
        <v>570000</v>
      </c>
      <c r="AK1866" s="207">
        <f t="shared" si="18"/>
        <v>570000</v>
      </c>
      <c r="AL1866" s="123"/>
      <c r="AM1866" s="123"/>
    </row>
    <row r="1867">
      <c r="A1867" s="203">
        <v>1858.0</v>
      </c>
      <c r="B1867" s="204">
        <v>45930.0</v>
      </c>
      <c r="C1867" s="119"/>
      <c r="D1867" s="205" t="s">
        <v>4810</v>
      </c>
      <c r="E1867" s="504" t="s">
        <v>4811</v>
      </c>
      <c r="F1867" s="205" t="s">
        <v>1423</v>
      </c>
      <c r="G1867" s="203" t="s">
        <v>64</v>
      </c>
      <c r="H1867" s="203" t="s">
        <v>41</v>
      </c>
      <c r="I1867" s="203" t="s">
        <v>643</v>
      </c>
      <c r="J1867" s="118">
        <v>1.0</v>
      </c>
      <c r="K1867" s="117"/>
      <c r="L1867" s="117"/>
      <c r="M1867" s="117"/>
      <c r="N1867" s="117"/>
      <c r="O1867" s="117"/>
      <c r="P1867" s="506"/>
      <c r="Q1867" s="119"/>
      <c r="R1867" s="119"/>
      <c r="S1867" s="504" t="s">
        <v>65</v>
      </c>
      <c r="T1867" s="203" t="s">
        <v>66</v>
      </c>
      <c r="U1867" s="203" t="s">
        <v>99</v>
      </c>
      <c r="V1867" s="203" t="s">
        <v>1984</v>
      </c>
      <c r="W1867" s="121"/>
      <c r="X1867" s="121"/>
      <c r="Y1867" s="121"/>
      <c r="Z1867" s="121"/>
      <c r="AA1867" s="207">
        <v>150500.0</v>
      </c>
      <c r="AB1867" s="207">
        <v>364967.0</v>
      </c>
      <c r="AC1867" s="509" t="s">
        <v>4867</v>
      </c>
      <c r="AD1867" s="203">
        <v>21324.0</v>
      </c>
      <c r="AE1867" s="119"/>
      <c r="AF1867" s="203" t="str">
        <f t="shared" si="1"/>
        <v>Buenos Aires, Argentina</v>
      </c>
      <c r="AG1867" s="504">
        <f t="shared" si="2"/>
        <v>1</v>
      </c>
      <c r="AH1867" s="555">
        <f t="shared" si="17"/>
        <v>0</v>
      </c>
      <c r="AI1867" s="555">
        <f t="shared" si="12"/>
        <v>0</v>
      </c>
      <c r="AJ1867" s="207">
        <f t="shared" si="5"/>
        <v>515467</v>
      </c>
      <c r="AK1867" s="207">
        <f t="shared" si="18"/>
        <v>515467</v>
      </c>
      <c r="AL1867" s="123"/>
      <c r="AM1867" s="123"/>
    </row>
    <row r="1868">
      <c r="A1868" s="203">
        <v>1859.0</v>
      </c>
      <c r="B1868" s="204">
        <v>45930.0</v>
      </c>
      <c r="C1868" s="119"/>
      <c r="D1868" s="205" t="s">
        <v>4407</v>
      </c>
      <c r="E1868" s="504" t="s">
        <v>4408</v>
      </c>
      <c r="F1868" s="205" t="s">
        <v>1415</v>
      </c>
      <c r="G1868" s="203" t="s">
        <v>64</v>
      </c>
      <c r="H1868" s="203" t="s">
        <v>41</v>
      </c>
      <c r="I1868" s="203" t="s">
        <v>643</v>
      </c>
      <c r="J1868" s="117"/>
      <c r="K1868" s="206">
        <v>1.0</v>
      </c>
      <c r="L1868" s="117"/>
      <c r="M1868" s="117"/>
      <c r="N1868" s="117"/>
      <c r="O1868" s="117"/>
      <c r="P1868" s="506"/>
      <c r="Q1868" s="119"/>
      <c r="R1868" s="119"/>
      <c r="S1868" s="504" t="s">
        <v>167</v>
      </c>
      <c r="T1868" s="203" t="s">
        <v>497</v>
      </c>
      <c r="U1868" s="203" t="s">
        <v>99</v>
      </c>
      <c r="V1868" s="203" t="s">
        <v>1984</v>
      </c>
      <c r="W1868" s="121"/>
      <c r="X1868" s="121"/>
      <c r="Y1868" s="121"/>
      <c r="Z1868" s="121"/>
      <c r="AA1868" s="207">
        <v>115500.0</v>
      </c>
      <c r="AB1868" s="207">
        <v>433125.0</v>
      </c>
      <c r="AC1868" s="509" t="s">
        <v>4868</v>
      </c>
      <c r="AD1868" s="203">
        <v>21520.0</v>
      </c>
      <c r="AE1868" s="119"/>
      <c r="AF1868" s="203" t="str">
        <f t="shared" si="1"/>
        <v>Tucumán, Argentina</v>
      </c>
      <c r="AG1868" s="504">
        <f t="shared" si="2"/>
        <v>1</v>
      </c>
      <c r="AH1868" s="556">
        <f t="shared" si="17"/>
        <v>0</v>
      </c>
      <c r="AI1868" s="556">
        <f t="shared" si="12"/>
        <v>0</v>
      </c>
      <c r="AJ1868" s="207">
        <f t="shared" si="5"/>
        <v>548625</v>
      </c>
      <c r="AK1868" s="207">
        <f t="shared" si="18"/>
        <v>548625</v>
      </c>
      <c r="AL1868" s="123"/>
      <c r="AM1868" s="123"/>
    </row>
    <row r="1869">
      <c r="A1869" s="203">
        <v>1860.0</v>
      </c>
      <c r="B1869" s="204">
        <v>45930.0</v>
      </c>
      <c r="C1869" s="119"/>
      <c r="D1869" s="205" t="s">
        <v>4869</v>
      </c>
      <c r="E1869" s="504" t="s">
        <v>4870</v>
      </c>
      <c r="F1869" s="205" t="s">
        <v>2598</v>
      </c>
      <c r="G1869" s="203" t="s">
        <v>40</v>
      </c>
      <c r="H1869" s="203" t="s">
        <v>41</v>
      </c>
      <c r="I1869" s="203" t="s">
        <v>42</v>
      </c>
      <c r="J1869" s="118">
        <v>2.0</v>
      </c>
      <c r="K1869" s="206">
        <v>6.0</v>
      </c>
      <c r="L1869" s="117"/>
      <c r="M1869" s="206">
        <v>1.0</v>
      </c>
      <c r="N1869" s="117"/>
      <c r="O1869" s="117"/>
      <c r="P1869" s="506"/>
      <c r="Q1869" s="119"/>
      <c r="R1869" s="119"/>
      <c r="S1869" s="504" t="s">
        <v>89</v>
      </c>
      <c r="T1869" s="203" t="s">
        <v>216</v>
      </c>
      <c r="U1869" s="203" t="s">
        <v>4456</v>
      </c>
      <c r="V1869" s="203" t="s">
        <v>2922</v>
      </c>
      <c r="W1869" s="121"/>
      <c r="X1869" s="121"/>
      <c r="Y1869" s="121"/>
      <c r="Z1869" s="121"/>
      <c r="AA1869" s="207">
        <v>1001000.0</v>
      </c>
      <c r="AB1869" s="207">
        <v>3503500.0</v>
      </c>
      <c r="AC1869" s="509" t="s">
        <v>4871</v>
      </c>
      <c r="AD1869" s="203">
        <v>20458.0</v>
      </c>
      <c r="AE1869" s="119"/>
      <c r="AF1869" s="203" t="str">
        <f t="shared" si="1"/>
        <v>Catamarca, Argentina</v>
      </c>
      <c r="AG1869" s="504">
        <f t="shared" si="2"/>
        <v>9</v>
      </c>
      <c r="AH1869" s="556">
        <f t="shared" si="17"/>
        <v>0</v>
      </c>
      <c r="AI1869" s="556">
        <f t="shared" si="12"/>
        <v>0</v>
      </c>
      <c r="AJ1869" s="207">
        <f t="shared" si="5"/>
        <v>4504500</v>
      </c>
      <c r="AK1869" s="207">
        <f t="shared" si="18"/>
        <v>4504500</v>
      </c>
      <c r="AL1869" s="123"/>
      <c r="AM1869" s="123"/>
    </row>
    <row r="1870">
      <c r="A1870" s="203">
        <v>1861.0</v>
      </c>
      <c r="B1870" s="204">
        <v>45930.0</v>
      </c>
      <c r="C1870" s="119"/>
      <c r="D1870" s="205" t="s">
        <v>795</v>
      </c>
      <c r="E1870" s="504" t="s">
        <v>796</v>
      </c>
      <c r="F1870" s="205" t="s">
        <v>1415</v>
      </c>
      <c r="G1870" s="203" t="s">
        <v>64</v>
      </c>
      <c r="H1870" s="203" t="s">
        <v>41</v>
      </c>
      <c r="I1870" s="203" t="s">
        <v>643</v>
      </c>
      <c r="J1870" s="117"/>
      <c r="K1870" s="206">
        <v>1.0</v>
      </c>
      <c r="L1870" s="117"/>
      <c r="M1870" s="117"/>
      <c r="N1870" s="117"/>
      <c r="O1870" s="117"/>
      <c r="P1870" s="506"/>
      <c r="Q1870" s="119"/>
      <c r="R1870" s="119"/>
      <c r="S1870" s="504" t="s">
        <v>98</v>
      </c>
      <c r="T1870" s="203" t="s">
        <v>66</v>
      </c>
      <c r="U1870" s="203" t="s">
        <v>99</v>
      </c>
      <c r="V1870" s="203" t="s">
        <v>1984</v>
      </c>
      <c r="W1870" s="121"/>
      <c r="X1870" s="121"/>
      <c r="Y1870" s="121"/>
      <c r="Z1870" s="121"/>
      <c r="AA1870" s="207">
        <v>115500.0</v>
      </c>
      <c r="AB1870" s="207">
        <v>462000.0</v>
      </c>
      <c r="AC1870" s="509" t="s">
        <v>4872</v>
      </c>
      <c r="AD1870" s="203">
        <v>21494.0</v>
      </c>
      <c r="AE1870" s="119"/>
      <c r="AF1870" s="203" t="str">
        <f t="shared" si="1"/>
        <v>Buenos Aires, Argentina</v>
      </c>
      <c r="AG1870" s="504">
        <f t="shared" si="2"/>
        <v>1</v>
      </c>
      <c r="AH1870" s="556">
        <f t="shared" si="17"/>
        <v>0</v>
      </c>
      <c r="AI1870" s="556">
        <f t="shared" si="12"/>
        <v>0</v>
      </c>
      <c r="AJ1870" s="207">
        <f t="shared" si="5"/>
        <v>577500</v>
      </c>
      <c r="AK1870" s="207">
        <f t="shared" si="18"/>
        <v>577500</v>
      </c>
      <c r="AL1870" s="123"/>
      <c r="AM1870" s="123"/>
    </row>
    <row r="1871">
      <c r="A1871" s="203">
        <v>1862.0</v>
      </c>
      <c r="B1871" s="204">
        <v>45930.0</v>
      </c>
      <c r="C1871" s="119"/>
      <c r="D1871" s="205" t="s">
        <v>2163</v>
      </c>
      <c r="E1871" s="504" t="s">
        <v>2255</v>
      </c>
      <c r="F1871" s="205" t="s">
        <v>4873</v>
      </c>
      <c r="G1871" s="203" t="s">
        <v>64</v>
      </c>
      <c r="H1871" s="203" t="s">
        <v>41</v>
      </c>
      <c r="I1871" s="203" t="s">
        <v>643</v>
      </c>
      <c r="J1871" s="117"/>
      <c r="K1871" s="117"/>
      <c r="L1871" s="117"/>
      <c r="M1871" s="117"/>
      <c r="N1871" s="117"/>
      <c r="O1871" s="117"/>
      <c r="P1871" s="506"/>
      <c r="Q1871" s="119"/>
      <c r="R1871" s="119"/>
      <c r="S1871" s="504" t="s">
        <v>65</v>
      </c>
      <c r="T1871" s="203" t="s">
        <v>66</v>
      </c>
      <c r="U1871" s="203" t="s">
        <v>99</v>
      </c>
      <c r="V1871" s="203" t="s">
        <v>1984</v>
      </c>
      <c r="W1871" s="121"/>
      <c r="X1871" s="121"/>
      <c r="Y1871" s="121"/>
      <c r="Z1871" s="121"/>
      <c r="AA1871" s="207">
        <v>0.0</v>
      </c>
      <c r="AB1871" s="207">
        <v>739200.0</v>
      </c>
      <c r="AC1871" s="509" t="s">
        <v>4874</v>
      </c>
      <c r="AD1871" s="203">
        <v>19660.0</v>
      </c>
      <c r="AE1871" s="119"/>
      <c r="AF1871" s="203" t="str">
        <f t="shared" si="1"/>
        <v>Buenos Aires, Argentina</v>
      </c>
      <c r="AG1871" s="504">
        <f t="shared" si="2"/>
        <v>0</v>
      </c>
      <c r="AH1871" s="556">
        <f t="shared" si="17"/>
        <v>0</v>
      </c>
      <c r="AI1871" s="556">
        <f t="shared" si="12"/>
        <v>0</v>
      </c>
      <c r="AJ1871" s="207">
        <f t="shared" si="5"/>
        <v>739200</v>
      </c>
      <c r="AK1871" s="207">
        <f t="shared" si="18"/>
        <v>739200</v>
      </c>
      <c r="AL1871" s="123"/>
      <c r="AM1871" s="123"/>
    </row>
    <row r="1872">
      <c r="A1872" s="203">
        <v>1863.0</v>
      </c>
      <c r="B1872" s="204">
        <v>45930.0</v>
      </c>
      <c r="C1872" s="119"/>
      <c r="D1872" s="205" t="s">
        <v>4875</v>
      </c>
      <c r="E1872" s="504" t="s">
        <v>4061</v>
      </c>
      <c r="F1872" s="205" t="s">
        <v>4876</v>
      </c>
      <c r="G1872" s="203" t="s">
        <v>64</v>
      </c>
      <c r="H1872" s="203" t="s">
        <v>41</v>
      </c>
      <c r="I1872" s="203" t="s">
        <v>643</v>
      </c>
      <c r="J1872" s="118">
        <v>1.0</v>
      </c>
      <c r="K1872" s="206">
        <v>2.0</v>
      </c>
      <c r="L1872" s="206">
        <v>2.0</v>
      </c>
      <c r="M1872" s="206">
        <v>1.0</v>
      </c>
      <c r="N1872" s="117"/>
      <c r="O1872" s="117"/>
      <c r="P1872" s="506"/>
      <c r="Q1872" s="119"/>
      <c r="R1872" s="119"/>
      <c r="S1872" s="504" t="s">
        <v>98</v>
      </c>
      <c r="T1872" s="203" t="s">
        <v>66</v>
      </c>
      <c r="U1872" s="203" t="s">
        <v>99</v>
      </c>
      <c r="V1872" s="203" t="s">
        <v>1984</v>
      </c>
      <c r="W1872" s="121"/>
      <c r="X1872" s="121"/>
      <c r="Y1872" s="121"/>
      <c r="Z1872" s="121"/>
      <c r="AA1872" s="207">
        <v>638400.0</v>
      </c>
      <c r="AB1872" s="207">
        <v>1506624.0</v>
      </c>
      <c r="AC1872" s="509" t="s">
        <v>4877</v>
      </c>
      <c r="AD1872" s="203">
        <v>21168.0</v>
      </c>
      <c r="AE1872" s="119"/>
      <c r="AF1872" s="203" t="str">
        <f t="shared" si="1"/>
        <v>Buenos Aires, Argentina</v>
      </c>
      <c r="AG1872" s="504">
        <f t="shared" si="2"/>
        <v>6</v>
      </c>
      <c r="AH1872" s="556">
        <f t="shared" si="17"/>
        <v>0</v>
      </c>
      <c r="AI1872" s="556">
        <f t="shared" si="12"/>
        <v>0</v>
      </c>
      <c r="AJ1872" s="207">
        <f t="shared" si="5"/>
        <v>2145024</v>
      </c>
      <c r="AK1872" s="207">
        <f t="shared" si="18"/>
        <v>2145024</v>
      </c>
      <c r="AL1872" s="123"/>
      <c r="AM1872" s="123"/>
    </row>
    <row r="1873">
      <c r="A1873" s="298">
        <v>1864.0</v>
      </c>
      <c r="B1873" s="299">
        <v>45944.0</v>
      </c>
      <c r="C1873" s="302"/>
      <c r="D1873" s="300" t="s">
        <v>2677</v>
      </c>
      <c r="E1873" s="515" t="s">
        <v>2678</v>
      </c>
      <c r="F1873" s="300" t="s">
        <v>4878</v>
      </c>
      <c r="G1873" s="298" t="s">
        <v>64</v>
      </c>
      <c r="H1873" s="298" t="s">
        <v>41</v>
      </c>
      <c r="I1873" s="298" t="s">
        <v>643</v>
      </c>
      <c r="J1873" s="301"/>
      <c r="K1873" s="301"/>
      <c r="L1873" s="301"/>
      <c r="M1873" s="301"/>
      <c r="N1873" s="301"/>
      <c r="O1873" s="301"/>
      <c r="P1873" s="517"/>
      <c r="Q1873" s="302"/>
      <c r="R1873" s="302"/>
      <c r="S1873" s="515" t="s">
        <v>89</v>
      </c>
      <c r="T1873" s="298" t="s">
        <v>83</v>
      </c>
      <c r="U1873" s="298" t="s">
        <v>99</v>
      </c>
      <c r="V1873" s="298" t="s">
        <v>1984</v>
      </c>
      <c r="W1873" s="304">
        <v>45451.0</v>
      </c>
      <c r="X1873" s="304">
        <v>0.0</v>
      </c>
      <c r="Y1873" s="303"/>
      <c r="Z1873" s="303"/>
      <c r="AA1873" s="304">
        <v>0.0</v>
      </c>
      <c r="AB1873" s="304">
        <v>0.0</v>
      </c>
      <c r="AC1873" s="520" t="s">
        <v>4879</v>
      </c>
      <c r="AD1873" s="298">
        <v>21624.0</v>
      </c>
      <c r="AE1873" s="302"/>
      <c r="AF1873" s="298" t="str">
        <f t="shared" si="1"/>
        <v>Capital Federal, Argentina</v>
      </c>
      <c r="AG1873" s="515">
        <f t="shared" si="2"/>
        <v>0</v>
      </c>
      <c r="AH1873" s="304">
        <f t="shared" si="17"/>
        <v>45451</v>
      </c>
      <c r="AI1873" s="557">
        <f t="shared" si="12"/>
        <v>0</v>
      </c>
      <c r="AJ1873" s="304">
        <f t="shared" si="5"/>
        <v>0</v>
      </c>
      <c r="AK1873" s="304">
        <f t="shared" si="18"/>
        <v>45451</v>
      </c>
      <c r="AL1873" s="306"/>
      <c r="AM1873" s="306"/>
    </row>
    <row r="1874">
      <c r="A1874" s="298">
        <v>1865.0</v>
      </c>
      <c r="B1874" s="299">
        <v>45944.0</v>
      </c>
      <c r="C1874" s="302"/>
      <c r="D1874" s="300" t="s">
        <v>4880</v>
      </c>
      <c r="E1874" s="515" t="s">
        <v>4881</v>
      </c>
      <c r="F1874" s="300" t="s">
        <v>4882</v>
      </c>
      <c r="G1874" s="298" t="s">
        <v>40</v>
      </c>
      <c r="H1874" s="298" t="s">
        <v>41</v>
      </c>
      <c r="I1874" s="298" t="s">
        <v>643</v>
      </c>
      <c r="J1874" s="399">
        <v>1.0</v>
      </c>
      <c r="K1874" s="307">
        <v>1.0</v>
      </c>
      <c r="L1874" s="301"/>
      <c r="M1874" s="307">
        <v>1.0</v>
      </c>
      <c r="N1874" s="301"/>
      <c r="O1874" s="301"/>
      <c r="P1874" s="517"/>
      <c r="Q1874" s="302"/>
      <c r="R1874" s="302"/>
      <c r="S1874" s="515" t="s">
        <v>65</v>
      </c>
      <c r="T1874" s="298" t="s">
        <v>66</v>
      </c>
      <c r="U1874" s="298" t="s">
        <v>4883</v>
      </c>
      <c r="V1874" s="298" t="s">
        <v>2935</v>
      </c>
      <c r="W1874" s="303"/>
      <c r="X1874" s="303"/>
      <c r="Y1874" s="303"/>
      <c r="Z1874" s="303"/>
      <c r="AA1874" s="304">
        <v>242550.0</v>
      </c>
      <c r="AB1874" s="304">
        <v>943250.0</v>
      </c>
      <c r="AC1874" s="520" t="s">
        <v>4884</v>
      </c>
      <c r="AD1874" s="298">
        <v>21528.0</v>
      </c>
      <c r="AE1874" s="302"/>
      <c r="AF1874" s="298" t="str">
        <f t="shared" si="1"/>
        <v>Buenos Aires, Argentina</v>
      </c>
      <c r="AG1874" s="515">
        <f t="shared" si="2"/>
        <v>3</v>
      </c>
      <c r="AH1874" s="557">
        <f t="shared" si="17"/>
        <v>0</v>
      </c>
      <c r="AI1874" s="557">
        <f t="shared" si="12"/>
        <v>0</v>
      </c>
      <c r="AJ1874" s="304">
        <f t="shared" si="5"/>
        <v>1185800</v>
      </c>
      <c r="AK1874" s="304">
        <f t="shared" si="18"/>
        <v>1185800</v>
      </c>
      <c r="AL1874" s="306"/>
      <c r="AM1874" s="306"/>
    </row>
    <row r="1875">
      <c r="A1875" s="298">
        <v>1866.0</v>
      </c>
      <c r="B1875" s="299">
        <v>45950.0</v>
      </c>
      <c r="C1875" s="302"/>
      <c r="D1875" s="300" t="s">
        <v>2677</v>
      </c>
      <c r="E1875" s="515" t="s">
        <v>2678</v>
      </c>
      <c r="F1875" s="300" t="s">
        <v>4885</v>
      </c>
      <c r="G1875" s="298" t="s">
        <v>64</v>
      </c>
      <c r="H1875" s="298" t="s">
        <v>41</v>
      </c>
      <c r="I1875" s="298" t="s">
        <v>643</v>
      </c>
      <c r="J1875" s="301"/>
      <c r="K1875" s="301"/>
      <c r="L1875" s="558">
        <v>2.0</v>
      </c>
      <c r="M1875" s="301"/>
      <c r="N1875" s="301"/>
      <c r="O1875" s="301"/>
      <c r="P1875" s="517"/>
      <c r="Q1875" s="302"/>
      <c r="R1875" s="302"/>
      <c r="S1875" s="515" t="s">
        <v>89</v>
      </c>
      <c r="T1875" s="298" t="s">
        <v>83</v>
      </c>
      <c r="U1875" s="298" t="s">
        <v>99</v>
      </c>
      <c r="V1875" s="298" t="s">
        <v>1984</v>
      </c>
      <c r="W1875" s="303"/>
      <c r="X1875" s="303"/>
      <c r="Y1875" s="303"/>
      <c r="Z1875" s="303"/>
      <c r="AA1875" s="304">
        <v>107800.0</v>
      </c>
      <c r="AB1875" s="304">
        <v>404250.0</v>
      </c>
      <c r="AC1875" s="520" t="s">
        <v>4886</v>
      </c>
      <c r="AD1875" s="298">
        <v>21622.0</v>
      </c>
      <c r="AE1875" s="302"/>
      <c r="AF1875" s="298" t="str">
        <f t="shared" si="1"/>
        <v>Capital Federal, Argentina</v>
      </c>
      <c r="AG1875" s="515">
        <f t="shared" si="2"/>
        <v>2</v>
      </c>
      <c r="AH1875" s="557">
        <f t="shared" si="17"/>
        <v>0</v>
      </c>
      <c r="AI1875" s="557">
        <f t="shared" si="12"/>
        <v>0</v>
      </c>
      <c r="AJ1875" s="304">
        <f t="shared" si="5"/>
        <v>512050</v>
      </c>
      <c r="AK1875" s="304">
        <f t="shared" si="18"/>
        <v>512050</v>
      </c>
      <c r="AL1875" s="306"/>
      <c r="AM1875" s="306"/>
    </row>
    <row r="1876">
      <c r="A1876" s="298">
        <v>1867.0</v>
      </c>
      <c r="B1876" s="299">
        <v>45950.0</v>
      </c>
      <c r="C1876" s="302"/>
      <c r="D1876" s="300" t="s">
        <v>4269</v>
      </c>
      <c r="E1876" s="515" t="s">
        <v>3190</v>
      </c>
      <c r="F1876" s="300" t="s">
        <v>1423</v>
      </c>
      <c r="G1876" s="298" t="s">
        <v>64</v>
      </c>
      <c r="H1876" s="298" t="s">
        <v>41</v>
      </c>
      <c r="I1876" s="298" t="s">
        <v>643</v>
      </c>
      <c r="J1876" s="399">
        <v>1.0</v>
      </c>
      <c r="K1876" s="301"/>
      <c r="L1876" s="301"/>
      <c r="M1876" s="301"/>
      <c r="N1876" s="301"/>
      <c r="O1876" s="301"/>
      <c r="P1876" s="517"/>
      <c r="Q1876" s="302"/>
      <c r="R1876" s="302"/>
      <c r="S1876" s="515" t="s">
        <v>189</v>
      </c>
      <c r="T1876" s="298" t="s">
        <v>66</v>
      </c>
      <c r="U1876" s="298" t="s">
        <v>99</v>
      </c>
      <c r="V1876" s="298" t="s">
        <v>1984</v>
      </c>
      <c r="W1876" s="303"/>
      <c r="X1876" s="303"/>
      <c r="Y1876" s="303"/>
      <c r="Z1876" s="303"/>
      <c r="AA1876" s="304">
        <v>154000.0</v>
      </c>
      <c r="AB1876" s="304">
        <v>616000.0</v>
      </c>
      <c r="AC1876" s="520" t="s">
        <v>4887</v>
      </c>
      <c r="AD1876" s="298">
        <v>21620.0</v>
      </c>
      <c r="AE1876" s="302"/>
      <c r="AF1876" s="298" t="str">
        <f t="shared" si="1"/>
        <v>Buenos Aires, Argentina</v>
      </c>
      <c r="AG1876" s="515">
        <f t="shared" si="2"/>
        <v>1</v>
      </c>
      <c r="AH1876" s="557">
        <f t="shared" si="17"/>
        <v>0</v>
      </c>
      <c r="AI1876" s="557">
        <f t="shared" si="12"/>
        <v>0</v>
      </c>
      <c r="AJ1876" s="304">
        <f t="shared" si="5"/>
        <v>770000</v>
      </c>
      <c r="AK1876" s="304">
        <f t="shared" si="18"/>
        <v>770000</v>
      </c>
      <c r="AL1876" s="306"/>
      <c r="AM1876" s="306"/>
    </row>
    <row r="1877">
      <c r="A1877" s="298">
        <v>1868.0</v>
      </c>
      <c r="B1877" s="299">
        <v>45952.0</v>
      </c>
      <c r="C1877" s="302"/>
      <c r="D1877" s="300" t="s">
        <v>4888</v>
      </c>
      <c r="E1877" s="515" t="s">
        <v>2268</v>
      </c>
      <c r="F1877" s="300" t="s">
        <v>3490</v>
      </c>
      <c r="G1877" s="298" t="s">
        <v>64</v>
      </c>
      <c r="H1877" s="298" t="s">
        <v>41</v>
      </c>
      <c r="I1877" s="298" t="s">
        <v>643</v>
      </c>
      <c r="J1877" s="301"/>
      <c r="K1877" s="301"/>
      <c r="L1877" s="301"/>
      <c r="M1877" s="301"/>
      <c r="N1877" s="301"/>
      <c r="O1877" s="301"/>
      <c r="P1877" s="307">
        <v>1.0</v>
      </c>
      <c r="Q1877" s="302"/>
      <c r="R1877" s="302"/>
      <c r="S1877" s="515" t="s">
        <v>98</v>
      </c>
      <c r="T1877" s="298" t="s">
        <v>66</v>
      </c>
      <c r="U1877" s="298" t="s">
        <v>99</v>
      </c>
      <c r="V1877" s="298" t="s">
        <v>1984</v>
      </c>
      <c r="W1877" s="303"/>
      <c r="X1877" s="303"/>
      <c r="Y1877" s="303"/>
      <c r="Z1877" s="303"/>
      <c r="AA1877" s="304">
        <v>154000.0</v>
      </c>
      <c r="AB1877" s="304">
        <v>616000.0</v>
      </c>
      <c r="AC1877" s="520" t="s">
        <v>4889</v>
      </c>
      <c r="AD1877" s="298">
        <v>21690.0</v>
      </c>
      <c r="AE1877" s="302"/>
      <c r="AF1877" s="298" t="str">
        <f t="shared" si="1"/>
        <v>Buenos Aires, Argentina</v>
      </c>
      <c r="AG1877" s="515">
        <f t="shared" si="2"/>
        <v>1</v>
      </c>
      <c r="AH1877" s="557">
        <f t="shared" si="17"/>
        <v>0</v>
      </c>
      <c r="AI1877" s="557">
        <f t="shared" si="12"/>
        <v>0</v>
      </c>
      <c r="AJ1877" s="304">
        <f t="shared" si="5"/>
        <v>770000</v>
      </c>
      <c r="AK1877" s="304">
        <f t="shared" si="18"/>
        <v>770000</v>
      </c>
      <c r="AL1877" s="306"/>
      <c r="AM1877" s="306"/>
    </row>
    <row r="1878">
      <c r="A1878" s="298">
        <v>1869.0</v>
      </c>
      <c r="B1878" s="299">
        <v>45952.0</v>
      </c>
      <c r="C1878" s="302"/>
      <c r="D1878" s="300" t="s">
        <v>4888</v>
      </c>
      <c r="E1878" s="515" t="s">
        <v>2268</v>
      </c>
      <c r="F1878" s="300" t="s">
        <v>4890</v>
      </c>
      <c r="G1878" s="298" t="s">
        <v>64</v>
      </c>
      <c r="H1878" s="298" t="s">
        <v>41</v>
      </c>
      <c r="I1878" s="298" t="s">
        <v>643</v>
      </c>
      <c r="J1878" s="301"/>
      <c r="K1878" s="301"/>
      <c r="L1878" s="301"/>
      <c r="M1878" s="301"/>
      <c r="N1878" s="301"/>
      <c r="O1878" s="301"/>
      <c r="P1878" s="517"/>
      <c r="Q1878" s="302"/>
      <c r="R1878" s="302"/>
      <c r="S1878" s="515" t="s">
        <v>98</v>
      </c>
      <c r="T1878" s="298" t="s">
        <v>66</v>
      </c>
      <c r="U1878" s="298" t="s">
        <v>99</v>
      </c>
      <c r="V1878" s="298" t="s">
        <v>1984</v>
      </c>
      <c r="W1878" s="304">
        <v>238564.0</v>
      </c>
      <c r="X1878" s="304">
        <v>954256.0</v>
      </c>
      <c r="Y1878" s="303"/>
      <c r="Z1878" s="303"/>
      <c r="AA1878" s="304">
        <v>0.0</v>
      </c>
      <c r="AB1878" s="304">
        <v>0.0</v>
      </c>
      <c r="AC1878" s="520" t="s">
        <v>4889</v>
      </c>
      <c r="AD1878" s="298">
        <v>21690.0</v>
      </c>
      <c r="AE1878" s="302"/>
      <c r="AF1878" s="298" t="str">
        <f t="shared" si="1"/>
        <v>Buenos Aires, Argentina</v>
      </c>
      <c r="AG1878" s="515">
        <f t="shared" si="2"/>
        <v>0</v>
      </c>
      <c r="AH1878" s="557">
        <f t="shared" si="17"/>
        <v>1192820</v>
      </c>
      <c r="AI1878" s="557">
        <f t="shared" si="12"/>
        <v>0</v>
      </c>
      <c r="AJ1878" s="304">
        <f t="shared" si="5"/>
        <v>0</v>
      </c>
      <c r="AK1878" s="304">
        <f t="shared" si="18"/>
        <v>1192820</v>
      </c>
      <c r="AL1878" s="306"/>
      <c r="AM1878" s="306"/>
    </row>
    <row r="1879">
      <c r="A1879" s="298">
        <v>1870.0</v>
      </c>
      <c r="B1879" s="299">
        <v>45954.0</v>
      </c>
      <c r="C1879" s="302"/>
      <c r="D1879" s="300" t="s">
        <v>4716</v>
      </c>
      <c r="E1879" s="515" t="s">
        <v>4717</v>
      </c>
      <c r="F1879" s="300" t="s">
        <v>1415</v>
      </c>
      <c r="G1879" s="298" t="s">
        <v>64</v>
      </c>
      <c r="H1879" s="298" t="s">
        <v>41</v>
      </c>
      <c r="I1879" s="298" t="s">
        <v>643</v>
      </c>
      <c r="J1879" s="301"/>
      <c r="K1879" s="307">
        <v>1.0</v>
      </c>
      <c r="L1879" s="301"/>
      <c r="M1879" s="301"/>
      <c r="N1879" s="301"/>
      <c r="O1879" s="301"/>
      <c r="P1879" s="517"/>
      <c r="Q1879" s="302"/>
      <c r="R1879" s="302"/>
      <c r="S1879" s="515" t="s">
        <v>137</v>
      </c>
      <c r="T1879" s="298" t="s">
        <v>66</v>
      </c>
      <c r="U1879" s="298" t="s">
        <v>99</v>
      </c>
      <c r="V1879" s="298" t="s">
        <v>1984</v>
      </c>
      <c r="W1879" s="303"/>
      <c r="X1879" s="303"/>
      <c r="Y1879" s="303"/>
      <c r="Z1879" s="303"/>
      <c r="AA1879" s="304">
        <v>115500.0</v>
      </c>
      <c r="AB1879" s="304">
        <v>404250.0</v>
      </c>
      <c r="AC1879" s="520" t="s">
        <v>4891</v>
      </c>
      <c r="AD1879" s="298">
        <v>21714.0</v>
      </c>
      <c r="AE1879" s="302"/>
      <c r="AF1879" s="298" t="str">
        <f t="shared" si="1"/>
        <v>Buenos Aires, Argentina</v>
      </c>
      <c r="AG1879" s="515">
        <f t="shared" si="2"/>
        <v>1</v>
      </c>
      <c r="AH1879" s="557">
        <f t="shared" si="17"/>
        <v>0</v>
      </c>
      <c r="AI1879" s="557">
        <f t="shared" si="12"/>
        <v>0</v>
      </c>
      <c r="AJ1879" s="304">
        <f t="shared" si="5"/>
        <v>519750</v>
      </c>
      <c r="AK1879" s="304">
        <f t="shared" si="18"/>
        <v>519750</v>
      </c>
      <c r="AL1879" s="306"/>
      <c r="AM1879" s="306"/>
    </row>
    <row r="1880">
      <c r="A1880" s="298">
        <v>1871.0</v>
      </c>
      <c r="B1880" s="299">
        <v>45957.0</v>
      </c>
      <c r="C1880" s="302"/>
      <c r="D1880" s="300" t="s">
        <v>4037</v>
      </c>
      <c r="E1880" s="515" t="s">
        <v>4038</v>
      </c>
      <c r="F1880" s="300" t="s">
        <v>1423</v>
      </c>
      <c r="G1880" s="298" t="s">
        <v>64</v>
      </c>
      <c r="H1880" s="298" t="s">
        <v>41</v>
      </c>
      <c r="I1880" s="298" t="s">
        <v>643</v>
      </c>
      <c r="J1880" s="399">
        <v>1.0</v>
      </c>
      <c r="K1880" s="301"/>
      <c r="L1880" s="301"/>
      <c r="M1880" s="301"/>
      <c r="N1880" s="301"/>
      <c r="O1880" s="301"/>
      <c r="P1880" s="517"/>
      <c r="Q1880" s="302"/>
      <c r="R1880" s="302"/>
      <c r="S1880" s="515" t="s">
        <v>137</v>
      </c>
      <c r="T1880" s="298" t="s">
        <v>66</v>
      </c>
      <c r="U1880" s="298" t="s">
        <v>99</v>
      </c>
      <c r="V1880" s="298" t="s">
        <v>1984</v>
      </c>
      <c r="W1880" s="303"/>
      <c r="X1880" s="303"/>
      <c r="Y1880" s="303"/>
      <c r="Z1880" s="303"/>
      <c r="AA1880" s="304">
        <v>154000.0</v>
      </c>
      <c r="AB1880" s="304">
        <v>770000.0</v>
      </c>
      <c r="AC1880" s="520" t="s">
        <v>4892</v>
      </c>
      <c r="AD1880" s="298">
        <v>21342.0</v>
      </c>
      <c r="AE1880" s="302"/>
      <c r="AF1880" s="298" t="str">
        <f t="shared" si="1"/>
        <v>Buenos Aires, Argentina</v>
      </c>
      <c r="AG1880" s="515">
        <f t="shared" si="2"/>
        <v>1</v>
      </c>
      <c r="AH1880" s="557">
        <f t="shared" si="17"/>
        <v>0</v>
      </c>
      <c r="AI1880" s="557">
        <f t="shared" si="12"/>
        <v>0</v>
      </c>
      <c r="AJ1880" s="304">
        <f t="shared" si="5"/>
        <v>924000</v>
      </c>
      <c r="AK1880" s="304">
        <f t="shared" si="18"/>
        <v>924000</v>
      </c>
      <c r="AL1880" s="306"/>
      <c r="AM1880" s="306"/>
    </row>
    <row r="1881">
      <c r="A1881" s="298">
        <v>1872.0</v>
      </c>
      <c r="B1881" s="299">
        <v>45957.0</v>
      </c>
      <c r="C1881" s="302"/>
      <c r="D1881" s="300" t="s">
        <v>4037</v>
      </c>
      <c r="E1881" s="515" t="s">
        <v>4038</v>
      </c>
      <c r="F1881" s="300" t="s">
        <v>4893</v>
      </c>
      <c r="G1881" s="298" t="s">
        <v>64</v>
      </c>
      <c r="H1881" s="298" t="s">
        <v>41</v>
      </c>
      <c r="I1881" s="298" t="s">
        <v>643</v>
      </c>
      <c r="J1881" s="301"/>
      <c r="K1881" s="301"/>
      <c r="L1881" s="301"/>
      <c r="M1881" s="301"/>
      <c r="N1881" s="301"/>
      <c r="O1881" s="301"/>
      <c r="P1881" s="517"/>
      <c r="Q1881" s="302"/>
      <c r="R1881" s="302"/>
      <c r="S1881" s="515" t="s">
        <v>137</v>
      </c>
      <c r="T1881" s="298" t="s">
        <v>66</v>
      </c>
      <c r="U1881" s="298" t="s">
        <v>99</v>
      </c>
      <c r="V1881" s="298" t="s">
        <v>1984</v>
      </c>
      <c r="W1881" s="303"/>
      <c r="X1881" s="303"/>
      <c r="Y1881" s="303"/>
      <c r="Z1881" s="303"/>
      <c r="AA1881" s="304">
        <v>0.0</v>
      </c>
      <c r="AB1881" s="304">
        <v>308000.0</v>
      </c>
      <c r="AC1881" s="520" t="s">
        <v>4892</v>
      </c>
      <c r="AD1881" s="298">
        <v>21342.0</v>
      </c>
      <c r="AE1881" s="302"/>
      <c r="AF1881" s="298" t="str">
        <f t="shared" si="1"/>
        <v>Buenos Aires, Argentina</v>
      </c>
      <c r="AG1881" s="515">
        <f t="shared" si="2"/>
        <v>0</v>
      </c>
      <c r="AH1881" s="557">
        <f t="shared" si="17"/>
        <v>0</v>
      </c>
      <c r="AI1881" s="557">
        <f t="shared" si="12"/>
        <v>0</v>
      </c>
      <c r="AJ1881" s="304">
        <f t="shared" si="5"/>
        <v>308000</v>
      </c>
      <c r="AK1881" s="304">
        <f t="shared" si="18"/>
        <v>308000</v>
      </c>
      <c r="AL1881" s="306"/>
      <c r="AM1881" s="306"/>
    </row>
    <row r="1882">
      <c r="A1882" s="298">
        <v>1873.0</v>
      </c>
      <c r="B1882" s="299">
        <v>45958.0</v>
      </c>
      <c r="C1882" s="302"/>
      <c r="D1882" s="300" t="s">
        <v>4894</v>
      </c>
      <c r="E1882" s="515" t="s">
        <v>4895</v>
      </c>
      <c r="F1882" s="300" t="s">
        <v>1423</v>
      </c>
      <c r="G1882" s="298" t="s">
        <v>64</v>
      </c>
      <c r="H1882" s="298" t="s">
        <v>41</v>
      </c>
      <c r="I1882" s="298" t="s">
        <v>643</v>
      </c>
      <c r="J1882" s="399">
        <v>1.0</v>
      </c>
      <c r="K1882" s="301"/>
      <c r="L1882" s="301"/>
      <c r="M1882" s="301"/>
      <c r="N1882" s="301"/>
      <c r="O1882" s="301"/>
      <c r="P1882" s="517"/>
      <c r="Q1882" s="302"/>
      <c r="R1882" s="302"/>
      <c r="S1882" s="515" t="s">
        <v>137</v>
      </c>
      <c r="T1882" s="298" t="s">
        <v>66</v>
      </c>
      <c r="U1882" s="298" t="s">
        <v>99</v>
      </c>
      <c r="V1882" s="298" t="s">
        <v>1984</v>
      </c>
      <c r="W1882" s="303"/>
      <c r="X1882" s="303"/>
      <c r="Y1882" s="303"/>
      <c r="Z1882" s="303"/>
      <c r="AA1882" s="304">
        <v>154000.0</v>
      </c>
      <c r="AB1882" s="304">
        <v>616000.0</v>
      </c>
      <c r="AC1882" s="520" t="s">
        <v>4896</v>
      </c>
      <c r="AD1882" s="298">
        <v>21818.0</v>
      </c>
      <c r="AE1882" s="302"/>
      <c r="AF1882" s="298" t="str">
        <f t="shared" si="1"/>
        <v>Buenos Aires, Argentina</v>
      </c>
      <c r="AG1882" s="515">
        <f t="shared" si="2"/>
        <v>1</v>
      </c>
      <c r="AH1882" s="557">
        <f t="shared" si="17"/>
        <v>0</v>
      </c>
      <c r="AI1882" s="557">
        <f t="shared" si="12"/>
        <v>0</v>
      </c>
      <c r="AJ1882" s="304">
        <f t="shared" si="5"/>
        <v>770000</v>
      </c>
      <c r="AK1882" s="304">
        <f t="shared" si="18"/>
        <v>770000</v>
      </c>
      <c r="AL1882" s="306"/>
      <c r="AM1882" s="306"/>
    </row>
    <row r="1883">
      <c r="A1883" s="298">
        <v>1874.0</v>
      </c>
      <c r="B1883" s="299">
        <v>45961.0</v>
      </c>
      <c r="C1883" s="302"/>
      <c r="D1883" s="300" t="s">
        <v>4897</v>
      </c>
      <c r="E1883" s="515" t="s">
        <v>4898</v>
      </c>
      <c r="F1883" s="300" t="s">
        <v>4899</v>
      </c>
      <c r="G1883" s="298" t="s">
        <v>40</v>
      </c>
      <c r="H1883" s="298" t="s">
        <v>41</v>
      </c>
      <c r="I1883" s="298" t="s">
        <v>42</v>
      </c>
      <c r="J1883" s="399">
        <v>2.0</v>
      </c>
      <c r="K1883" s="307">
        <v>1.0</v>
      </c>
      <c r="L1883" s="301"/>
      <c r="M1883" s="307">
        <v>1.0</v>
      </c>
      <c r="N1883" s="301"/>
      <c r="O1883" s="307">
        <v>2.0</v>
      </c>
      <c r="P1883" s="517"/>
      <c r="Q1883" s="302"/>
      <c r="R1883" s="302"/>
      <c r="S1883" s="515" t="s">
        <v>189</v>
      </c>
      <c r="T1883" s="298" t="s">
        <v>66</v>
      </c>
      <c r="U1883" s="298" t="s">
        <v>99</v>
      </c>
      <c r="V1883" s="298" t="s">
        <v>4626</v>
      </c>
      <c r="W1883" s="303"/>
      <c r="X1883" s="303"/>
      <c r="Y1883" s="303"/>
      <c r="Z1883" s="303"/>
      <c r="AA1883" s="304">
        <v>592900.0</v>
      </c>
      <c r="AB1883" s="304">
        <v>1482250.0</v>
      </c>
      <c r="AC1883" s="520" t="s">
        <v>4900</v>
      </c>
      <c r="AD1883" s="298">
        <v>21340.0</v>
      </c>
      <c r="AE1883" s="302"/>
      <c r="AF1883" s="298" t="str">
        <f t="shared" si="1"/>
        <v>Buenos Aires, Argentina</v>
      </c>
      <c r="AG1883" s="515">
        <f t="shared" si="2"/>
        <v>6</v>
      </c>
      <c r="AH1883" s="557">
        <f t="shared" si="17"/>
        <v>0</v>
      </c>
      <c r="AI1883" s="557">
        <f t="shared" si="12"/>
        <v>0</v>
      </c>
      <c r="AJ1883" s="304">
        <f t="shared" si="5"/>
        <v>2075150</v>
      </c>
      <c r="AK1883" s="304">
        <f t="shared" si="18"/>
        <v>2075150</v>
      </c>
      <c r="AL1883" s="306"/>
      <c r="AM1883" s="306"/>
    </row>
    <row r="1884">
      <c r="A1884" s="298">
        <v>1875.0</v>
      </c>
      <c r="B1884" s="299">
        <v>45961.0</v>
      </c>
      <c r="C1884" s="302"/>
      <c r="D1884" s="300" t="s">
        <v>1328</v>
      </c>
      <c r="E1884" s="515" t="s">
        <v>1962</v>
      </c>
      <c r="F1884" s="300" t="s">
        <v>4901</v>
      </c>
      <c r="G1884" s="298" t="s">
        <v>64</v>
      </c>
      <c r="H1884" s="298" t="s">
        <v>227</v>
      </c>
      <c r="I1884" s="298" t="s">
        <v>643</v>
      </c>
      <c r="J1884" s="301"/>
      <c r="K1884" s="301"/>
      <c r="L1884" s="301"/>
      <c r="M1884" s="301"/>
      <c r="N1884" s="301"/>
      <c r="O1884" s="301"/>
      <c r="P1884" s="307">
        <v>1.0</v>
      </c>
      <c r="Q1884" s="302"/>
      <c r="R1884" s="302"/>
      <c r="S1884" s="515" t="s">
        <v>89</v>
      </c>
      <c r="T1884" s="298" t="s">
        <v>83</v>
      </c>
      <c r="U1884" s="298" t="s">
        <v>99</v>
      </c>
      <c r="V1884" s="298" t="s">
        <v>1984</v>
      </c>
      <c r="W1884" s="303"/>
      <c r="X1884" s="303"/>
      <c r="Y1884" s="303"/>
      <c r="Z1884" s="303"/>
      <c r="AA1884" s="304">
        <v>200200.0</v>
      </c>
      <c r="AB1884" s="304">
        <v>0.0</v>
      </c>
      <c r="AC1884" s="520" t="s">
        <v>4902</v>
      </c>
      <c r="AD1884" s="298">
        <v>21846.0</v>
      </c>
      <c r="AE1884" s="302"/>
      <c r="AF1884" s="298" t="str">
        <f t="shared" si="1"/>
        <v>Capital Federal, Argentina</v>
      </c>
      <c r="AG1884" s="515">
        <f t="shared" si="2"/>
        <v>1</v>
      </c>
      <c r="AH1884" s="557">
        <f t="shared" si="17"/>
        <v>0</v>
      </c>
      <c r="AI1884" s="557">
        <f t="shared" si="12"/>
        <v>0</v>
      </c>
      <c r="AJ1884" s="304">
        <f t="shared" si="5"/>
        <v>200200</v>
      </c>
      <c r="AK1884" s="304">
        <f t="shared" si="18"/>
        <v>200200</v>
      </c>
      <c r="AL1884" s="306"/>
      <c r="AM1884" s="306"/>
    </row>
    <row r="1885">
      <c r="A1885" s="298">
        <v>1876.0</v>
      </c>
      <c r="B1885" s="299">
        <v>45961.0</v>
      </c>
      <c r="C1885" s="302"/>
      <c r="D1885" s="300" t="s">
        <v>1328</v>
      </c>
      <c r="E1885" s="515" t="s">
        <v>1962</v>
      </c>
      <c r="F1885" s="300" t="s">
        <v>3079</v>
      </c>
      <c r="G1885" s="298" t="s">
        <v>64</v>
      </c>
      <c r="H1885" s="298" t="s">
        <v>227</v>
      </c>
      <c r="I1885" s="298" t="s">
        <v>643</v>
      </c>
      <c r="J1885" s="301"/>
      <c r="K1885" s="301"/>
      <c r="L1885" s="301"/>
      <c r="M1885" s="301"/>
      <c r="N1885" s="301"/>
      <c r="O1885" s="301"/>
      <c r="P1885" s="301"/>
      <c r="Q1885" s="302"/>
      <c r="R1885" s="302"/>
      <c r="S1885" s="515" t="s">
        <v>89</v>
      </c>
      <c r="T1885" s="298" t="s">
        <v>83</v>
      </c>
      <c r="U1885" s="298" t="s">
        <v>99</v>
      </c>
      <c r="V1885" s="298" t="s">
        <v>1984</v>
      </c>
      <c r="W1885" s="303"/>
      <c r="X1885" s="303"/>
      <c r="Y1885" s="303"/>
      <c r="Z1885" s="303"/>
      <c r="AA1885" s="304">
        <v>0.0</v>
      </c>
      <c r="AB1885" s="304">
        <v>3735426.0</v>
      </c>
      <c r="AC1885" s="520" t="s">
        <v>4902</v>
      </c>
      <c r="AD1885" s="298">
        <v>21846.0</v>
      </c>
      <c r="AE1885" s="302"/>
      <c r="AF1885" s="298" t="str">
        <f t="shared" si="1"/>
        <v>Capital Federal, Argentina</v>
      </c>
      <c r="AG1885" s="515">
        <f t="shared" si="2"/>
        <v>0</v>
      </c>
      <c r="AH1885" s="557">
        <f t="shared" si="17"/>
        <v>0</v>
      </c>
      <c r="AI1885" s="557">
        <f t="shared" si="12"/>
        <v>0</v>
      </c>
      <c r="AJ1885" s="304">
        <f t="shared" si="5"/>
        <v>3735426</v>
      </c>
      <c r="AK1885" s="304">
        <f t="shared" si="18"/>
        <v>3735426</v>
      </c>
      <c r="AL1885" s="306"/>
      <c r="AM1885" s="306"/>
    </row>
    <row r="1886">
      <c r="A1886" s="298">
        <v>1876.0</v>
      </c>
      <c r="B1886" s="299">
        <v>45961.0</v>
      </c>
      <c r="C1886" s="302"/>
      <c r="D1886" s="300" t="s">
        <v>1328</v>
      </c>
      <c r="E1886" s="515" t="s">
        <v>1962</v>
      </c>
      <c r="F1886" s="300" t="s">
        <v>4903</v>
      </c>
      <c r="G1886" s="298" t="s">
        <v>64</v>
      </c>
      <c r="H1886" s="298" t="s">
        <v>227</v>
      </c>
      <c r="I1886" s="298" t="s">
        <v>643</v>
      </c>
      <c r="J1886" s="301"/>
      <c r="K1886" s="301"/>
      <c r="L1886" s="301"/>
      <c r="M1886" s="301"/>
      <c r="N1886" s="301"/>
      <c r="O1886" s="301"/>
      <c r="P1886" s="301"/>
      <c r="Q1886" s="302"/>
      <c r="R1886" s="302"/>
      <c r="S1886" s="515" t="s">
        <v>89</v>
      </c>
      <c r="T1886" s="298" t="s">
        <v>83</v>
      </c>
      <c r="U1886" s="298" t="s">
        <v>99</v>
      </c>
      <c r="V1886" s="298" t="s">
        <v>1984</v>
      </c>
      <c r="W1886" s="304">
        <v>0.0</v>
      </c>
      <c r="X1886" s="304">
        <v>3998282.0</v>
      </c>
      <c r="Y1886" s="303"/>
      <c r="Z1886" s="303"/>
      <c r="AA1886" s="304">
        <v>0.0</v>
      </c>
      <c r="AB1886" s="304">
        <v>0.0</v>
      </c>
      <c r="AC1886" s="520" t="s">
        <v>4902</v>
      </c>
      <c r="AD1886" s="298">
        <v>21846.0</v>
      </c>
      <c r="AE1886" s="302"/>
      <c r="AF1886" s="298" t="str">
        <f t="shared" si="1"/>
        <v>Capital Federal, Argentina</v>
      </c>
      <c r="AG1886" s="515">
        <f t="shared" si="2"/>
        <v>0</v>
      </c>
      <c r="AH1886" s="557">
        <f t="shared" si="17"/>
        <v>3998282</v>
      </c>
      <c r="AI1886" s="557">
        <f t="shared" si="12"/>
        <v>0</v>
      </c>
      <c r="AJ1886" s="304">
        <f t="shared" si="5"/>
        <v>0</v>
      </c>
      <c r="AK1886" s="304">
        <f t="shared" si="18"/>
        <v>3998282</v>
      </c>
      <c r="AL1886" s="306"/>
      <c r="AM1886" s="306"/>
    </row>
    <row r="1887">
      <c r="A1887" s="298">
        <v>1877.0</v>
      </c>
      <c r="B1887" s="299">
        <v>45961.0</v>
      </c>
      <c r="C1887" s="302"/>
      <c r="D1887" s="300" t="s">
        <v>4143</v>
      </c>
      <c r="E1887" s="515" t="s">
        <v>4144</v>
      </c>
      <c r="F1887" s="300" t="s">
        <v>1415</v>
      </c>
      <c r="G1887" s="298" t="s">
        <v>64</v>
      </c>
      <c r="H1887" s="298" t="s">
        <v>547</v>
      </c>
      <c r="I1887" s="298" t="s">
        <v>643</v>
      </c>
      <c r="J1887" s="301"/>
      <c r="K1887" s="307">
        <v>1.0</v>
      </c>
      <c r="L1887" s="301"/>
      <c r="M1887" s="301"/>
      <c r="N1887" s="301"/>
      <c r="O1887" s="301"/>
      <c r="P1887" s="517"/>
      <c r="Q1887" s="302"/>
      <c r="R1887" s="302"/>
      <c r="S1887" s="515" t="s">
        <v>137</v>
      </c>
      <c r="T1887" s="298" t="s">
        <v>66</v>
      </c>
      <c r="U1887" s="298" t="s">
        <v>99</v>
      </c>
      <c r="V1887" s="298" t="s">
        <v>1984</v>
      </c>
      <c r="W1887" s="303"/>
      <c r="X1887" s="303"/>
      <c r="Y1887" s="303"/>
      <c r="Z1887" s="303"/>
      <c r="AA1887" s="304">
        <v>88935.0</v>
      </c>
      <c r="AB1887" s="304">
        <v>400208.0</v>
      </c>
      <c r="AC1887" s="520" t="s">
        <v>4904</v>
      </c>
      <c r="AD1887" s="298">
        <v>21384.0</v>
      </c>
      <c r="AE1887" s="302"/>
      <c r="AF1887" s="298" t="str">
        <f t="shared" si="1"/>
        <v>Buenos Aires, Argentina</v>
      </c>
      <c r="AG1887" s="515">
        <f t="shared" si="2"/>
        <v>1</v>
      </c>
      <c r="AH1887" s="557">
        <f t="shared" si="17"/>
        <v>0</v>
      </c>
      <c r="AI1887" s="557">
        <f t="shared" si="12"/>
        <v>0</v>
      </c>
      <c r="AJ1887" s="304">
        <f t="shared" si="5"/>
        <v>489143</v>
      </c>
      <c r="AK1887" s="304">
        <f t="shared" si="18"/>
        <v>489143</v>
      </c>
      <c r="AL1887" s="306"/>
      <c r="AM1887" s="306"/>
    </row>
    <row r="1888">
      <c r="A1888" s="298">
        <v>1878.0</v>
      </c>
      <c r="B1888" s="299">
        <v>45961.0</v>
      </c>
      <c r="C1888" s="302"/>
      <c r="D1888" s="300" t="s">
        <v>4905</v>
      </c>
      <c r="E1888" s="515" t="s">
        <v>4696</v>
      </c>
      <c r="F1888" s="300" t="s">
        <v>4906</v>
      </c>
      <c r="G1888" s="298" t="s">
        <v>64</v>
      </c>
      <c r="H1888" s="298" t="s">
        <v>41</v>
      </c>
      <c r="I1888" s="298" t="s">
        <v>643</v>
      </c>
      <c r="J1888" s="301"/>
      <c r="K1888" s="301"/>
      <c r="L1888" s="301"/>
      <c r="M1888" s="301"/>
      <c r="N1888" s="301"/>
      <c r="O1888" s="301"/>
      <c r="P1888" s="517"/>
      <c r="Q1888" s="302"/>
      <c r="R1888" s="302"/>
      <c r="S1888" s="515" t="s">
        <v>114</v>
      </c>
      <c r="T1888" s="298" t="s">
        <v>66</v>
      </c>
      <c r="U1888" s="298" t="s">
        <v>99</v>
      </c>
      <c r="V1888" s="298" t="s">
        <v>1984</v>
      </c>
      <c r="W1888" s="303"/>
      <c r="X1888" s="303"/>
      <c r="Y1888" s="303"/>
      <c r="Z1888" s="303"/>
      <c r="AA1888" s="304">
        <v>0.0</v>
      </c>
      <c r="AB1888" s="304">
        <v>308000.0</v>
      </c>
      <c r="AC1888" s="520" t="s">
        <v>4907</v>
      </c>
      <c r="AD1888" s="298">
        <v>21678.0</v>
      </c>
      <c r="AE1888" s="302"/>
      <c r="AF1888" s="298" t="str">
        <f t="shared" si="1"/>
        <v>Buenos Aires, Argentina</v>
      </c>
      <c r="AG1888" s="515">
        <f t="shared" si="2"/>
        <v>0</v>
      </c>
      <c r="AH1888" s="557">
        <f t="shared" si="17"/>
        <v>0</v>
      </c>
      <c r="AI1888" s="557">
        <f t="shared" si="12"/>
        <v>0</v>
      </c>
      <c r="AJ1888" s="304">
        <f t="shared" si="5"/>
        <v>308000</v>
      </c>
      <c r="AK1888" s="304">
        <f t="shared" si="18"/>
        <v>308000</v>
      </c>
      <c r="AL1888" s="306"/>
      <c r="AM1888" s="306"/>
    </row>
    <row r="1889">
      <c r="A1889" s="298">
        <v>1879.0</v>
      </c>
      <c r="B1889" s="299">
        <v>45961.0</v>
      </c>
      <c r="C1889" s="302"/>
      <c r="D1889" s="300" t="s">
        <v>4799</v>
      </c>
      <c r="E1889" s="515" t="s">
        <v>4800</v>
      </c>
      <c r="F1889" s="300" t="s">
        <v>1412</v>
      </c>
      <c r="G1889" s="298" t="s">
        <v>64</v>
      </c>
      <c r="H1889" s="298" t="s">
        <v>547</v>
      </c>
      <c r="I1889" s="298" t="s">
        <v>643</v>
      </c>
      <c r="J1889" s="399">
        <v>2.0</v>
      </c>
      <c r="K1889" s="301"/>
      <c r="L1889" s="301"/>
      <c r="M1889" s="301"/>
      <c r="N1889" s="301"/>
      <c r="O1889" s="301"/>
      <c r="P1889" s="517"/>
      <c r="Q1889" s="302"/>
      <c r="R1889" s="302"/>
      <c r="S1889" s="515" t="s">
        <v>137</v>
      </c>
      <c r="T1889" s="298" t="s">
        <v>263</v>
      </c>
      <c r="U1889" s="298" t="s">
        <v>99</v>
      </c>
      <c r="V1889" s="298" t="s">
        <v>1984</v>
      </c>
      <c r="W1889" s="303"/>
      <c r="X1889" s="303"/>
      <c r="Y1889" s="303"/>
      <c r="Z1889" s="303"/>
      <c r="AA1889" s="304">
        <v>237160.0</v>
      </c>
      <c r="AB1889" s="304">
        <v>0.0</v>
      </c>
      <c r="AC1889" s="520" t="s">
        <v>4908</v>
      </c>
      <c r="AD1889" s="298">
        <v>21888.0</v>
      </c>
      <c r="AE1889" s="302"/>
      <c r="AF1889" s="298" t="str">
        <f t="shared" si="1"/>
        <v>Santa Fé, Argentina</v>
      </c>
      <c r="AG1889" s="515">
        <f t="shared" si="2"/>
        <v>2</v>
      </c>
      <c r="AH1889" s="557">
        <f t="shared" si="17"/>
        <v>0</v>
      </c>
      <c r="AI1889" s="557">
        <f t="shared" si="12"/>
        <v>0</v>
      </c>
      <c r="AJ1889" s="304">
        <f t="shared" si="5"/>
        <v>237160</v>
      </c>
      <c r="AK1889" s="304">
        <f t="shared" si="18"/>
        <v>237160</v>
      </c>
      <c r="AL1889" s="306"/>
      <c r="AM1889" s="306"/>
    </row>
    <row r="1890">
      <c r="A1890" s="298">
        <v>1880.0</v>
      </c>
      <c r="B1890" s="299">
        <v>45961.0</v>
      </c>
      <c r="C1890" s="302"/>
      <c r="D1890" s="300" t="s">
        <v>3938</v>
      </c>
      <c r="E1890" s="515" t="s">
        <v>3213</v>
      </c>
      <c r="F1890" s="300" t="s">
        <v>2063</v>
      </c>
      <c r="G1890" s="298" t="s">
        <v>40</v>
      </c>
      <c r="H1890" s="298" t="s">
        <v>41</v>
      </c>
      <c r="I1890" s="298" t="s">
        <v>643</v>
      </c>
      <c r="J1890" s="399">
        <v>2.0</v>
      </c>
      <c r="K1890" s="307">
        <v>2.0</v>
      </c>
      <c r="L1890" s="301"/>
      <c r="M1890" s="307">
        <v>1.0</v>
      </c>
      <c r="N1890" s="301"/>
      <c r="O1890" s="301"/>
      <c r="P1890" s="517"/>
      <c r="Q1890" s="302"/>
      <c r="R1890" s="302"/>
      <c r="S1890" s="515" t="s">
        <v>189</v>
      </c>
      <c r="T1890" s="298" t="s">
        <v>2609</v>
      </c>
      <c r="U1890" s="298" t="s">
        <v>1616</v>
      </c>
      <c r="V1890" s="298" t="s">
        <v>2935</v>
      </c>
      <c r="W1890" s="303"/>
      <c r="X1890" s="303"/>
      <c r="Y1890" s="303"/>
      <c r="Z1890" s="303"/>
      <c r="AA1890" s="304">
        <v>539000.0</v>
      </c>
      <c r="AB1890" s="304">
        <v>269500.0</v>
      </c>
      <c r="AC1890" s="520" t="s">
        <v>4909</v>
      </c>
      <c r="AD1890" s="298">
        <v>21900.0</v>
      </c>
      <c r="AE1890" s="302"/>
      <c r="AF1890" s="298" t="str">
        <f t="shared" si="1"/>
        <v>San Juan, Argentina</v>
      </c>
      <c r="AG1890" s="515">
        <f t="shared" si="2"/>
        <v>5</v>
      </c>
      <c r="AH1890" s="557">
        <f t="shared" si="17"/>
        <v>0</v>
      </c>
      <c r="AI1890" s="557">
        <f t="shared" si="12"/>
        <v>0</v>
      </c>
      <c r="AJ1890" s="304">
        <f t="shared" si="5"/>
        <v>808500</v>
      </c>
      <c r="AK1890" s="304">
        <f t="shared" si="18"/>
        <v>808500</v>
      </c>
      <c r="AL1890" s="306"/>
      <c r="AM1890" s="306"/>
    </row>
    <row r="1891">
      <c r="A1891" s="298">
        <v>1881.0</v>
      </c>
      <c r="B1891" s="299">
        <v>45961.0</v>
      </c>
      <c r="C1891" s="302"/>
      <c r="D1891" s="300" t="s">
        <v>3938</v>
      </c>
      <c r="E1891" s="515" t="s">
        <v>3213</v>
      </c>
      <c r="F1891" s="300" t="s">
        <v>3941</v>
      </c>
      <c r="G1891" s="298" t="s">
        <v>40</v>
      </c>
      <c r="H1891" s="298" t="s">
        <v>41</v>
      </c>
      <c r="I1891" s="298" t="s">
        <v>643</v>
      </c>
      <c r="J1891" s="301"/>
      <c r="K1891" s="301"/>
      <c r="L1891" s="301"/>
      <c r="M1891" s="301"/>
      <c r="N1891" s="301"/>
      <c r="O1891" s="301"/>
      <c r="P1891" s="517"/>
      <c r="Q1891" s="302"/>
      <c r="R1891" s="302"/>
      <c r="S1891" s="515" t="s">
        <v>189</v>
      </c>
      <c r="T1891" s="298" t="s">
        <v>2609</v>
      </c>
      <c r="U1891" s="298" t="s">
        <v>1616</v>
      </c>
      <c r="V1891" s="298" t="s">
        <v>2935</v>
      </c>
      <c r="W1891" s="303"/>
      <c r="X1891" s="303"/>
      <c r="Y1891" s="303"/>
      <c r="Z1891" s="303"/>
      <c r="AA1891" s="304">
        <v>0.0</v>
      </c>
      <c r="AB1891" s="304">
        <v>277200.0</v>
      </c>
      <c r="AC1891" s="520" t="s">
        <v>4909</v>
      </c>
      <c r="AD1891" s="298">
        <v>21900.0</v>
      </c>
      <c r="AE1891" s="302"/>
      <c r="AF1891" s="298" t="str">
        <f t="shared" si="1"/>
        <v>San Juan, Argentina</v>
      </c>
      <c r="AG1891" s="515">
        <f t="shared" si="2"/>
        <v>0</v>
      </c>
      <c r="AH1891" s="557">
        <f t="shared" si="17"/>
        <v>0</v>
      </c>
      <c r="AI1891" s="557">
        <f t="shared" si="12"/>
        <v>0</v>
      </c>
      <c r="AJ1891" s="304">
        <f t="shared" si="5"/>
        <v>277200</v>
      </c>
      <c r="AK1891" s="304">
        <f t="shared" si="18"/>
        <v>277200</v>
      </c>
      <c r="AL1891" s="306"/>
      <c r="AM1891" s="306"/>
    </row>
    <row r="1892">
      <c r="A1892" s="298">
        <v>1882.0</v>
      </c>
      <c r="B1892" s="299">
        <v>45961.0</v>
      </c>
      <c r="C1892" s="302"/>
      <c r="D1892" s="300" t="s">
        <v>3497</v>
      </c>
      <c r="E1892" s="515" t="s">
        <v>3498</v>
      </c>
      <c r="F1892" s="300" t="s">
        <v>1423</v>
      </c>
      <c r="G1892" s="298" t="s">
        <v>64</v>
      </c>
      <c r="H1892" s="298" t="s">
        <v>41</v>
      </c>
      <c r="I1892" s="298" t="s">
        <v>643</v>
      </c>
      <c r="J1892" s="399">
        <v>1.0</v>
      </c>
      <c r="K1892" s="301"/>
      <c r="L1892" s="301"/>
      <c r="M1892" s="301"/>
      <c r="N1892" s="301"/>
      <c r="O1892" s="301"/>
      <c r="P1892" s="517"/>
      <c r="Q1892" s="302"/>
      <c r="R1892" s="302"/>
      <c r="S1892" s="515" t="s">
        <v>98</v>
      </c>
      <c r="T1892" s="298" t="s">
        <v>66</v>
      </c>
      <c r="U1892" s="298" t="s">
        <v>99</v>
      </c>
      <c r="V1892" s="298" t="s">
        <v>1984</v>
      </c>
      <c r="W1892" s="303"/>
      <c r="X1892" s="303"/>
      <c r="Y1892" s="303"/>
      <c r="Z1892" s="303"/>
      <c r="AA1892" s="304">
        <v>154000.0</v>
      </c>
      <c r="AB1892" s="304">
        <v>577500.0</v>
      </c>
      <c r="AC1892" s="520" t="s">
        <v>4910</v>
      </c>
      <c r="AD1892" s="298">
        <v>21848.0</v>
      </c>
      <c r="AE1892" s="302"/>
      <c r="AF1892" s="298" t="str">
        <f t="shared" si="1"/>
        <v>Buenos Aires, Argentina</v>
      </c>
      <c r="AG1892" s="515">
        <f t="shared" si="2"/>
        <v>1</v>
      </c>
      <c r="AH1892" s="557">
        <f t="shared" si="17"/>
        <v>0</v>
      </c>
      <c r="AI1892" s="557">
        <f t="shared" si="12"/>
        <v>0</v>
      </c>
      <c r="AJ1892" s="304">
        <f t="shared" si="5"/>
        <v>731500</v>
      </c>
      <c r="AK1892" s="304">
        <f t="shared" si="18"/>
        <v>731500</v>
      </c>
      <c r="AL1892" s="306"/>
      <c r="AM1892" s="306"/>
    </row>
    <row r="1893">
      <c r="A1893" s="298">
        <v>1883.0</v>
      </c>
      <c r="B1893" s="299">
        <v>45961.0</v>
      </c>
      <c r="C1893" s="302"/>
      <c r="D1893" s="300" t="s">
        <v>4911</v>
      </c>
      <c r="E1893" s="515" t="s">
        <v>4912</v>
      </c>
      <c r="F1893" s="300" t="s">
        <v>4913</v>
      </c>
      <c r="G1893" s="298" t="s">
        <v>40</v>
      </c>
      <c r="H1893" s="298" t="s">
        <v>41</v>
      </c>
      <c r="I1893" s="298" t="s">
        <v>42</v>
      </c>
      <c r="J1893" s="399">
        <v>2.0</v>
      </c>
      <c r="K1893" s="307">
        <v>5.0</v>
      </c>
      <c r="L1893" s="301"/>
      <c r="M1893" s="307">
        <v>1.0</v>
      </c>
      <c r="N1893" s="301"/>
      <c r="O1893" s="307">
        <v>1.0</v>
      </c>
      <c r="P1893" s="517"/>
      <c r="Q1893" s="302"/>
      <c r="R1893" s="302"/>
      <c r="S1893" s="515" t="s">
        <v>114</v>
      </c>
      <c r="T1893" s="298" t="s">
        <v>83</v>
      </c>
      <c r="U1893" s="298" t="s">
        <v>53</v>
      </c>
      <c r="V1893" s="298" t="s">
        <v>2922</v>
      </c>
      <c r="W1893" s="303"/>
      <c r="X1893" s="303"/>
      <c r="Y1893" s="303"/>
      <c r="Z1893" s="303"/>
      <c r="AA1893" s="304">
        <v>970200.0</v>
      </c>
      <c r="AB1893" s="304">
        <v>3395700.0</v>
      </c>
      <c r="AC1893" s="520" t="s">
        <v>4914</v>
      </c>
      <c r="AD1893" s="298">
        <v>21670.0</v>
      </c>
      <c r="AE1893" s="302"/>
      <c r="AF1893" s="298" t="str">
        <f t="shared" si="1"/>
        <v>Capital Federal, Argentina</v>
      </c>
      <c r="AG1893" s="515">
        <f t="shared" si="2"/>
        <v>9</v>
      </c>
      <c r="AH1893" s="557">
        <f t="shared" si="17"/>
        <v>0</v>
      </c>
      <c r="AI1893" s="557">
        <f t="shared" si="12"/>
        <v>0</v>
      </c>
      <c r="AJ1893" s="304">
        <f t="shared" si="5"/>
        <v>4365900</v>
      </c>
      <c r="AK1893" s="304">
        <f t="shared" si="18"/>
        <v>4365900</v>
      </c>
      <c r="AL1893" s="306"/>
      <c r="AM1893" s="306"/>
    </row>
    <row r="1894">
      <c r="A1894" s="298">
        <v>1884.0</v>
      </c>
      <c r="B1894" s="559">
        <v>45961.0</v>
      </c>
      <c r="C1894" s="302"/>
      <c r="D1894" s="300" t="s">
        <v>4915</v>
      </c>
      <c r="E1894" s="515" t="s">
        <v>4916</v>
      </c>
      <c r="F1894" s="300" t="s">
        <v>2056</v>
      </c>
      <c r="G1894" s="298" t="s">
        <v>40</v>
      </c>
      <c r="H1894" s="298" t="s">
        <v>547</v>
      </c>
      <c r="I1894" s="298" t="s">
        <v>42</v>
      </c>
      <c r="J1894" s="399">
        <v>1.0</v>
      </c>
      <c r="K1894" s="301"/>
      <c r="L1894" s="301"/>
      <c r="M1894" s="307">
        <v>1.0</v>
      </c>
      <c r="N1894" s="301"/>
      <c r="O1894" s="301"/>
      <c r="P1894" s="517"/>
      <c r="Q1894" s="302"/>
      <c r="R1894" s="302"/>
      <c r="S1894" s="515" t="s">
        <v>72</v>
      </c>
      <c r="T1894" s="298" t="s">
        <v>83</v>
      </c>
      <c r="U1894" s="298" t="s">
        <v>45</v>
      </c>
      <c r="V1894" s="298" t="s">
        <v>2922</v>
      </c>
      <c r="W1894" s="303"/>
      <c r="X1894" s="303"/>
      <c r="Y1894" s="303"/>
      <c r="Z1894" s="303"/>
      <c r="AA1894" s="304">
        <v>120120.0</v>
      </c>
      <c r="AB1894" s="304">
        <v>450450.0</v>
      </c>
      <c r="AC1894" s="520" t="s">
        <v>4917</v>
      </c>
      <c r="AD1894" s="298">
        <v>21916.0</v>
      </c>
      <c r="AE1894" s="302"/>
      <c r="AF1894" s="298" t="str">
        <f t="shared" si="1"/>
        <v>Capital Federal, Argentina</v>
      </c>
      <c r="AG1894" s="515">
        <f t="shared" si="2"/>
        <v>2</v>
      </c>
      <c r="AH1894" s="557">
        <f t="shared" si="17"/>
        <v>0</v>
      </c>
      <c r="AI1894" s="557">
        <f t="shared" si="12"/>
        <v>0</v>
      </c>
      <c r="AJ1894" s="304">
        <f t="shared" si="5"/>
        <v>570570</v>
      </c>
      <c r="AK1894" s="304">
        <f t="shared" si="18"/>
        <v>570570</v>
      </c>
      <c r="AL1894" s="306"/>
      <c r="AM1894" s="306"/>
    </row>
    <row r="1895">
      <c r="A1895" s="298">
        <v>1885.0</v>
      </c>
      <c r="B1895" s="299">
        <v>45961.0</v>
      </c>
      <c r="C1895" s="302"/>
      <c r="D1895" s="300" t="s">
        <v>4761</v>
      </c>
      <c r="E1895" s="515" t="s">
        <v>179</v>
      </c>
      <c r="F1895" s="300" t="s">
        <v>1423</v>
      </c>
      <c r="G1895" s="298" t="s">
        <v>64</v>
      </c>
      <c r="H1895" s="298" t="s">
        <v>41</v>
      </c>
      <c r="I1895" s="298" t="s">
        <v>643</v>
      </c>
      <c r="J1895" s="399">
        <v>1.0</v>
      </c>
      <c r="K1895" s="301"/>
      <c r="L1895" s="301"/>
      <c r="M1895" s="301"/>
      <c r="N1895" s="301"/>
      <c r="O1895" s="301"/>
      <c r="P1895" s="517"/>
      <c r="Q1895" s="302"/>
      <c r="R1895" s="302"/>
      <c r="S1895" s="515" t="s">
        <v>51</v>
      </c>
      <c r="T1895" s="298" t="s">
        <v>83</v>
      </c>
      <c r="U1895" s="298" t="s">
        <v>99</v>
      </c>
      <c r="V1895" s="298" t="s">
        <v>1984</v>
      </c>
      <c r="W1895" s="303"/>
      <c r="X1895" s="303"/>
      <c r="Y1895" s="303"/>
      <c r="Z1895" s="303"/>
      <c r="AA1895" s="304">
        <v>154000.0</v>
      </c>
      <c r="AB1895" s="304">
        <v>577500.0</v>
      </c>
      <c r="AC1895" s="520" t="s">
        <v>4918</v>
      </c>
      <c r="AD1895" s="298">
        <v>21666.0</v>
      </c>
      <c r="AE1895" s="302"/>
      <c r="AF1895" s="298" t="str">
        <f t="shared" si="1"/>
        <v>Capital Federal, Argentina</v>
      </c>
      <c r="AG1895" s="515">
        <f t="shared" si="2"/>
        <v>1</v>
      </c>
      <c r="AH1895" s="557">
        <f t="shared" si="17"/>
        <v>0</v>
      </c>
      <c r="AI1895" s="557">
        <f t="shared" si="12"/>
        <v>0</v>
      </c>
      <c r="AJ1895" s="304">
        <f t="shared" si="5"/>
        <v>731500</v>
      </c>
      <c r="AK1895" s="304">
        <f t="shared" si="18"/>
        <v>731500</v>
      </c>
      <c r="AL1895" s="306"/>
      <c r="AM1895" s="306"/>
    </row>
    <row r="1896">
      <c r="A1896" s="298">
        <v>1886.0</v>
      </c>
      <c r="B1896" s="299">
        <v>45961.0</v>
      </c>
      <c r="C1896" s="302"/>
      <c r="D1896" s="300" t="s">
        <v>795</v>
      </c>
      <c r="E1896" s="515" t="s">
        <v>796</v>
      </c>
      <c r="F1896" s="300" t="s">
        <v>1415</v>
      </c>
      <c r="G1896" s="298" t="s">
        <v>64</v>
      </c>
      <c r="H1896" s="298" t="s">
        <v>41</v>
      </c>
      <c r="I1896" s="298" t="s">
        <v>643</v>
      </c>
      <c r="J1896" s="301"/>
      <c r="K1896" s="307">
        <v>1.0</v>
      </c>
      <c r="L1896" s="301"/>
      <c r="M1896" s="301"/>
      <c r="N1896" s="301"/>
      <c r="O1896" s="301"/>
      <c r="P1896" s="517"/>
      <c r="Q1896" s="302"/>
      <c r="R1896" s="302"/>
      <c r="S1896" s="515" t="s">
        <v>98</v>
      </c>
      <c r="T1896" s="298" t="s">
        <v>66</v>
      </c>
      <c r="U1896" s="298" t="s">
        <v>99</v>
      </c>
      <c r="V1896" s="298" t="s">
        <v>1984</v>
      </c>
      <c r="W1896" s="303"/>
      <c r="X1896" s="303"/>
      <c r="Y1896" s="303"/>
      <c r="Z1896" s="303"/>
      <c r="AA1896" s="304">
        <v>115500.0</v>
      </c>
      <c r="AB1896" s="304">
        <v>462000.0</v>
      </c>
      <c r="AC1896" s="520" t="s">
        <v>4919</v>
      </c>
      <c r="AD1896" s="298">
        <v>21856.0</v>
      </c>
      <c r="AE1896" s="302"/>
      <c r="AF1896" s="298" t="str">
        <f t="shared" si="1"/>
        <v>Buenos Aires, Argentina</v>
      </c>
      <c r="AG1896" s="515">
        <f t="shared" si="2"/>
        <v>1</v>
      </c>
      <c r="AH1896" s="557">
        <f t="shared" si="17"/>
        <v>0</v>
      </c>
      <c r="AI1896" s="557">
        <f t="shared" si="12"/>
        <v>0</v>
      </c>
      <c r="AJ1896" s="304">
        <f t="shared" si="5"/>
        <v>577500</v>
      </c>
      <c r="AK1896" s="304">
        <f t="shared" si="18"/>
        <v>577500</v>
      </c>
      <c r="AL1896" s="306"/>
      <c r="AM1896" s="306"/>
    </row>
    <row r="1897">
      <c r="A1897" s="298">
        <v>1887.0</v>
      </c>
      <c r="B1897" s="299">
        <v>45961.0</v>
      </c>
      <c r="C1897" s="302"/>
      <c r="D1897" s="300" t="s">
        <v>4544</v>
      </c>
      <c r="E1897" s="515" t="s">
        <v>4367</v>
      </c>
      <c r="F1897" s="300" t="s">
        <v>4920</v>
      </c>
      <c r="G1897" s="298" t="s">
        <v>64</v>
      </c>
      <c r="H1897" s="298" t="s">
        <v>41</v>
      </c>
      <c r="I1897" s="298" t="s">
        <v>643</v>
      </c>
      <c r="J1897" s="301"/>
      <c r="K1897" s="301"/>
      <c r="L1897" s="301"/>
      <c r="M1897" s="301"/>
      <c r="N1897" s="301"/>
      <c r="O1897" s="301"/>
      <c r="P1897" s="517"/>
      <c r="Q1897" s="302"/>
      <c r="R1897" s="302"/>
      <c r="S1897" s="515" t="s">
        <v>65</v>
      </c>
      <c r="T1897" s="298" t="s">
        <v>66</v>
      </c>
      <c r="U1897" s="298" t="s">
        <v>99</v>
      </c>
      <c r="V1897" s="298" t="s">
        <v>1984</v>
      </c>
      <c r="W1897" s="303"/>
      <c r="X1897" s="303"/>
      <c r="Y1897" s="303"/>
      <c r="Z1897" s="303"/>
      <c r="AA1897" s="304">
        <v>0.0</v>
      </c>
      <c r="AB1897" s="304">
        <v>0.0</v>
      </c>
      <c r="AC1897" s="520" t="s">
        <v>4921</v>
      </c>
      <c r="AD1897" s="298">
        <v>21946.0</v>
      </c>
      <c r="AE1897" s="302"/>
      <c r="AF1897" s="298" t="str">
        <f t="shared" si="1"/>
        <v>Buenos Aires, Argentina</v>
      </c>
      <c r="AG1897" s="515">
        <f t="shared" si="2"/>
        <v>0</v>
      </c>
      <c r="AH1897" s="557">
        <f t="shared" si="17"/>
        <v>0</v>
      </c>
      <c r="AI1897" s="557">
        <f t="shared" si="12"/>
        <v>0</v>
      </c>
      <c r="AJ1897" s="304">
        <f t="shared" si="5"/>
        <v>0</v>
      </c>
      <c r="AK1897" s="304">
        <f t="shared" si="18"/>
        <v>0</v>
      </c>
      <c r="AL1897" s="306"/>
      <c r="AM1897" s="306"/>
    </row>
    <row r="1898">
      <c r="A1898" s="298">
        <v>1888.0</v>
      </c>
      <c r="B1898" s="299">
        <v>45961.0</v>
      </c>
      <c r="C1898" s="302"/>
      <c r="D1898" s="300" t="s">
        <v>4168</v>
      </c>
      <c r="E1898" s="515" t="s">
        <v>2972</v>
      </c>
      <c r="F1898" s="300" t="s">
        <v>1423</v>
      </c>
      <c r="G1898" s="298" t="s">
        <v>64</v>
      </c>
      <c r="H1898" s="298" t="s">
        <v>41</v>
      </c>
      <c r="I1898" s="298" t="s">
        <v>643</v>
      </c>
      <c r="J1898" s="399">
        <v>1.0</v>
      </c>
      <c r="K1898" s="301"/>
      <c r="L1898" s="301"/>
      <c r="M1898" s="301"/>
      <c r="N1898" s="301"/>
      <c r="O1898" s="301"/>
      <c r="P1898" s="517"/>
      <c r="Q1898" s="302"/>
      <c r="R1898" s="302"/>
      <c r="S1898" s="515" t="s">
        <v>89</v>
      </c>
      <c r="T1898" s="298" t="s">
        <v>66</v>
      </c>
      <c r="U1898" s="298" t="s">
        <v>99</v>
      </c>
      <c r="V1898" s="298" t="s">
        <v>1984</v>
      </c>
      <c r="W1898" s="303"/>
      <c r="X1898" s="303"/>
      <c r="Y1898" s="303"/>
      <c r="Z1898" s="303"/>
      <c r="AA1898" s="304">
        <v>154000.0</v>
      </c>
      <c r="AB1898" s="304">
        <v>616000.0</v>
      </c>
      <c r="AC1898" s="520" t="s">
        <v>4922</v>
      </c>
      <c r="AD1898" s="298">
        <v>21932.0</v>
      </c>
      <c r="AE1898" s="302"/>
      <c r="AF1898" s="298" t="str">
        <f t="shared" si="1"/>
        <v>Buenos Aires, Argentina</v>
      </c>
      <c r="AG1898" s="515">
        <f t="shared" si="2"/>
        <v>1</v>
      </c>
      <c r="AH1898" s="557">
        <f t="shared" si="17"/>
        <v>0</v>
      </c>
      <c r="AI1898" s="557">
        <f t="shared" si="12"/>
        <v>0</v>
      </c>
      <c r="AJ1898" s="304">
        <f t="shared" si="5"/>
        <v>770000</v>
      </c>
      <c r="AK1898" s="304">
        <f t="shared" si="18"/>
        <v>770000</v>
      </c>
      <c r="AL1898" s="306"/>
      <c r="AM1898" s="306"/>
    </row>
    <row r="1899">
      <c r="A1899" s="298">
        <v>1889.0</v>
      </c>
      <c r="B1899" s="299">
        <v>45961.0</v>
      </c>
      <c r="C1899" s="302"/>
      <c r="D1899" s="300" t="s">
        <v>4749</v>
      </c>
      <c r="E1899" s="515" t="s">
        <v>4923</v>
      </c>
      <c r="F1899" s="300" t="s">
        <v>3490</v>
      </c>
      <c r="G1899" s="298" t="s">
        <v>64</v>
      </c>
      <c r="H1899" s="298" t="s">
        <v>41</v>
      </c>
      <c r="I1899" s="298" t="s">
        <v>643</v>
      </c>
      <c r="J1899" s="301"/>
      <c r="K1899" s="301"/>
      <c r="L1899" s="301"/>
      <c r="M1899" s="301"/>
      <c r="N1899" s="301"/>
      <c r="O1899" s="301"/>
      <c r="P1899" s="307">
        <v>1.0</v>
      </c>
      <c r="Q1899" s="302"/>
      <c r="R1899" s="302"/>
      <c r="S1899" s="515" t="s">
        <v>65</v>
      </c>
      <c r="T1899" s="298" t="s">
        <v>66</v>
      </c>
      <c r="U1899" s="298" t="s">
        <v>99</v>
      </c>
      <c r="V1899" s="298" t="s">
        <v>1984</v>
      </c>
      <c r="W1899" s="303"/>
      <c r="X1899" s="303"/>
      <c r="Y1899" s="303"/>
      <c r="Z1899" s="303"/>
      <c r="AA1899" s="304">
        <v>154000.0</v>
      </c>
      <c r="AB1899" s="304">
        <v>616000.0</v>
      </c>
      <c r="AC1899" s="520" t="s">
        <v>4924</v>
      </c>
      <c r="AD1899" s="298">
        <v>21612.0</v>
      </c>
      <c r="AE1899" s="302"/>
      <c r="AF1899" s="298" t="str">
        <f t="shared" si="1"/>
        <v>Buenos Aires, Argentina</v>
      </c>
      <c r="AG1899" s="515">
        <f t="shared" si="2"/>
        <v>1</v>
      </c>
      <c r="AH1899" s="557">
        <f t="shared" si="17"/>
        <v>0</v>
      </c>
      <c r="AI1899" s="557">
        <f t="shared" si="12"/>
        <v>0</v>
      </c>
      <c r="AJ1899" s="304">
        <f t="shared" si="5"/>
        <v>770000</v>
      </c>
      <c r="AK1899" s="304">
        <f t="shared" si="18"/>
        <v>770000</v>
      </c>
      <c r="AL1899" s="306"/>
      <c r="AM1899" s="306"/>
    </row>
    <row r="1900">
      <c r="A1900" s="298">
        <v>1890.0</v>
      </c>
      <c r="B1900" s="299">
        <v>45961.0</v>
      </c>
      <c r="C1900" s="302"/>
      <c r="D1900" s="300" t="s">
        <v>4749</v>
      </c>
      <c r="E1900" s="515" t="s">
        <v>4923</v>
      </c>
      <c r="F1900" s="300" t="s">
        <v>4817</v>
      </c>
      <c r="G1900" s="298" t="s">
        <v>64</v>
      </c>
      <c r="H1900" s="298" t="s">
        <v>41</v>
      </c>
      <c r="I1900" s="298" t="s">
        <v>643</v>
      </c>
      <c r="J1900" s="301"/>
      <c r="K1900" s="301"/>
      <c r="L1900" s="301"/>
      <c r="M1900" s="301"/>
      <c r="N1900" s="301"/>
      <c r="O1900" s="301"/>
      <c r="P1900" s="517"/>
      <c r="Q1900" s="302"/>
      <c r="R1900" s="302"/>
      <c r="S1900" s="515" t="s">
        <v>65</v>
      </c>
      <c r="T1900" s="298" t="s">
        <v>66</v>
      </c>
      <c r="U1900" s="298" t="s">
        <v>99</v>
      </c>
      <c r="V1900" s="298" t="s">
        <v>1984</v>
      </c>
      <c r="W1900" s="304">
        <v>234460.0</v>
      </c>
      <c r="X1900" s="304">
        <v>1055070.0</v>
      </c>
      <c r="Y1900" s="303"/>
      <c r="Z1900" s="303"/>
      <c r="AA1900" s="304">
        <v>0.0</v>
      </c>
      <c r="AB1900" s="304">
        <v>0.0</v>
      </c>
      <c r="AC1900" s="520" t="s">
        <v>4924</v>
      </c>
      <c r="AD1900" s="298">
        <v>21612.0</v>
      </c>
      <c r="AE1900" s="302"/>
      <c r="AF1900" s="298" t="str">
        <f t="shared" si="1"/>
        <v>Buenos Aires, Argentina</v>
      </c>
      <c r="AG1900" s="515">
        <f t="shared" si="2"/>
        <v>0</v>
      </c>
      <c r="AH1900" s="557">
        <f t="shared" si="17"/>
        <v>1289530</v>
      </c>
      <c r="AI1900" s="557">
        <f t="shared" si="12"/>
        <v>0</v>
      </c>
      <c r="AJ1900" s="304">
        <f t="shared" si="5"/>
        <v>0</v>
      </c>
      <c r="AK1900" s="304">
        <f t="shared" si="18"/>
        <v>1289530</v>
      </c>
      <c r="AL1900" s="306"/>
      <c r="AM1900" s="306"/>
    </row>
    <row r="1901">
      <c r="A1901" s="298">
        <v>1891.0</v>
      </c>
      <c r="B1901" s="299">
        <v>45961.0</v>
      </c>
      <c r="C1901" s="302"/>
      <c r="D1901" s="300" t="s">
        <v>3975</v>
      </c>
      <c r="E1901" s="515" t="s">
        <v>3440</v>
      </c>
      <c r="F1901" s="300" t="s">
        <v>3569</v>
      </c>
      <c r="G1901" s="298" t="s">
        <v>64</v>
      </c>
      <c r="H1901" s="298" t="s">
        <v>41</v>
      </c>
      <c r="I1901" s="298" t="s">
        <v>643</v>
      </c>
      <c r="J1901" s="301"/>
      <c r="K1901" s="301"/>
      <c r="L1901" s="301"/>
      <c r="M1901" s="301"/>
      <c r="N1901" s="301"/>
      <c r="O1901" s="307">
        <v>1.0</v>
      </c>
      <c r="P1901" s="517"/>
      <c r="Q1901" s="302"/>
      <c r="R1901" s="302"/>
      <c r="S1901" s="515" t="s">
        <v>114</v>
      </c>
      <c r="T1901" s="298" t="s">
        <v>655</v>
      </c>
      <c r="U1901" s="298" t="s">
        <v>99</v>
      </c>
      <c r="V1901" s="298" t="s">
        <v>1984</v>
      </c>
      <c r="W1901" s="303"/>
      <c r="X1901" s="303"/>
      <c r="Y1901" s="303"/>
      <c r="Z1901" s="303"/>
      <c r="AA1901" s="304">
        <v>84700.0</v>
      </c>
      <c r="AB1901" s="304">
        <v>338800.0</v>
      </c>
      <c r="AC1901" s="520" t="s">
        <v>4925</v>
      </c>
      <c r="AD1901" s="298">
        <v>21992.0</v>
      </c>
      <c r="AE1901" s="302"/>
      <c r="AF1901" s="298" t="str">
        <f t="shared" si="1"/>
        <v>La Pampa, Argentina</v>
      </c>
      <c r="AG1901" s="515">
        <f t="shared" si="2"/>
        <v>1</v>
      </c>
      <c r="AH1901" s="557">
        <f t="shared" si="17"/>
        <v>0</v>
      </c>
      <c r="AI1901" s="557">
        <f t="shared" si="12"/>
        <v>0</v>
      </c>
      <c r="AJ1901" s="304">
        <f t="shared" si="5"/>
        <v>423500</v>
      </c>
      <c r="AK1901" s="304">
        <f t="shared" si="18"/>
        <v>423500</v>
      </c>
      <c r="AL1901" s="306"/>
      <c r="AM1901" s="306"/>
    </row>
    <row r="1902">
      <c r="A1902" s="298">
        <v>1892.0</v>
      </c>
      <c r="B1902" s="299">
        <v>45961.0</v>
      </c>
      <c r="C1902" s="302"/>
      <c r="D1902" s="300" t="s">
        <v>4577</v>
      </c>
      <c r="E1902" s="515" t="s">
        <v>4578</v>
      </c>
      <c r="F1902" s="300" t="s">
        <v>3490</v>
      </c>
      <c r="G1902" s="298" t="s">
        <v>64</v>
      </c>
      <c r="H1902" s="298" t="s">
        <v>41</v>
      </c>
      <c r="I1902" s="298" t="s">
        <v>643</v>
      </c>
      <c r="J1902" s="301"/>
      <c r="K1902" s="301"/>
      <c r="L1902" s="301"/>
      <c r="M1902" s="301"/>
      <c r="N1902" s="301"/>
      <c r="O1902" s="301"/>
      <c r="P1902" s="307">
        <v>1.0</v>
      </c>
      <c r="Q1902" s="302"/>
      <c r="R1902" s="302"/>
      <c r="S1902" s="515" t="s">
        <v>98</v>
      </c>
      <c r="T1902" s="298" t="s">
        <v>66</v>
      </c>
      <c r="U1902" s="298" t="s">
        <v>99</v>
      </c>
      <c r="V1902" s="298" t="s">
        <v>1984</v>
      </c>
      <c r="W1902" s="303"/>
      <c r="X1902" s="303"/>
      <c r="Y1902" s="303"/>
      <c r="Z1902" s="303"/>
      <c r="AA1902" s="304">
        <v>154000.0</v>
      </c>
      <c r="AB1902" s="304">
        <v>616000.0</v>
      </c>
      <c r="AC1902" s="520" t="s">
        <v>4926</v>
      </c>
      <c r="AD1902" s="298">
        <v>20398.0</v>
      </c>
      <c r="AE1902" s="302"/>
      <c r="AF1902" s="298" t="str">
        <f t="shared" si="1"/>
        <v>Buenos Aires, Argentina</v>
      </c>
      <c r="AG1902" s="515">
        <f t="shared" si="2"/>
        <v>1</v>
      </c>
      <c r="AH1902" s="557">
        <f t="shared" si="17"/>
        <v>0</v>
      </c>
      <c r="AI1902" s="557">
        <f t="shared" si="12"/>
        <v>0</v>
      </c>
      <c r="AJ1902" s="304">
        <f t="shared" si="5"/>
        <v>770000</v>
      </c>
      <c r="AK1902" s="304">
        <f t="shared" si="18"/>
        <v>770000</v>
      </c>
      <c r="AL1902" s="306"/>
      <c r="AM1902" s="306"/>
    </row>
    <row r="1903">
      <c r="A1903" s="290">
        <v>1892.0</v>
      </c>
      <c r="B1903" s="291">
        <v>45975.0</v>
      </c>
      <c r="C1903" s="99"/>
      <c r="D1903" s="292" t="s">
        <v>4927</v>
      </c>
      <c r="E1903" s="525" t="s">
        <v>4928</v>
      </c>
      <c r="F1903" s="292" t="s">
        <v>2056</v>
      </c>
      <c r="G1903" s="290" t="s">
        <v>40</v>
      </c>
      <c r="H1903" s="290" t="s">
        <v>547</v>
      </c>
      <c r="I1903" s="290" t="s">
        <v>42</v>
      </c>
      <c r="J1903" s="97">
        <v>1.0</v>
      </c>
      <c r="K1903" s="98"/>
      <c r="L1903" s="98"/>
      <c r="M1903" s="293">
        <v>1.0</v>
      </c>
      <c r="N1903" s="98"/>
      <c r="O1903" s="98"/>
      <c r="P1903" s="527"/>
      <c r="Q1903" s="99"/>
      <c r="R1903" s="99"/>
      <c r="S1903" s="525" t="s">
        <v>98</v>
      </c>
      <c r="T1903" s="290" t="s">
        <v>66</v>
      </c>
      <c r="U1903" s="290" t="s">
        <v>4456</v>
      </c>
      <c r="V1903" s="290" t="s">
        <v>2922</v>
      </c>
      <c r="W1903" s="100"/>
      <c r="X1903" s="100"/>
      <c r="Y1903" s="100"/>
      <c r="Z1903" s="100"/>
      <c r="AA1903" s="294">
        <v>120120.0</v>
      </c>
      <c r="AB1903" s="294">
        <v>450450.0</v>
      </c>
      <c r="AC1903" s="530" t="s">
        <v>4929</v>
      </c>
      <c r="AD1903" s="290">
        <v>21838.0</v>
      </c>
      <c r="AE1903" s="99"/>
      <c r="AF1903" s="290" t="str">
        <f t="shared" si="1"/>
        <v>Buenos Aires, Argentina</v>
      </c>
      <c r="AG1903" s="525">
        <f t="shared" si="2"/>
        <v>2</v>
      </c>
      <c r="AH1903" s="560">
        <f t="shared" si="17"/>
        <v>0</v>
      </c>
      <c r="AI1903" s="560">
        <f t="shared" si="12"/>
        <v>0</v>
      </c>
      <c r="AJ1903" s="294">
        <f t="shared" si="5"/>
        <v>570570</v>
      </c>
      <c r="AK1903" s="294">
        <f t="shared" si="18"/>
        <v>570570</v>
      </c>
      <c r="AL1903" s="103"/>
      <c r="AM1903" s="103"/>
    </row>
    <row r="1904">
      <c r="A1904" s="290">
        <v>1893.0</v>
      </c>
      <c r="B1904" s="291">
        <v>45975.0</v>
      </c>
      <c r="C1904" s="99"/>
      <c r="D1904" s="292" t="s">
        <v>4514</v>
      </c>
      <c r="E1904" s="525" t="s">
        <v>4515</v>
      </c>
      <c r="F1904" s="292" t="s">
        <v>1415</v>
      </c>
      <c r="G1904" s="290" t="s">
        <v>64</v>
      </c>
      <c r="H1904" s="290" t="s">
        <v>41</v>
      </c>
      <c r="I1904" s="290" t="s">
        <v>643</v>
      </c>
      <c r="J1904" s="98"/>
      <c r="K1904" s="293">
        <v>1.0</v>
      </c>
      <c r="L1904" s="98"/>
      <c r="M1904" s="98"/>
      <c r="N1904" s="98"/>
      <c r="O1904" s="98"/>
      <c r="P1904" s="527"/>
      <c r="Q1904" s="99"/>
      <c r="R1904" s="99"/>
      <c r="S1904" s="525" t="s">
        <v>137</v>
      </c>
      <c r="T1904" s="290" t="s">
        <v>66</v>
      </c>
      <c r="U1904" s="290" t="s">
        <v>1259</v>
      </c>
      <c r="V1904" s="290" t="s">
        <v>1984</v>
      </c>
      <c r="W1904" s="100"/>
      <c r="X1904" s="100"/>
      <c r="Y1904" s="100"/>
      <c r="Z1904" s="100"/>
      <c r="AA1904" s="294">
        <v>117000.0</v>
      </c>
      <c r="AB1904" s="294">
        <v>409500.0</v>
      </c>
      <c r="AC1904" s="530" t="s">
        <v>4930</v>
      </c>
      <c r="AD1904" s="290">
        <v>22034.0</v>
      </c>
      <c r="AE1904" s="99"/>
      <c r="AF1904" s="290" t="str">
        <f t="shared" si="1"/>
        <v>Buenos Aires, Argentina</v>
      </c>
      <c r="AG1904" s="525">
        <f t="shared" si="2"/>
        <v>1</v>
      </c>
      <c r="AH1904" s="560">
        <f t="shared" si="17"/>
        <v>0</v>
      </c>
      <c r="AI1904" s="560">
        <f t="shared" si="12"/>
        <v>0</v>
      </c>
      <c r="AJ1904" s="294">
        <f t="shared" si="5"/>
        <v>526500</v>
      </c>
      <c r="AK1904" s="294">
        <f t="shared" si="18"/>
        <v>526500</v>
      </c>
      <c r="AL1904" s="103"/>
      <c r="AM1904" s="103"/>
    </row>
    <row r="1905">
      <c r="A1905" s="290">
        <v>1894.0</v>
      </c>
      <c r="B1905" s="291">
        <v>45975.0</v>
      </c>
      <c r="C1905" s="99"/>
      <c r="D1905" s="292" t="s">
        <v>4931</v>
      </c>
      <c r="E1905" s="525" t="s">
        <v>3452</v>
      </c>
      <c r="F1905" s="292" t="s">
        <v>1423</v>
      </c>
      <c r="G1905" s="290" t="s">
        <v>64</v>
      </c>
      <c r="H1905" s="290" t="s">
        <v>41</v>
      </c>
      <c r="I1905" s="290" t="s">
        <v>643</v>
      </c>
      <c r="J1905" s="97">
        <v>1.0</v>
      </c>
      <c r="K1905" s="98"/>
      <c r="L1905" s="98"/>
      <c r="M1905" s="98"/>
      <c r="N1905" s="98"/>
      <c r="O1905" s="98"/>
      <c r="P1905" s="527"/>
      <c r="Q1905" s="99"/>
      <c r="R1905" s="99"/>
      <c r="S1905" s="525" t="s">
        <v>105</v>
      </c>
      <c r="T1905" s="290" t="s">
        <v>73</v>
      </c>
      <c r="U1905" s="290" t="s">
        <v>1259</v>
      </c>
      <c r="V1905" s="290" t="s">
        <v>1984</v>
      </c>
      <c r="W1905" s="100"/>
      <c r="X1905" s="100"/>
      <c r="Y1905" s="100"/>
      <c r="Z1905" s="100"/>
      <c r="AA1905" s="294">
        <v>156000.0</v>
      </c>
      <c r="AB1905" s="294">
        <v>546000.0</v>
      </c>
      <c r="AC1905" s="530" t="s">
        <v>4932</v>
      </c>
      <c r="AD1905" s="290">
        <v>22050.0</v>
      </c>
      <c r="AE1905" s="99"/>
      <c r="AF1905" s="290" t="str">
        <f t="shared" si="1"/>
        <v>Tierra de Fuego, Argentina</v>
      </c>
      <c r="AG1905" s="525">
        <f t="shared" si="2"/>
        <v>1</v>
      </c>
      <c r="AH1905" s="560">
        <f t="shared" si="17"/>
        <v>0</v>
      </c>
      <c r="AI1905" s="560">
        <f t="shared" si="12"/>
        <v>0</v>
      </c>
      <c r="AJ1905" s="294">
        <f t="shared" si="5"/>
        <v>702000</v>
      </c>
      <c r="AK1905" s="294">
        <f t="shared" si="18"/>
        <v>702000</v>
      </c>
      <c r="AL1905" s="103"/>
      <c r="AM1905" s="103"/>
    </row>
    <row r="1906">
      <c r="A1906" s="290">
        <v>1895.0</v>
      </c>
      <c r="B1906" s="291">
        <v>45978.0</v>
      </c>
      <c r="C1906" s="99"/>
      <c r="D1906" s="292" t="s">
        <v>2163</v>
      </c>
      <c r="E1906" s="525" t="s">
        <v>2255</v>
      </c>
      <c r="F1906" s="292" t="s">
        <v>1427</v>
      </c>
      <c r="G1906" s="290" t="s">
        <v>64</v>
      </c>
      <c r="H1906" s="290" t="s">
        <v>41</v>
      </c>
      <c r="I1906" s="290" t="s">
        <v>643</v>
      </c>
      <c r="J1906" s="98"/>
      <c r="K1906" s="293">
        <v>2.0</v>
      </c>
      <c r="L1906" s="98"/>
      <c r="M1906" s="98"/>
      <c r="N1906" s="98"/>
      <c r="O1906" s="98"/>
      <c r="P1906" s="527"/>
      <c r="Q1906" s="99"/>
      <c r="R1906" s="99"/>
      <c r="S1906" s="525" t="s">
        <v>65</v>
      </c>
      <c r="T1906" s="290" t="s">
        <v>66</v>
      </c>
      <c r="U1906" s="290" t="s">
        <v>1259</v>
      </c>
      <c r="V1906" s="290" t="s">
        <v>1984</v>
      </c>
      <c r="W1906" s="100"/>
      <c r="X1906" s="100"/>
      <c r="Y1906" s="100"/>
      <c r="Z1906" s="100"/>
      <c r="AA1906" s="294">
        <v>210600.0</v>
      </c>
      <c r="AB1906" s="294">
        <v>819000.0</v>
      </c>
      <c r="AC1906" s="530" t="s">
        <v>4933</v>
      </c>
      <c r="AD1906" s="290">
        <v>22014.0</v>
      </c>
      <c r="AE1906" s="99"/>
      <c r="AF1906" s="290" t="str">
        <f t="shared" si="1"/>
        <v>Buenos Aires, Argentina</v>
      </c>
      <c r="AG1906" s="525">
        <f t="shared" si="2"/>
        <v>2</v>
      </c>
      <c r="AH1906" s="560">
        <f t="shared" si="17"/>
        <v>0</v>
      </c>
      <c r="AI1906" s="560">
        <f t="shared" si="12"/>
        <v>0</v>
      </c>
      <c r="AJ1906" s="294">
        <f t="shared" si="5"/>
        <v>1029600</v>
      </c>
      <c r="AK1906" s="294">
        <f t="shared" si="18"/>
        <v>1029600</v>
      </c>
      <c r="AL1906" s="103"/>
      <c r="AM1906" s="103"/>
    </row>
    <row r="1907">
      <c r="A1907" s="290">
        <v>1896.0</v>
      </c>
      <c r="B1907" s="291">
        <v>45979.0</v>
      </c>
      <c r="C1907" s="99"/>
      <c r="D1907" s="292" t="s">
        <v>4934</v>
      </c>
      <c r="E1907" s="525" t="s">
        <v>3060</v>
      </c>
      <c r="F1907" s="292" t="s">
        <v>4935</v>
      </c>
      <c r="G1907" s="290" t="s">
        <v>64</v>
      </c>
      <c r="H1907" s="290" t="s">
        <v>41</v>
      </c>
      <c r="I1907" s="290" t="s">
        <v>643</v>
      </c>
      <c r="J1907" s="98"/>
      <c r="K1907" s="98"/>
      <c r="L1907" s="98"/>
      <c r="M1907" s="293">
        <v>1.0</v>
      </c>
      <c r="N1907" s="98"/>
      <c r="O1907" s="293">
        <v>1.0</v>
      </c>
      <c r="P1907" s="527"/>
      <c r="Q1907" s="99"/>
      <c r="R1907" s="99"/>
      <c r="S1907" s="525" t="s">
        <v>189</v>
      </c>
      <c r="T1907" s="290" t="s">
        <v>66</v>
      </c>
      <c r="U1907" s="290" t="s">
        <v>1259</v>
      </c>
      <c r="V1907" s="290" t="s">
        <v>1984</v>
      </c>
      <c r="W1907" s="100"/>
      <c r="X1907" s="100"/>
      <c r="Y1907" s="100"/>
      <c r="Z1907" s="100"/>
      <c r="AA1907" s="294">
        <v>241800.0</v>
      </c>
      <c r="AB1907" s="294">
        <v>846300.0</v>
      </c>
      <c r="AC1907" s="530" t="s">
        <v>4936</v>
      </c>
      <c r="AD1907" s="290">
        <v>22084.0</v>
      </c>
      <c r="AE1907" s="99"/>
      <c r="AF1907" s="290" t="str">
        <f t="shared" si="1"/>
        <v>Buenos Aires, Argentina</v>
      </c>
      <c r="AG1907" s="525">
        <f t="shared" si="2"/>
        <v>2</v>
      </c>
      <c r="AH1907" s="560">
        <f t="shared" si="17"/>
        <v>0</v>
      </c>
      <c r="AI1907" s="560">
        <f t="shared" si="12"/>
        <v>0</v>
      </c>
      <c r="AJ1907" s="294">
        <f t="shared" si="5"/>
        <v>1088100</v>
      </c>
      <c r="AK1907" s="294">
        <f t="shared" si="18"/>
        <v>1088100</v>
      </c>
      <c r="AL1907" s="103"/>
      <c r="AM1907" s="103"/>
    </row>
    <row r="1908">
      <c r="A1908" s="290">
        <v>1897.0</v>
      </c>
      <c r="B1908" s="291">
        <v>45979.0</v>
      </c>
      <c r="C1908" s="99"/>
      <c r="D1908" s="292" t="s">
        <v>4934</v>
      </c>
      <c r="E1908" s="525" t="s">
        <v>3060</v>
      </c>
      <c r="F1908" s="292" t="s">
        <v>4937</v>
      </c>
      <c r="G1908" s="290" t="s">
        <v>64</v>
      </c>
      <c r="H1908" s="290" t="s">
        <v>41</v>
      </c>
      <c r="I1908" s="290" t="s">
        <v>643</v>
      </c>
      <c r="J1908" s="98"/>
      <c r="K1908" s="98"/>
      <c r="L1908" s="98"/>
      <c r="M1908" s="98"/>
      <c r="N1908" s="98"/>
      <c r="O1908" s="98"/>
      <c r="P1908" s="527"/>
      <c r="Q1908" s="99"/>
      <c r="R1908" s="99"/>
      <c r="S1908" s="525" t="s">
        <v>189</v>
      </c>
      <c r="T1908" s="290" t="s">
        <v>66</v>
      </c>
      <c r="U1908" s="290" t="s">
        <v>1259</v>
      </c>
      <c r="V1908" s="290" t="s">
        <v>1984</v>
      </c>
      <c r="W1908" s="100"/>
      <c r="X1908" s="100"/>
      <c r="Y1908" s="100"/>
      <c r="Z1908" s="100"/>
      <c r="AA1908" s="294">
        <v>0.0</v>
      </c>
      <c r="AB1908" s="294">
        <v>140400.0</v>
      </c>
      <c r="AC1908" s="530" t="s">
        <v>4936</v>
      </c>
      <c r="AD1908" s="290">
        <v>22084.0</v>
      </c>
      <c r="AE1908" s="99"/>
      <c r="AF1908" s="290" t="str">
        <f t="shared" si="1"/>
        <v>Buenos Aires, Argentina</v>
      </c>
      <c r="AG1908" s="525">
        <f t="shared" si="2"/>
        <v>0</v>
      </c>
      <c r="AH1908" s="560">
        <f t="shared" si="17"/>
        <v>0</v>
      </c>
      <c r="AI1908" s="560">
        <f t="shared" si="12"/>
        <v>0</v>
      </c>
      <c r="AJ1908" s="294">
        <f t="shared" si="5"/>
        <v>140400</v>
      </c>
      <c r="AK1908" s="294">
        <f t="shared" si="18"/>
        <v>140400</v>
      </c>
      <c r="AL1908" s="103"/>
      <c r="AM1908" s="103"/>
    </row>
    <row r="1909">
      <c r="A1909" s="290">
        <v>1898.0</v>
      </c>
      <c r="B1909" s="291">
        <v>45979.0</v>
      </c>
      <c r="C1909" s="99"/>
      <c r="D1909" s="292" t="s">
        <v>4938</v>
      </c>
      <c r="E1909" s="525" t="s">
        <v>4939</v>
      </c>
      <c r="F1909" s="292" t="s">
        <v>4940</v>
      </c>
      <c r="G1909" s="290" t="s">
        <v>64</v>
      </c>
      <c r="H1909" s="290" t="s">
        <v>41</v>
      </c>
      <c r="I1909" s="290" t="s">
        <v>643</v>
      </c>
      <c r="J1909" s="98"/>
      <c r="K1909" s="98"/>
      <c r="L1909" s="98"/>
      <c r="M1909" s="98"/>
      <c r="N1909" s="98"/>
      <c r="O1909" s="98"/>
      <c r="P1909" s="527"/>
      <c r="Q1909" s="99"/>
      <c r="R1909" s="99"/>
      <c r="S1909" s="525" t="s">
        <v>65</v>
      </c>
      <c r="T1909" s="290" t="s">
        <v>83</v>
      </c>
      <c r="U1909" s="290" t="s">
        <v>99</v>
      </c>
      <c r="V1909" s="290" t="s">
        <v>1984</v>
      </c>
      <c r="W1909" s="100"/>
      <c r="X1909" s="100"/>
      <c r="Y1909" s="100"/>
      <c r="Z1909" s="100"/>
      <c r="AA1909" s="294">
        <v>0.0</v>
      </c>
      <c r="AB1909" s="294">
        <v>1036800.0</v>
      </c>
      <c r="AC1909" s="530" t="s">
        <v>4941</v>
      </c>
      <c r="AD1909" s="290">
        <v>22032.0</v>
      </c>
      <c r="AE1909" s="99"/>
      <c r="AF1909" s="290" t="str">
        <f t="shared" si="1"/>
        <v>Capital Federal, Argentina</v>
      </c>
      <c r="AG1909" s="525">
        <f t="shared" si="2"/>
        <v>0</v>
      </c>
      <c r="AH1909" s="560">
        <f t="shared" si="17"/>
        <v>0</v>
      </c>
      <c r="AI1909" s="560">
        <f t="shared" si="12"/>
        <v>0</v>
      </c>
      <c r="AJ1909" s="294">
        <f t="shared" si="5"/>
        <v>1036800</v>
      </c>
      <c r="AK1909" s="294">
        <f t="shared" si="18"/>
        <v>1036800</v>
      </c>
      <c r="AL1909" s="103"/>
      <c r="AM1909" s="103"/>
    </row>
    <row r="1910">
      <c r="A1910" s="290">
        <v>1899.0</v>
      </c>
      <c r="B1910" s="291">
        <v>45979.0</v>
      </c>
      <c r="C1910" s="99"/>
      <c r="D1910" s="292" t="s">
        <v>4927</v>
      </c>
      <c r="E1910" s="525" t="s">
        <v>4928</v>
      </c>
      <c r="F1910" s="292" t="s">
        <v>4942</v>
      </c>
      <c r="G1910" s="290" t="s">
        <v>64</v>
      </c>
      <c r="H1910" s="290" t="s">
        <v>547</v>
      </c>
      <c r="I1910" s="290" t="s">
        <v>42</v>
      </c>
      <c r="J1910" s="98"/>
      <c r="K1910" s="98"/>
      <c r="L1910" s="98"/>
      <c r="M1910" s="98"/>
      <c r="N1910" s="98"/>
      <c r="O1910" s="98"/>
      <c r="P1910" s="527"/>
      <c r="Q1910" s="99"/>
      <c r="R1910" s="99"/>
      <c r="S1910" s="525" t="s">
        <v>98</v>
      </c>
      <c r="T1910" s="290" t="s">
        <v>66</v>
      </c>
      <c r="U1910" s="290" t="s">
        <v>99</v>
      </c>
      <c r="V1910" s="290" t="s">
        <v>2922</v>
      </c>
      <c r="W1910" s="100"/>
      <c r="X1910" s="100"/>
      <c r="Y1910" s="100"/>
      <c r="Z1910" s="100"/>
      <c r="AA1910" s="294">
        <v>0.0</v>
      </c>
      <c r="AB1910" s="294">
        <v>108108.0</v>
      </c>
      <c r="AC1910" s="530" t="s">
        <v>4943</v>
      </c>
      <c r="AD1910" s="290">
        <v>22080.0</v>
      </c>
      <c r="AE1910" s="99"/>
      <c r="AF1910" s="290" t="str">
        <f t="shared" si="1"/>
        <v>Buenos Aires, Argentina</v>
      </c>
      <c r="AG1910" s="525">
        <f t="shared" si="2"/>
        <v>0</v>
      </c>
      <c r="AH1910" s="560">
        <f t="shared" si="17"/>
        <v>0</v>
      </c>
      <c r="AI1910" s="560">
        <f t="shared" si="12"/>
        <v>0</v>
      </c>
      <c r="AJ1910" s="294">
        <f t="shared" si="5"/>
        <v>108108</v>
      </c>
      <c r="AK1910" s="294">
        <f t="shared" si="18"/>
        <v>108108</v>
      </c>
      <c r="AL1910" s="103"/>
      <c r="AM1910" s="103"/>
    </row>
    <row r="1911">
      <c r="A1911" s="290">
        <v>1900.0</v>
      </c>
      <c r="B1911" s="291">
        <v>45988.0</v>
      </c>
      <c r="C1911" s="99"/>
      <c r="D1911" s="292" t="s">
        <v>4944</v>
      </c>
      <c r="E1911" s="525" t="s">
        <v>4945</v>
      </c>
      <c r="F1911" s="292" t="s">
        <v>4946</v>
      </c>
      <c r="G1911" s="290" t="s">
        <v>64</v>
      </c>
      <c r="H1911" s="290" t="s">
        <v>41</v>
      </c>
      <c r="I1911" s="290" t="s">
        <v>643</v>
      </c>
      <c r="J1911" s="98"/>
      <c r="K1911" s="98"/>
      <c r="L1911" s="98"/>
      <c r="M1911" s="98"/>
      <c r="N1911" s="98"/>
      <c r="O1911" s="98"/>
      <c r="P1911" s="527"/>
      <c r="Q1911" s="99"/>
      <c r="R1911" s="99"/>
      <c r="S1911" s="525" t="s">
        <v>65</v>
      </c>
      <c r="T1911" s="290" t="s">
        <v>66</v>
      </c>
      <c r="U1911" s="290" t="s">
        <v>99</v>
      </c>
      <c r="V1911" s="290" t="s">
        <v>1984</v>
      </c>
      <c r="W1911" s="100"/>
      <c r="X1911" s="100"/>
      <c r="Y1911" s="100"/>
      <c r="Z1911" s="100"/>
      <c r="AA1911" s="294">
        <v>0.0</v>
      </c>
      <c r="AB1911" s="294">
        <v>0.0</v>
      </c>
      <c r="AC1911" s="530" t="s">
        <v>4947</v>
      </c>
      <c r="AD1911" s="290">
        <v>22174.0</v>
      </c>
      <c r="AE1911" s="99"/>
      <c r="AF1911" s="290" t="str">
        <f t="shared" si="1"/>
        <v>Buenos Aires, Argentina</v>
      </c>
      <c r="AG1911" s="525">
        <f t="shared" si="2"/>
        <v>0</v>
      </c>
      <c r="AH1911" s="560">
        <f t="shared" si="17"/>
        <v>0</v>
      </c>
      <c r="AI1911" s="560">
        <f t="shared" si="12"/>
        <v>0</v>
      </c>
      <c r="AJ1911" s="294">
        <f t="shared" si="5"/>
        <v>0</v>
      </c>
      <c r="AK1911" s="294">
        <f t="shared" si="18"/>
        <v>0</v>
      </c>
      <c r="AL1911" s="103"/>
      <c r="AM1911" s="103"/>
    </row>
    <row r="1912">
      <c r="A1912" s="290">
        <v>1901.0</v>
      </c>
      <c r="B1912" s="291">
        <v>45989.0</v>
      </c>
      <c r="C1912" s="99"/>
      <c r="D1912" s="292" t="s">
        <v>4948</v>
      </c>
      <c r="E1912" s="525" t="s">
        <v>4949</v>
      </c>
      <c r="F1912" s="292" t="s">
        <v>2056</v>
      </c>
      <c r="G1912" s="290" t="s">
        <v>40</v>
      </c>
      <c r="H1912" s="290" t="s">
        <v>547</v>
      </c>
      <c r="I1912" s="290" t="s">
        <v>42</v>
      </c>
      <c r="J1912" s="97">
        <v>1.0</v>
      </c>
      <c r="K1912" s="98"/>
      <c r="L1912" s="98"/>
      <c r="M1912" s="293">
        <v>1.0</v>
      </c>
      <c r="N1912" s="98"/>
      <c r="O1912" s="98"/>
      <c r="P1912" s="527"/>
      <c r="Q1912" s="99"/>
      <c r="R1912" s="99"/>
      <c r="S1912" s="525" t="s">
        <v>98</v>
      </c>
      <c r="T1912" s="290" t="s">
        <v>66</v>
      </c>
      <c r="U1912" s="290" t="s">
        <v>45</v>
      </c>
      <c r="V1912" s="290" t="s">
        <v>2922</v>
      </c>
      <c r="W1912" s="100"/>
      <c r="X1912" s="100"/>
      <c r="Y1912" s="100"/>
      <c r="Z1912" s="100"/>
      <c r="AA1912" s="294">
        <v>120120.0</v>
      </c>
      <c r="AB1912" s="294">
        <v>450450.0</v>
      </c>
      <c r="AC1912" s="530" t="s">
        <v>4950</v>
      </c>
      <c r="AD1912" s="290">
        <v>22026.0</v>
      </c>
      <c r="AE1912" s="99"/>
      <c r="AF1912" s="290" t="str">
        <f t="shared" si="1"/>
        <v>Buenos Aires, Argentina</v>
      </c>
      <c r="AG1912" s="525">
        <f t="shared" si="2"/>
        <v>2</v>
      </c>
      <c r="AH1912" s="560">
        <f t="shared" si="17"/>
        <v>0</v>
      </c>
      <c r="AI1912" s="560">
        <f t="shared" si="12"/>
        <v>0</v>
      </c>
      <c r="AJ1912" s="294">
        <f t="shared" si="5"/>
        <v>570570</v>
      </c>
      <c r="AK1912" s="294">
        <f t="shared" si="18"/>
        <v>570570</v>
      </c>
      <c r="AL1912" s="103"/>
      <c r="AM1912" s="103"/>
    </row>
    <row r="1913">
      <c r="A1913" s="290">
        <v>1902.0</v>
      </c>
      <c r="B1913" s="291">
        <v>45989.0</v>
      </c>
      <c r="C1913" s="99"/>
      <c r="D1913" s="292" t="s">
        <v>2288</v>
      </c>
      <c r="E1913" s="525" t="s">
        <v>2289</v>
      </c>
      <c r="F1913" s="292" t="s">
        <v>4951</v>
      </c>
      <c r="G1913" s="290" t="s">
        <v>64</v>
      </c>
      <c r="H1913" s="290" t="s">
        <v>547</v>
      </c>
      <c r="I1913" s="290" t="s">
        <v>643</v>
      </c>
      <c r="J1913" s="98"/>
      <c r="K1913" s="98"/>
      <c r="L1913" s="98"/>
      <c r="M1913" s="98"/>
      <c r="N1913" s="98"/>
      <c r="O1913" s="98"/>
      <c r="P1913" s="527"/>
      <c r="Q1913" s="99"/>
      <c r="R1913" s="99"/>
      <c r="S1913" s="525" t="s">
        <v>114</v>
      </c>
      <c r="T1913" s="290" t="s">
        <v>66</v>
      </c>
      <c r="U1913" s="290" t="s">
        <v>99</v>
      </c>
      <c r="V1913" s="290" t="s">
        <v>1984</v>
      </c>
      <c r="W1913" s="100"/>
      <c r="X1913" s="100"/>
      <c r="Y1913" s="100"/>
      <c r="Z1913" s="100"/>
      <c r="AA1913" s="294">
        <v>0.0</v>
      </c>
      <c r="AB1913" s="294">
        <v>120120.0</v>
      </c>
      <c r="AC1913" s="530" t="s">
        <v>4952</v>
      </c>
      <c r="AD1913" s="290">
        <v>22172.0</v>
      </c>
      <c r="AE1913" s="99"/>
      <c r="AF1913" s="290" t="str">
        <f t="shared" si="1"/>
        <v>Buenos Aires, Argentina</v>
      </c>
      <c r="AG1913" s="525">
        <f t="shared" si="2"/>
        <v>0</v>
      </c>
      <c r="AH1913" s="560">
        <f t="shared" si="17"/>
        <v>0</v>
      </c>
      <c r="AI1913" s="560">
        <f t="shared" si="12"/>
        <v>0</v>
      </c>
      <c r="AJ1913" s="294">
        <f t="shared" si="5"/>
        <v>120120</v>
      </c>
      <c r="AK1913" s="294">
        <f t="shared" si="18"/>
        <v>120120</v>
      </c>
      <c r="AL1913" s="103"/>
      <c r="AM1913" s="103"/>
    </row>
    <row r="1914">
      <c r="A1914" s="290">
        <v>1903.0</v>
      </c>
      <c r="B1914" s="291">
        <v>45989.0</v>
      </c>
      <c r="C1914" s="99"/>
      <c r="D1914" s="292" t="s">
        <v>4078</v>
      </c>
      <c r="E1914" s="525" t="s">
        <v>2707</v>
      </c>
      <c r="F1914" s="292" t="s">
        <v>4953</v>
      </c>
      <c r="G1914" s="290" t="s">
        <v>64</v>
      </c>
      <c r="H1914" s="290" t="s">
        <v>41</v>
      </c>
      <c r="I1914" s="290" t="s">
        <v>643</v>
      </c>
      <c r="J1914" s="97">
        <v>2.0</v>
      </c>
      <c r="K1914" s="98"/>
      <c r="L1914" s="98"/>
      <c r="M1914" s="98"/>
      <c r="N1914" s="98"/>
      <c r="O1914" s="293">
        <v>1.0</v>
      </c>
      <c r="P1914" s="527"/>
      <c r="Q1914" s="99"/>
      <c r="R1914" s="99"/>
      <c r="S1914" s="525" t="s">
        <v>189</v>
      </c>
      <c r="T1914" s="290" t="s">
        <v>73</v>
      </c>
      <c r="U1914" s="290" t="s">
        <v>1259</v>
      </c>
      <c r="V1914" s="290" t="s">
        <v>1984</v>
      </c>
      <c r="W1914" s="100"/>
      <c r="X1914" s="100"/>
      <c r="Y1914" s="100"/>
      <c r="Z1914" s="100"/>
      <c r="AA1914" s="294">
        <v>397800.0</v>
      </c>
      <c r="AB1914" s="294">
        <v>1392300.0</v>
      </c>
      <c r="AC1914" s="530" t="s">
        <v>4954</v>
      </c>
      <c r="AD1914" s="290">
        <v>22162.0</v>
      </c>
      <c r="AE1914" s="99"/>
      <c r="AF1914" s="290" t="str">
        <f t="shared" si="1"/>
        <v>Tierra de Fuego, Argentina</v>
      </c>
      <c r="AG1914" s="525">
        <f t="shared" si="2"/>
        <v>3</v>
      </c>
      <c r="AH1914" s="560">
        <f t="shared" si="17"/>
        <v>0</v>
      </c>
      <c r="AI1914" s="560">
        <f t="shared" si="12"/>
        <v>0</v>
      </c>
      <c r="AJ1914" s="294">
        <f t="shared" si="5"/>
        <v>1790100</v>
      </c>
      <c r="AK1914" s="294">
        <f t="shared" si="18"/>
        <v>1790100</v>
      </c>
      <c r="AL1914" s="103"/>
      <c r="AM1914" s="103"/>
    </row>
    <row r="1915">
      <c r="A1915" s="290">
        <v>1904.0</v>
      </c>
      <c r="B1915" s="291">
        <v>45989.0</v>
      </c>
      <c r="C1915" s="99"/>
      <c r="D1915" s="292" t="s">
        <v>4719</v>
      </c>
      <c r="E1915" s="525" t="s">
        <v>4720</v>
      </c>
      <c r="F1915" s="292" t="s">
        <v>4955</v>
      </c>
      <c r="G1915" s="290" t="s">
        <v>64</v>
      </c>
      <c r="H1915" s="290" t="s">
        <v>41</v>
      </c>
      <c r="I1915" s="290" t="s">
        <v>643</v>
      </c>
      <c r="J1915" s="97">
        <v>5.0</v>
      </c>
      <c r="K1915" s="293">
        <v>8.0</v>
      </c>
      <c r="L1915" s="98"/>
      <c r="M1915" s="98"/>
      <c r="N1915" s="98"/>
      <c r="O1915" s="98"/>
      <c r="P1915" s="527"/>
      <c r="Q1915" s="99"/>
      <c r="R1915" s="99"/>
      <c r="S1915" s="525" t="s">
        <v>89</v>
      </c>
      <c r="T1915" s="290" t="s">
        <v>66</v>
      </c>
      <c r="U1915" s="290" t="s">
        <v>1259</v>
      </c>
      <c r="V1915" s="290" t="s">
        <v>1984</v>
      </c>
      <c r="W1915" s="100"/>
      <c r="X1915" s="100"/>
      <c r="Y1915" s="100"/>
      <c r="Z1915" s="100"/>
      <c r="AA1915" s="294">
        <v>1716000.0</v>
      </c>
      <c r="AB1915" s="294">
        <v>6006000.0</v>
      </c>
      <c r="AC1915" s="530" t="s">
        <v>4956</v>
      </c>
      <c r="AD1915" s="290">
        <v>22008.0</v>
      </c>
      <c r="AE1915" s="99"/>
      <c r="AF1915" s="290" t="str">
        <f t="shared" si="1"/>
        <v>Buenos Aires, Argentina</v>
      </c>
      <c r="AG1915" s="525">
        <f t="shared" si="2"/>
        <v>13</v>
      </c>
      <c r="AH1915" s="560">
        <f t="shared" si="17"/>
        <v>0</v>
      </c>
      <c r="AI1915" s="560">
        <f t="shared" si="12"/>
        <v>0</v>
      </c>
      <c r="AJ1915" s="294">
        <f t="shared" si="5"/>
        <v>7722000</v>
      </c>
      <c r="AK1915" s="294">
        <f t="shared" si="18"/>
        <v>7722000</v>
      </c>
      <c r="AL1915" s="103"/>
      <c r="AM1915" s="103"/>
    </row>
    <row r="1916">
      <c r="A1916" s="290">
        <v>1905.0</v>
      </c>
      <c r="B1916" s="291">
        <v>45989.0</v>
      </c>
      <c r="C1916" s="99"/>
      <c r="D1916" s="292" t="s">
        <v>4957</v>
      </c>
      <c r="E1916" s="525" t="s">
        <v>4958</v>
      </c>
      <c r="F1916" s="292" t="s">
        <v>2237</v>
      </c>
      <c r="G1916" s="290" t="s">
        <v>40</v>
      </c>
      <c r="H1916" s="290" t="s">
        <v>41</v>
      </c>
      <c r="I1916" s="290" t="s">
        <v>42</v>
      </c>
      <c r="J1916" s="97">
        <v>1.0</v>
      </c>
      <c r="K1916" s="293">
        <v>2.0</v>
      </c>
      <c r="L1916" s="98"/>
      <c r="M1916" s="293">
        <v>1.0</v>
      </c>
      <c r="N1916" s="98"/>
      <c r="O1916" s="98"/>
      <c r="P1916" s="527"/>
      <c r="Q1916" s="99"/>
      <c r="R1916" s="99"/>
      <c r="S1916" s="525" t="s">
        <v>65</v>
      </c>
      <c r="T1916" s="290" t="s">
        <v>66</v>
      </c>
      <c r="U1916" s="290" t="s">
        <v>45</v>
      </c>
      <c r="V1916" s="290" t="s">
        <v>2922</v>
      </c>
      <c r="W1916" s="100"/>
      <c r="X1916" s="100"/>
      <c r="Y1916" s="100"/>
      <c r="Z1916" s="100"/>
      <c r="AA1916" s="294">
        <v>390000.0</v>
      </c>
      <c r="AB1916" s="294">
        <v>1365000.0</v>
      </c>
      <c r="AC1916" s="530" t="s">
        <v>4959</v>
      </c>
      <c r="AD1916" s="290">
        <v>21644.0</v>
      </c>
      <c r="AE1916" s="99"/>
      <c r="AF1916" s="290" t="str">
        <f t="shared" si="1"/>
        <v>Buenos Aires, Argentina</v>
      </c>
      <c r="AG1916" s="525">
        <f t="shared" si="2"/>
        <v>4</v>
      </c>
      <c r="AH1916" s="560">
        <f t="shared" si="17"/>
        <v>0</v>
      </c>
      <c r="AI1916" s="560">
        <f t="shared" si="12"/>
        <v>0</v>
      </c>
      <c r="AJ1916" s="294">
        <f t="shared" si="5"/>
        <v>1755000</v>
      </c>
      <c r="AK1916" s="294">
        <f t="shared" si="18"/>
        <v>1755000</v>
      </c>
      <c r="AL1916" s="103"/>
      <c r="AM1916" s="103"/>
    </row>
    <row r="1917">
      <c r="A1917" s="290">
        <v>1906.0</v>
      </c>
      <c r="B1917" s="291">
        <v>45989.0</v>
      </c>
      <c r="C1917" s="99"/>
      <c r="D1917" s="292" t="s">
        <v>4960</v>
      </c>
      <c r="E1917" s="525" t="s">
        <v>2093</v>
      </c>
      <c r="F1917" s="292" t="s">
        <v>2052</v>
      </c>
      <c r="G1917" s="290" t="s">
        <v>64</v>
      </c>
      <c r="H1917" s="290" t="s">
        <v>41</v>
      </c>
      <c r="I1917" s="290" t="s">
        <v>643</v>
      </c>
      <c r="J1917" s="97">
        <v>2.0</v>
      </c>
      <c r="K1917" s="293">
        <v>1.0</v>
      </c>
      <c r="L1917" s="98"/>
      <c r="M1917" s="98"/>
      <c r="N1917" s="98"/>
      <c r="O1917" s="98"/>
      <c r="P1917" s="527"/>
      <c r="Q1917" s="99"/>
      <c r="R1917" s="99"/>
      <c r="S1917" s="525" t="s">
        <v>65</v>
      </c>
      <c r="T1917" s="290" t="s">
        <v>66</v>
      </c>
      <c r="U1917" s="290" t="s">
        <v>1259</v>
      </c>
      <c r="V1917" s="290" t="s">
        <v>1984</v>
      </c>
      <c r="W1917" s="100"/>
      <c r="X1917" s="100"/>
      <c r="Y1917" s="100"/>
      <c r="Z1917" s="100"/>
      <c r="AA1917" s="294">
        <v>386100.0</v>
      </c>
      <c r="AB1917" s="294">
        <v>1501500.0</v>
      </c>
      <c r="AC1917" s="530" t="s">
        <v>4961</v>
      </c>
      <c r="AD1917" s="290">
        <v>22252.0</v>
      </c>
      <c r="AE1917" s="99"/>
      <c r="AF1917" s="290" t="str">
        <f t="shared" si="1"/>
        <v>Buenos Aires, Argentina</v>
      </c>
      <c r="AG1917" s="525">
        <f t="shared" si="2"/>
        <v>3</v>
      </c>
      <c r="AH1917" s="560">
        <f t="shared" si="17"/>
        <v>0</v>
      </c>
      <c r="AI1917" s="560">
        <f t="shared" si="12"/>
        <v>0</v>
      </c>
      <c r="AJ1917" s="294">
        <f t="shared" si="5"/>
        <v>1887600</v>
      </c>
      <c r="AK1917" s="294">
        <f t="shared" si="18"/>
        <v>1887600</v>
      </c>
      <c r="AL1917" s="103"/>
      <c r="AM1917" s="103"/>
    </row>
    <row r="1918">
      <c r="A1918" s="290">
        <v>1907.0</v>
      </c>
      <c r="B1918" s="291">
        <v>45989.0</v>
      </c>
      <c r="C1918" s="99"/>
      <c r="D1918" s="292" t="s">
        <v>4905</v>
      </c>
      <c r="E1918" s="525" t="s">
        <v>4962</v>
      </c>
      <c r="F1918" s="292" t="s">
        <v>4963</v>
      </c>
      <c r="G1918" s="290" t="s">
        <v>64</v>
      </c>
      <c r="H1918" s="290" t="s">
        <v>41</v>
      </c>
      <c r="I1918" s="290" t="s">
        <v>643</v>
      </c>
      <c r="J1918" s="98"/>
      <c r="K1918" s="98"/>
      <c r="L1918" s="98"/>
      <c r="M1918" s="98"/>
      <c r="N1918" s="98"/>
      <c r="O1918" s="98"/>
      <c r="P1918" s="527"/>
      <c r="Q1918" s="99"/>
      <c r="R1918" s="99"/>
      <c r="S1918" s="525" t="s">
        <v>114</v>
      </c>
      <c r="T1918" s="290" t="s">
        <v>66</v>
      </c>
      <c r="U1918" s="290" t="s">
        <v>99</v>
      </c>
      <c r="V1918" s="290" t="s">
        <v>1984</v>
      </c>
      <c r="W1918" s="100"/>
      <c r="X1918" s="100"/>
      <c r="Y1918" s="100"/>
      <c r="Z1918" s="100"/>
      <c r="AA1918" s="294">
        <v>0.0</v>
      </c>
      <c r="AB1918" s="294">
        <v>312000.0</v>
      </c>
      <c r="AC1918" s="530" t="s">
        <v>4964</v>
      </c>
      <c r="AD1918" s="290">
        <v>22086.0</v>
      </c>
      <c r="AE1918" s="99"/>
      <c r="AF1918" s="290" t="str">
        <f t="shared" si="1"/>
        <v>Buenos Aires, Argentina</v>
      </c>
      <c r="AG1918" s="525">
        <f t="shared" si="2"/>
        <v>0</v>
      </c>
      <c r="AH1918" s="560">
        <f t="shared" si="17"/>
        <v>0</v>
      </c>
      <c r="AI1918" s="560">
        <f t="shared" si="12"/>
        <v>0</v>
      </c>
      <c r="AJ1918" s="294">
        <f t="shared" si="5"/>
        <v>312000</v>
      </c>
      <c r="AK1918" s="294">
        <f t="shared" si="18"/>
        <v>312000</v>
      </c>
      <c r="AL1918" s="103"/>
      <c r="AM1918" s="103"/>
    </row>
    <row r="1919">
      <c r="A1919" s="290">
        <v>1908.0</v>
      </c>
      <c r="B1919" s="291">
        <v>45989.0</v>
      </c>
      <c r="C1919" s="99"/>
      <c r="D1919" s="292" t="s">
        <v>4965</v>
      </c>
      <c r="E1919" s="525" t="s">
        <v>4490</v>
      </c>
      <c r="F1919" s="292" t="s">
        <v>4966</v>
      </c>
      <c r="G1919" s="290" t="s">
        <v>64</v>
      </c>
      <c r="H1919" s="290" t="s">
        <v>41</v>
      </c>
      <c r="I1919" s="290" t="s">
        <v>643</v>
      </c>
      <c r="J1919" s="98"/>
      <c r="K1919" s="98"/>
      <c r="L1919" s="98"/>
      <c r="M1919" s="98"/>
      <c r="N1919" s="98"/>
      <c r="O1919" s="98"/>
      <c r="P1919" s="527"/>
      <c r="Q1919" s="99"/>
      <c r="R1919" s="99"/>
      <c r="S1919" s="525" t="s">
        <v>72</v>
      </c>
      <c r="T1919" s="290" t="s">
        <v>66</v>
      </c>
      <c r="U1919" s="290" t="s">
        <v>99</v>
      </c>
      <c r="V1919" s="290" t="s">
        <v>1984</v>
      </c>
      <c r="W1919" s="100"/>
      <c r="X1919" s="100"/>
      <c r="Y1919" s="100"/>
      <c r="Z1919" s="100"/>
      <c r="AA1919" s="294">
        <v>0.0</v>
      </c>
      <c r="AB1919" s="294">
        <v>327600.0</v>
      </c>
      <c r="AC1919" s="530" t="s">
        <v>4967</v>
      </c>
      <c r="AD1919" s="290">
        <v>22064.0</v>
      </c>
      <c r="AE1919" s="99"/>
      <c r="AF1919" s="290" t="str">
        <f t="shared" si="1"/>
        <v>Buenos Aires, Argentina</v>
      </c>
      <c r="AG1919" s="525">
        <f t="shared" si="2"/>
        <v>0</v>
      </c>
      <c r="AH1919" s="560">
        <f t="shared" si="17"/>
        <v>0</v>
      </c>
      <c r="AI1919" s="560">
        <f t="shared" si="12"/>
        <v>0</v>
      </c>
      <c r="AJ1919" s="294">
        <f t="shared" si="5"/>
        <v>327600</v>
      </c>
      <c r="AK1919" s="294">
        <f t="shared" si="18"/>
        <v>327600</v>
      </c>
      <c r="AL1919" s="103"/>
      <c r="AM1919" s="103"/>
    </row>
    <row r="1920">
      <c r="A1920" s="290">
        <v>1909.0</v>
      </c>
      <c r="B1920" s="291">
        <v>45989.0</v>
      </c>
      <c r="C1920" s="99"/>
      <c r="D1920" s="292" t="s">
        <v>4726</v>
      </c>
      <c r="E1920" s="525" t="s">
        <v>4727</v>
      </c>
      <c r="F1920" s="292" t="s">
        <v>1415</v>
      </c>
      <c r="G1920" s="290" t="s">
        <v>64</v>
      </c>
      <c r="H1920" s="290" t="s">
        <v>41</v>
      </c>
      <c r="I1920" s="290" t="s">
        <v>42</v>
      </c>
      <c r="J1920" s="98"/>
      <c r="K1920" s="293">
        <v>1.0</v>
      </c>
      <c r="L1920" s="98"/>
      <c r="M1920" s="98"/>
      <c r="N1920" s="98"/>
      <c r="O1920" s="98"/>
      <c r="P1920" s="527"/>
      <c r="Q1920" s="99"/>
      <c r="R1920" s="99"/>
      <c r="S1920" s="525" t="s">
        <v>114</v>
      </c>
      <c r="T1920" s="290" t="s">
        <v>839</v>
      </c>
      <c r="U1920" s="290" t="s">
        <v>1259</v>
      </c>
      <c r="V1920" s="290" t="s">
        <v>2922</v>
      </c>
      <c r="W1920" s="100"/>
      <c r="X1920" s="100"/>
      <c r="Y1920" s="100"/>
      <c r="Z1920" s="100"/>
      <c r="AA1920" s="294">
        <v>117000.0</v>
      </c>
      <c r="AB1920" s="294">
        <v>409500.0</v>
      </c>
      <c r="AC1920" s="530" t="s">
        <v>4968</v>
      </c>
      <c r="AD1920" s="290">
        <v>22088.0</v>
      </c>
      <c r="AE1920" s="99"/>
      <c r="AF1920" s="290" t="str">
        <f t="shared" si="1"/>
        <v>Neuquén, Argentina</v>
      </c>
      <c r="AG1920" s="525">
        <f t="shared" si="2"/>
        <v>1</v>
      </c>
      <c r="AH1920" s="560">
        <f t="shared" si="17"/>
        <v>0</v>
      </c>
      <c r="AI1920" s="560">
        <f t="shared" si="12"/>
        <v>0</v>
      </c>
      <c r="AJ1920" s="294">
        <f t="shared" si="5"/>
        <v>526500</v>
      </c>
      <c r="AK1920" s="294">
        <f t="shared" si="18"/>
        <v>526500</v>
      </c>
      <c r="AL1920" s="103"/>
      <c r="AM1920" s="103"/>
    </row>
    <row r="1921">
      <c r="A1921" s="290">
        <v>1910.0</v>
      </c>
      <c r="B1921" s="291">
        <v>45989.0</v>
      </c>
      <c r="C1921" s="99"/>
      <c r="D1921" s="292" t="s">
        <v>4897</v>
      </c>
      <c r="E1921" s="525" t="s">
        <v>4898</v>
      </c>
      <c r="F1921" s="292" t="s">
        <v>4901</v>
      </c>
      <c r="G1921" s="290" t="s">
        <v>64</v>
      </c>
      <c r="H1921" s="290" t="s">
        <v>41</v>
      </c>
      <c r="I1921" s="290" t="s">
        <v>42</v>
      </c>
      <c r="J1921" s="98"/>
      <c r="K1921" s="98"/>
      <c r="L1921" s="98"/>
      <c r="M1921" s="98"/>
      <c r="N1921" s="98"/>
      <c r="O1921" s="98"/>
      <c r="P1921" s="293">
        <v>1.0</v>
      </c>
      <c r="Q1921" s="99"/>
      <c r="R1921" s="99"/>
      <c r="S1921" s="525" t="s">
        <v>189</v>
      </c>
      <c r="T1921" s="290" t="s">
        <v>66</v>
      </c>
      <c r="U1921" s="290" t="s">
        <v>1259</v>
      </c>
      <c r="V1921" s="290" t="s">
        <v>4626</v>
      </c>
      <c r="W1921" s="100"/>
      <c r="X1921" s="100"/>
      <c r="Y1921" s="100"/>
      <c r="Z1921" s="100"/>
      <c r="AA1921" s="294">
        <v>156000.0</v>
      </c>
      <c r="AB1921" s="294">
        <v>546000.0</v>
      </c>
      <c r="AC1921" s="530" t="s">
        <v>4969</v>
      </c>
      <c r="AD1921" s="290">
        <v>22164.0</v>
      </c>
      <c r="AE1921" s="99"/>
      <c r="AF1921" s="290" t="str">
        <f t="shared" si="1"/>
        <v>Buenos Aires, Argentina</v>
      </c>
      <c r="AG1921" s="525">
        <f t="shared" si="2"/>
        <v>1</v>
      </c>
      <c r="AH1921" s="560">
        <f t="shared" si="17"/>
        <v>0</v>
      </c>
      <c r="AI1921" s="560">
        <f t="shared" si="12"/>
        <v>0</v>
      </c>
      <c r="AJ1921" s="294">
        <f t="shared" si="5"/>
        <v>702000</v>
      </c>
      <c r="AK1921" s="294">
        <f t="shared" si="18"/>
        <v>702000</v>
      </c>
      <c r="AL1921" s="103"/>
      <c r="AM1921" s="103"/>
    </row>
    <row r="1922">
      <c r="A1922" s="290">
        <v>1911.0</v>
      </c>
      <c r="B1922" s="291">
        <v>45989.0</v>
      </c>
      <c r="C1922" s="99"/>
      <c r="D1922" s="292" t="s">
        <v>4897</v>
      </c>
      <c r="E1922" s="525" t="s">
        <v>4898</v>
      </c>
      <c r="F1922" s="292" t="s">
        <v>4970</v>
      </c>
      <c r="G1922" s="290" t="s">
        <v>64</v>
      </c>
      <c r="H1922" s="290" t="s">
        <v>41</v>
      </c>
      <c r="I1922" s="290" t="s">
        <v>643</v>
      </c>
      <c r="J1922" s="98"/>
      <c r="K1922" s="98"/>
      <c r="L1922" s="98"/>
      <c r="M1922" s="98"/>
      <c r="N1922" s="98"/>
      <c r="O1922" s="98"/>
      <c r="P1922" s="527"/>
      <c r="Q1922" s="99"/>
      <c r="R1922" s="99"/>
      <c r="S1922" s="525" t="s">
        <v>189</v>
      </c>
      <c r="T1922" s="290" t="s">
        <v>66</v>
      </c>
      <c r="U1922" s="290" t="s">
        <v>99</v>
      </c>
      <c r="V1922" s="290" t="s">
        <v>1984</v>
      </c>
      <c r="W1922" s="294">
        <v>351899.0</v>
      </c>
      <c r="X1922" s="101">
        <v>1407596.0</v>
      </c>
      <c r="Y1922" s="100"/>
      <c r="Z1922" s="100"/>
      <c r="AA1922" s="294">
        <v>0.0</v>
      </c>
      <c r="AB1922" s="294">
        <v>0.0</v>
      </c>
      <c r="AC1922" s="530" t="s">
        <v>4971</v>
      </c>
      <c r="AD1922" s="290">
        <v>22166.0</v>
      </c>
      <c r="AE1922" s="99"/>
      <c r="AF1922" s="290" t="str">
        <f t="shared" si="1"/>
        <v>Buenos Aires, Argentina</v>
      </c>
      <c r="AG1922" s="525">
        <f t="shared" si="2"/>
        <v>0</v>
      </c>
      <c r="AH1922" s="560">
        <f t="shared" si="17"/>
        <v>1759495</v>
      </c>
      <c r="AI1922" s="560">
        <f t="shared" si="12"/>
        <v>0</v>
      </c>
      <c r="AJ1922" s="294">
        <f t="shared" si="5"/>
        <v>0</v>
      </c>
      <c r="AK1922" s="294">
        <f t="shared" si="18"/>
        <v>1759495</v>
      </c>
      <c r="AL1922" s="103"/>
      <c r="AM1922" s="103"/>
    </row>
    <row r="1923">
      <c r="A1923" s="290">
        <v>1912.0</v>
      </c>
      <c r="B1923" s="291">
        <v>45989.0</v>
      </c>
      <c r="C1923" s="99"/>
      <c r="D1923" s="292" t="s">
        <v>4972</v>
      </c>
      <c r="E1923" s="525" t="s">
        <v>2265</v>
      </c>
      <c r="F1923" s="292" t="s">
        <v>1878</v>
      </c>
      <c r="G1923" s="290" t="s">
        <v>64</v>
      </c>
      <c r="H1923" s="290" t="s">
        <v>41</v>
      </c>
      <c r="I1923" s="290" t="s">
        <v>643</v>
      </c>
      <c r="J1923" s="98"/>
      <c r="K1923" s="98"/>
      <c r="L1923" s="98"/>
      <c r="M1923" s="98"/>
      <c r="N1923" s="293">
        <v>1.0</v>
      </c>
      <c r="O1923" s="98"/>
      <c r="P1923" s="527"/>
      <c r="Q1923" s="99"/>
      <c r="R1923" s="99"/>
      <c r="S1923" s="525" t="s">
        <v>65</v>
      </c>
      <c r="T1923" s="290" t="s">
        <v>58</v>
      </c>
      <c r="U1923" s="290" t="s">
        <v>1259</v>
      </c>
      <c r="V1923" s="290" t="s">
        <v>1984</v>
      </c>
      <c r="W1923" s="100"/>
      <c r="X1923" s="100"/>
      <c r="Y1923" s="100"/>
      <c r="Z1923" s="100"/>
      <c r="AA1923" s="294">
        <v>156000.0</v>
      </c>
      <c r="AB1923" s="294">
        <v>546000.0</v>
      </c>
      <c r="AC1923" s="530" t="s">
        <v>4973</v>
      </c>
      <c r="AD1923" s="290">
        <v>21968.0</v>
      </c>
      <c r="AE1923" s="99"/>
      <c r="AF1923" s="290" t="str">
        <f t="shared" si="1"/>
        <v>Córdoba, Argentina</v>
      </c>
      <c r="AG1923" s="525">
        <f t="shared" si="2"/>
        <v>1</v>
      </c>
      <c r="AH1923" s="560">
        <f t="shared" si="17"/>
        <v>0</v>
      </c>
      <c r="AI1923" s="560">
        <f t="shared" si="12"/>
        <v>0</v>
      </c>
      <c r="AJ1923" s="294">
        <f t="shared" si="5"/>
        <v>702000</v>
      </c>
      <c r="AK1923" s="294">
        <f t="shared" si="18"/>
        <v>702000</v>
      </c>
      <c r="AL1923" s="103"/>
      <c r="AM1923" s="103"/>
    </row>
    <row r="1924">
      <c r="A1924" s="290">
        <v>1913.0</v>
      </c>
      <c r="B1924" s="291">
        <v>45989.0</v>
      </c>
      <c r="C1924" s="99"/>
      <c r="D1924" s="292" t="s">
        <v>4972</v>
      </c>
      <c r="E1924" s="525" t="s">
        <v>2265</v>
      </c>
      <c r="F1924" s="292" t="s">
        <v>2526</v>
      </c>
      <c r="G1924" s="290" t="s">
        <v>64</v>
      </c>
      <c r="H1924" s="290" t="s">
        <v>41</v>
      </c>
      <c r="I1924" s="290" t="s">
        <v>643</v>
      </c>
      <c r="J1924" s="98"/>
      <c r="K1924" s="98"/>
      <c r="L1924" s="98"/>
      <c r="M1924" s="98"/>
      <c r="N1924" s="98"/>
      <c r="O1924" s="98"/>
      <c r="P1924" s="527"/>
      <c r="Q1924" s="99"/>
      <c r="R1924" s="99"/>
      <c r="S1924" s="525" t="s">
        <v>65</v>
      </c>
      <c r="T1924" s="290" t="s">
        <v>58</v>
      </c>
      <c r="U1924" s="290" t="s">
        <v>99</v>
      </c>
      <c r="V1924" s="290" t="s">
        <v>1984</v>
      </c>
      <c r="W1924" s="294">
        <v>605982.0</v>
      </c>
      <c r="X1924" s="101">
        <v>6696300.0</v>
      </c>
      <c r="Y1924" s="100"/>
      <c r="Z1924" s="100"/>
      <c r="AA1924" s="294">
        <v>0.0</v>
      </c>
      <c r="AB1924" s="294">
        <v>0.0</v>
      </c>
      <c r="AC1924" s="530" t="s">
        <v>4973</v>
      </c>
      <c r="AD1924" s="290">
        <v>21968.0</v>
      </c>
      <c r="AE1924" s="99"/>
      <c r="AF1924" s="290" t="str">
        <f t="shared" si="1"/>
        <v>Córdoba, Argentina</v>
      </c>
      <c r="AG1924" s="525">
        <f t="shared" si="2"/>
        <v>0</v>
      </c>
      <c r="AH1924" s="560">
        <f t="shared" si="17"/>
        <v>7302282</v>
      </c>
      <c r="AI1924" s="560">
        <f t="shared" si="12"/>
        <v>0</v>
      </c>
      <c r="AJ1924" s="294">
        <f t="shared" si="5"/>
        <v>0</v>
      </c>
      <c r="AK1924" s="294">
        <f t="shared" si="18"/>
        <v>7302282</v>
      </c>
      <c r="AL1924" s="103"/>
      <c r="AM1924" s="103"/>
    </row>
    <row r="1925">
      <c r="A1925" s="290">
        <v>1914.0</v>
      </c>
      <c r="B1925" s="291">
        <v>45989.0</v>
      </c>
      <c r="C1925" s="99"/>
      <c r="D1925" s="292" t="s">
        <v>4974</v>
      </c>
      <c r="E1925" s="525" t="s">
        <v>1000</v>
      </c>
      <c r="F1925" s="292" t="s">
        <v>1592</v>
      </c>
      <c r="G1925" s="290" t="s">
        <v>64</v>
      </c>
      <c r="H1925" s="290" t="s">
        <v>41</v>
      </c>
      <c r="I1925" s="290" t="s">
        <v>643</v>
      </c>
      <c r="J1925" s="97">
        <v>1.0</v>
      </c>
      <c r="K1925" s="293">
        <v>1.0</v>
      </c>
      <c r="L1925" s="98"/>
      <c r="M1925" s="98"/>
      <c r="N1925" s="98"/>
      <c r="O1925" s="98"/>
      <c r="P1925" s="527"/>
      <c r="Q1925" s="99"/>
      <c r="R1925" s="99"/>
      <c r="S1925" s="525" t="s">
        <v>65</v>
      </c>
      <c r="T1925" s="290" t="s">
        <v>66</v>
      </c>
      <c r="U1925" s="290" t="s">
        <v>1259</v>
      </c>
      <c r="V1925" s="290" t="s">
        <v>1984</v>
      </c>
      <c r="W1925" s="100"/>
      <c r="X1925" s="100"/>
      <c r="Y1925" s="100"/>
      <c r="Z1925" s="100"/>
      <c r="AA1925" s="294">
        <v>273000.0</v>
      </c>
      <c r="AB1925" s="294">
        <v>955500.0</v>
      </c>
      <c r="AC1925" s="530" t="s">
        <v>4975</v>
      </c>
      <c r="AD1925" s="290">
        <v>22038.0</v>
      </c>
      <c r="AE1925" s="99"/>
      <c r="AF1925" s="290" t="str">
        <f t="shared" si="1"/>
        <v>Buenos Aires, Argentina</v>
      </c>
      <c r="AG1925" s="525">
        <f t="shared" si="2"/>
        <v>2</v>
      </c>
      <c r="AH1925" s="560">
        <f t="shared" si="17"/>
        <v>0</v>
      </c>
      <c r="AI1925" s="560">
        <f t="shared" si="12"/>
        <v>0</v>
      </c>
      <c r="AJ1925" s="294">
        <f t="shared" si="5"/>
        <v>1228500</v>
      </c>
      <c r="AK1925" s="294">
        <f t="shared" si="18"/>
        <v>1228500</v>
      </c>
      <c r="AL1925" s="103"/>
      <c r="AM1925" s="103"/>
    </row>
    <row r="1926">
      <c r="A1926" s="290">
        <v>1915.0</v>
      </c>
      <c r="B1926" s="291">
        <v>45991.0</v>
      </c>
      <c r="C1926" s="99"/>
      <c r="D1926" s="292" t="s">
        <v>4976</v>
      </c>
      <c r="E1926" s="525" t="s">
        <v>4977</v>
      </c>
      <c r="F1926" s="292" t="s">
        <v>4382</v>
      </c>
      <c r="G1926" s="290" t="s">
        <v>64</v>
      </c>
      <c r="H1926" s="290" t="s">
        <v>41</v>
      </c>
      <c r="I1926" s="290" t="s">
        <v>643</v>
      </c>
      <c r="J1926" s="98"/>
      <c r="K1926" s="293">
        <v>1.0</v>
      </c>
      <c r="L1926" s="98"/>
      <c r="M1926" s="98"/>
      <c r="N1926" s="98"/>
      <c r="O1926" s="98"/>
      <c r="P1926" s="527"/>
      <c r="Q1926" s="99"/>
      <c r="R1926" s="99"/>
      <c r="S1926" s="525" t="s">
        <v>189</v>
      </c>
      <c r="T1926" s="290" t="s">
        <v>66</v>
      </c>
      <c r="U1926" s="290" t="s">
        <v>99</v>
      </c>
      <c r="V1926" s="290" t="s">
        <v>1984</v>
      </c>
      <c r="W1926" s="100"/>
      <c r="X1926" s="100"/>
      <c r="Y1926" s="100"/>
      <c r="Z1926" s="100"/>
      <c r="AA1926" s="294">
        <v>120000.0</v>
      </c>
      <c r="AB1926" s="294">
        <v>292000.0</v>
      </c>
      <c r="AC1926" s="561" t="s">
        <v>4978</v>
      </c>
      <c r="AD1926" s="290">
        <v>22348.0</v>
      </c>
      <c r="AE1926" s="99"/>
      <c r="AF1926" s="290" t="str">
        <f t="shared" si="1"/>
        <v>Buenos Aires, Argentina</v>
      </c>
      <c r="AG1926" s="525">
        <f t="shared" si="2"/>
        <v>1</v>
      </c>
      <c r="AH1926" s="560">
        <f t="shared" si="17"/>
        <v>0</v>
      </c>
      <c r="AI1926" s="560">
        <f t="shared" si="12"/>
        <v>0</v>
      </c>
      <c r="AJ1926" s="294">
        <f t="shared" si="5"/>
        <v>412000</v>
      </c>
      <c r="AK1926" s="294">
        <f t="shared" si="18"/>
        <v>412000</v>
      </c>
      <c r="AL1926" s="103"/>
      <c r="AM1926" s="103"/>
    </row>
    <row r="1927">
      <c r="A1927" s="290">
        <v>1916.0</v>
      </c>
      <c r="B1927" s="291">
        <v>45991.0</v>
      </c>
      <c r="C1927" s="99"/>
      <c r="D1927" s="292" t="s">
        <v>1757</v>
      </c>
      <c r="E1927" s="525" t="s">
        <v>1758</v>
      </c>
      <c r="F1927" s="292" t="s">
        <v>1878</v>
      </c>
      <c r="G1927" s="290" t="s">
        <v>64</v>
      </c>
      <c r="H1927" s="290" t="s">
        <v>41</v>
      </c>
      <c r="I1927" s="290" t="s">
        <v>643</v>
      </c>
      <c r="J1927" s="98"/>
      <c r="K1927" s="98"/>
      <c r="L1927" s="98"/>
      <c r="M1927" s="98"/>
      <c r="N1927" s="293">
        <v>1.0</v>
      </c>
      <c r="O1927" s="98"/>
      <c r="P1927" s="527"/>
      <c r="Q1927" s="99"/>
      <c r="R1927" s="99"/>
      <c r="S1927" s="525" t="s">
        <v>204</v>
      </c>
      <c r="T1927" s="290" t="s">
        <v>539</v>
      </c>
      <c r="U1927" s="290" t="s">
        <v>99</v>
      </c>
      <c r="V1927" s="290" t="s">
        <v>1984</v>
      </c>
      <c r="W1927" s="100"/>
      <c r="X1927" s="100"/>
      <c r="Y1927" s="100"/>
      <c r="Z1927" s="100"/>
      <c r="AA1927" s="294">
        <v>160000.0</v>
      </c>
      <c r="AB1927" s="294">
        <v>0.0</v>
      </c>
      <c r="AC1927" s="530" t="s">
        <v>4979</v>
      </c>
      <c r="AD1927" s="290">
        <v>22402.0</v>
      </c>
      <c r="AE1927" s="99"/>
      <c r="AF1927" s="290" t="str">
        <f t="shared" si="1"/>
        <v>Misiones, Argentina</v>
      </c>
      <c r="AG1927" s="525">
        <f t="shared" si="2"/>
        <v>1</v>
      </c>
      <c r="AH1927" s="560">
        <f t="shared" si="17"/>
        <v>0</v>
      </c>
      <c r="AI1927" s="560">
        <f t="shared" si="12"/>
        <v>0</v>
      </c>
      <c r="AJ1927" s="294">
        <f t="shared" si="5"/>
        <v>160000</v>
      </c>
      <c r="AK1927" s="294">
        <f t="shared" si="18"/>
        <v>160000</v>
      </c>
      <c r="AL1927" s="103"/>
      <c r="AM1927" s="103"/>
    </row>
    <row r="1928">
      <c r="A1928" s="290">
        <v>1917.0</v>
      </c>
      <c r="B1928" s="291">
        <v>45991.0</v>
      </c>
      <c r="C1928" s="99"/>
      <c r="D1928" s="292" t="s">
        <v>4938</v>
      </c>
      <c r="E1928" s="525" t="s">
        <v>4939</v>
      </c>
      <c r="F1928" s="292" t="s">
        <v>1878</v>
      </c>
      <c r="G1928" s="290" t="s">
        <v>64</v>
      </c>
      <c r="H1928" s="290" t="s">
        <v>41</v>
      </c>
      <c r="I1928" s="290" t="s">
        <v>643</v>
      </c>
      <c r="J1928" s="98"/>
      <c r="K1928" s="98"/>
      <c r="L1928" s="98"/>
      <c r="M1928" s="98"/>
      <c r="N1928" s="293">
        <v>1.0</v>
      </c>
      <c r="O1928" s="98"/>
      <c r="P1928" s="527"/>
      <c r="Q1928" s="99"/>
      <c r="R1928" s="99"/>
      <c r="S1928" s="525" t="s">
        <v>65</v>
      </c>
      <c r="T1928" s="290" t="s">
        <v>83</v>
      </c>
      <c r="U1928" s="290" t="s">
        <v>99</v>
      </c>
      <c r="V1928" s="290" t="s">
        <v>1984</v>
      </c>
      <c r="W1928" s="100"/>
      <c r="X1928" s="100"/>
      <c r="Y1928" s="100"/>
      <c r="Z1928" s="100"/>
      <c r="AA1928" s="294">
        <v>160000.0</v>
      </c>
      <c r="AB1928" s="294">
        <v>0.0</v>
      </c>
      <c r="AC1928" s="530" t="s">
        <v>4980</v>
      </c>
      <c r="AD1928" s="290">
        <v>22418.0</v>
      </c>
      <c r="AE1928" s="99"/>
      <c r="AF1928" s="290" t="str">
        <f t="shared" si="1"/>
        <v>Capital Federal, Argentina</v>
      </c>
      <c r="AG1928" s="525">
        <f t="shared" si="2"/>
        <v>1</v>
      </c>
      <c r="AH1928" s="560">
        <f t="shared" si="17"/>
        <v>0</v>
      </c>
      <c r="AI1928" s="560">
        <f t="shared" si="12"/>
        <v>0</v>
      </c>
      <c r="AJ1928" s="294">
        <f t="shared" si="5"/>
        <v>160000</v>
      </c>
      <c r="AK1928" s="294">
        <f t="shared" si="18"/>
        <v>160000</v>
      </c>
      <c r="AL1928" s="103"/>
      <c r="AM1928" s="103"/>
    </row>
    <row r="1929">
      <c r="A1929" s="290">
        <v>1918.0</v>
      </c>
      <c r="B1929" s="291">
        <v>45991.0</v>
      </c>
      <c r="C1929" s="99"/>
      <c r="D1929" s="292" t="s">
        <v>3007</v>
      </c>
      <c r="E1929" s="525" t="s">
        <v>3008</v>
      </c>
      <c r="F1929" s="292" t="s">
        <v>1427</v>
      </c>
      <c r="G1929" s="290" t="s">
        <v>64</v>
      </c>
      <c r="H1929" s="290" t="s">
        <v>41</v>
      </c>
      <c r="I1929" s="290" t="s">
        <v>643</v>
      </c>
      <c r="J1929" s="98"/>
      <c r="K1929" s="293">
        <v>2.0</v>
      </c>
      <c r="L1929" s="98"/>
      <c r="M1929" s="98"/>
      <c r="N1929" s="98"/>
      <c r="O1929" s="98"/>
      <c r="P1929" s="527"/>
      <c r="Q1929" s="99"/>
      <c r="R1929" s="99"/>
      <c r="S1929" s="525" t="s">
        <v>51</v>
      </c>
      <c r="T1929" s="290" t="s">
        <v>66</v>
      </c>
      <c r="U1929" s="290" t="s">
        <v>99</v>
      </c>
      <c r="V1929" s="290" t="s">
        <v>1984</v>
      </c>
      <c r="W1929" s="100"/>
      <c r="X1929" s="100"/>
      <c r="Y1929" s="100"/>
      <c r="Z1929" s="100"/>
      <c r="AA1929" s="294">
        <v>234000.0</v>
      </c>
      <c r="AB1929" s="294">
        <v>819000.0</v>
      </c>
      <c r="AC1929" s="530" t="s">
        <v>4981</v>
      </c>
      <c r="AD1929" s="290">
        <v>22318.0</v>
      </c>
      <c r="AE1929" s="99"/>
      <c r="AF1929" s="290" t="str">
        <f t="shared" si="1"/>
        <v>Buenos Aires, Argentina</v>
      </c>
      <c r="AG1929" s="525">
        <f t="shared" si="2"/>
        <v>2</v>
      </c>
      <c r="AH1929" s="560">
        <f t="shared" si="17"/>
        <v>0</v>
      </c>
      <c r="AI1929" s="560">
        <f t="shared" si="12"/>
        <v>0</v>
      </c>
      <c r="AJ1929" s="294">
        <f t="shared" si="5"/>
        <v>1053000</v>
      </c>
      <c r="AK1929" s="294">
        <f t="shared" si="18"/>
        <v>1053000</v>
      </c>
      <c r="AL1929" s="103"/>
      <c r="AM1929" s="103"/>
    </row>
    <row r="1930">
      <c r="A1930" s="290">
        <v>1919.0</v>
      </c>
      <c r="B1930" s="291">
        <v>45991.0</v>
      </c>
      <c r="C1930" s="99"/>
      <c r="D1930" s="292" t="s">
        <v>795</v>
      </c>
      <c r="E1930" s="525" t="s">
        <v>796</v>
      </c>
      <c r="F1930" s="292" t="s">
        <v>1427</v>
      </c>
      <c r="G1930" s="290" t="s">
        <v>64</v>
      </c>
      <c r="H1930" s="290" t="s">
        <v>41</v>
      </c>
      <c r="I1930" s="290" t="s">
        <v>643</v>
      </c>
      <c r="J1930" s="98"/>
      <c r="K1930" s="293">
        <v>2.0</v>
      </c>
      <c r="L1930" s="98"/>
      <c r="M1930" s="98"/>
      <c r="N1930" s="98"/>
      <c r="O1930" s="98"/>
      <c r="P1930" s="527"/>
      <c r="Q1930" s="99"/>
      <c r="R1930" s="99"/>
      <c r="S1930" s="525" t="s">
        <v>98</v>
      </c>
      <c r="T1930" s="290" t="s">
        <v>66</v>
      </c>
      <c r="U1930" s="290" t="s">
        <v>99</v>
      </c>
      <c r="V1930" s="290" t="s">
        <v>1984</v>
      </c>
      <c r="W1930" s="100"/>
      <c r="X1930" s="100"/>
      <c r="Y1930" s="100"/>
      <c r="Z1930" s="100"/>
      <c r="AA1930" s="294">
        <v>234000.0</v>
      </c>
      <c r="AB1930" s="294">
        <v>819000.0</v>
      </c>
      <c r="AC1930" s="530" t="s">
        <v>4982</v>
      </c>
      <c r="AD1930" s="290">
        <v>22462.0</v>
      </c>
      <c r="AE1930" s="99"/>
      <c r="AF1930" s="290" t="str">
        <f t="shared" si="1"/>
        <v>Buenos Aires, Argentina</v>
      </c>
      <c r="AG1930" s="525">
        <f t="shared" si="2"/>
        <v>2</v>
      </c>
      <c r="AH1930" s="560">
        <f t="shared" si="17"/>
        <v>0</v>
      </c>
      <c r="AI1930" s="560">
        <f t="shared" si="12"/>
        <v>0</v>
      </c>
      <c r="AJ1930" s="294">
        <f t="shared" si="5"/>
        <v>1053000</v>
      </c>
      <c r="AK1930" s="294">
        <f t="shared" si="18"/>
        <v>1053000</v>
      </c>
      <c r="AL1930" s="103"/>
      <c r="AM1930" s="103"/>
    </row>
    <row r="1931">
      <c r="A1931" s="310">
        <v>1920.0</v>
      </c>
      <c r="B1931" s="311">
        <v>46020.0</v>
      </c>
      <c r="C1931" s="140"/>
      <c r="D1931" s="312" t="s">
        <v>795</v>
      </c>
      <c r="E1931" s="433" t="s">
        <v>796</v>
      </c>
      <c r="F1931" s="312" t="s">
        <v>1423</v>
      </c>
      <c r="G1931" s="310" t="s">
        <v>64</v>
      </c>
      <c r="H1931" s="310" t="s">
        <v>41</v>
      </c>
      <c r="I1931" s="310" t="s">
        <v>643</v>
      </c>
      <c r="J1931" s="139">
        <v>1.0</v>
      </c>
      <c r="K1931" s="138"/>
      <c r="L1931" s="138"/>
      <c r="M1931" s="138"/>
      <c r="N1931" s="138"/>
      <c r="O1931" s="138"/>
      <c r="P1931" s="438"/>
      <c r="Q1931" s="140"/>
      <c r="R1931" s="140"/>
      <c r="S1931" s="433" t="s">
        <v>98</v>
      </c>
      <c r="T1931" s="310" t="s">
        <v>66</v>
      </c>
      <c r="U1931" s="310" t="s">
        <v>99</v>
      </c>
      <c r="V1931" s="310" t="s">
        <v>1984</v>
      </c>
      <c r="W1931" s="141"/>
      <c r="X1931" s="141"/>
      <c r="Y1931" s="141"/>
      <c r="Z1931" s="141"/>
      <c r="AA1931" s="313">
        <v>160000.0</v>
      </c>
      <c r="AB1931" s="313">
        <v>560000.0</v>
      </c>
      <c r="AC1931" s="562" t="s">
        <v>4983</v>
      </c>
      <c r="AD1931" s="310">
        <v>22536.0</v>
      </c>
      <c r="AE1931" s="140"/>
      <c r="AF1931" s="310" t="str">
        <f t="shared" si="1"/>
        <v>Buenos Aires, Argentina</v>
      </c>
      <c r="AG1931" s="433">
        <f t="shared" si="2"/>
        <v>1</v>
      </c>
      <c r="AH1931" s="313">
        <f t="shared" si="17"/>
        <v>0</v>
      </c>
      <c r="AI1931" s="313">
        <f t="shared" si="12"/>
        <v>0</v>
      </c>
      <c r="AJ1931" s="313">
        <f t="shared" si="5"/>
        <v>720000</v>
      </c>
      <c r="AK1931" s="313">
        <f t="shared" si="18"/>
        <v>720000</v>
      </c>
      <c r="AL1931" s="144"/>
      <c r="AM1931" s="144"/>
    </row>
    <row r="1932">
      <c r="A1932" s="310">
        <v>1921.0</v>
      </c>
      <c r="B1932" s="311">
        <v>46021.0</v>
      </c>
      <c r="C1932" s="140"/>
      <c r="D1932" s="312" t="s">
        <v>4911</v>
      </c>
      <c r="E1932" s="433" t="s">
        <v>4912</v>
      </c>
      <c r="F1932" s="312" t="s">
        <v>4901</v>
      </c>
      <c r="G1932" s="310" t="s">
        <v>64</v>
      </c>
      <c r="H1932" s="310" t="s">
        <v>41</v>
      </c>
      <c r="I1932" s="310" t="s">
        <v>42</v>
      </c>
      <c r="J1932" s="138"/>
      <c r="K1932" s="138"/>
      <c r="L1932" s="138"/>
      <c r="M1932" s="138"/>
      <c r="N1932" s="138"/>
      <c r="O1932" s="138"/>
      <c r="P1932" s="315">
        <v>1.0</v>
      </c>
      <c r="Q1932" s="140"/>
      <c r="R1932" s="140"/>
      <c r="S1932" s="433" t="s">
        <v>114</v>
      </c>
      <c r="T1932" s="310" t="s">
        <v>83</v>
      </c>
      <c r="U1932" s="310" t="s">
        <v>99</v>
      </c>
      <c r="V1932" s="310" t="s">
        <v>2922</v>
      </c>
      <c r="W1932" s="141"/>
      <c r="X1932" s="141"/>
      <c r="Y1932" s="141"/>
      <c r="Z1932" s="141"/>
      <c r="AA1932" s="313">
        <v>160000.0</v>
      </c>
      <c r="AB1932" s="313">
        <v>720000.0</v>
      </c>
      <c r="AC1932" s="562" t="s">
        <v>4984</v>
      </c>
      <c r="AD1932" s="310">
        <v>22500.0</v>
      </c>
      <c r="AE1932" s="140"/>
      <c r="AF1932" s="310" t="str">
        <f t="shared" si="1"/>
        <v>Capital Federal, Argentina</v>
      </c>
      <c r="AG1932" s="433">
        <f t="shared" si="2"/>
        <v>1</v>
      </c>
      <c r="AH1932" s="313">
        <f t="shared" si="17"/>
        <v>0</v>
      </c>
      <c r="AI1932" s="313">
        <f t="shared" si="12"/>
        <v>0</v>
      </c>
      <c r="AJ1932" s="313">
        <f t="shared" si="5"/>
        <v>880000</v>
      </c>
      <c r="AK1932" s="313">
        <f t="shared" si="18"/>
        <v>880000</v>
      </c>
      <c r="AL1932" s="144"/>
      <c r="AM1932" s="144"/>
    </row>
    <row r="1933">
      <c r="A1933" s="310">
        <v>1922.0</v>
      </c>
      <c r="B1933" s="311">
        <v>46021.0</v>
      </c>
      <c r="C1933" s="140"/>
      <c r="D1933" s="312" t="s">
        <v>4911</v>
      </c>
      <c r="E1933" s="433" t="s">
        <v>4912</v>
      </c>
      <c r="F1933" s="312" t="s">
        <v>4985</v>
      </c>
      <c r="G1933" s="310" t="s">
        <v>64</v>
      </c>
      <c r="H1933" s="310" t="s">
        <v>41</v>
      </c>
      <c r="I1933" s="310" t="s">
        <v>643</v>
      </c>
      <c r="J1933" s="138"/>
      <c r="K1933" s="138"/>
      <c r="L1933" s="138"/>
      <c r="M1933" s="138"/>
      <c r="N1933" s="138"/>
      <c r="O1933" s="138"/>
      <c r="P1933" s="438"/>
      <c r="Q1933" s="140"/>
      <c r="R1933" s="140"/>
      <c r="S1933" s="433" t="s">
        <v>114</v>
      </c>
      <c r="T1933" s="310" t="s">
        <v>66</v>
      </c>
      <c r="U1933" s="310" t="s">
        <v>99</v>
      </c>
      <c r="V1933" s="310" t="s">
        <v>1984</v>
      </c>
      <c r="W1933" s="313">
        <v>278383.0</v>
      </c>
      <c r="X1933" s="142">
        <v>1252724.0</v>
      </c>
      <c r="Y1933" s="141"/>
      <c r="Z1933" s="141"/>
      <c r="AA1933" s="313">
        <v>0.0</v>
      </c>
      <c r="AB1933" s="313">
        <v>0.0</v>
      </c>
      <c r="AC1933" s="562" t="s">
        <v>4986</v>
      </c>
      <c r="AD1933" s="310">
        <v>22494.0</v>
      </c>
      <c r="AE1933" s="140"/>
      <c r="AF1933" s="310" t="str">
        <f t="shared" si="1"/>
        <v>Buenos Aires, Argentina</v>
      </c>
      <c r="AG1933" s="433">
        <f t="shared" si="2"/>
        <v>0</v>
      </c>
      <c r="AH1933" s="313">
        <f t="shared" si="17"/>
        <v>1531107</v>
      </c>
      <c r="AI1933" s="313">
        <f t="shared" si="12"/>
        <v>0</v>
      </c>
      <c r="AJ1933" s="313">
        <f t="shared" si="5"/>
        <v>0</v>
      </c>
      <c r="AK1933" s="313">
        <f t="shared" si="18"/>
        <v>1531107</v>
      </c>
      <c r="AL1933" s="144"/>
      <c r="AM1933" s="144"/>
    </row>
    <row r="1934">
      <c r="A1934" s="310">
        <v>1923.0</v>
      </c>
      <c r="B1934" s="311">
        <v>46021.0</v>
      </c>
      <c r="C1934" s="140"/>
      <c r="D1934" s="312" t="s">
        <v>4987</v>
      </c>
      <c r="E1934" s="433" t="s">
        <v>4221</v>
      </c>
      <c r="F1934" s="312" t="s">
        <v>4988</v>
      </c>
      <c r="G1934" s="310" t="s">
        <v>64</v>
      </c>
      <c r="H1934" s="310" t="s">
        <v>41</v>
      </c>
      <c r="I1934" s="310" t="s">
        <v>643</v>
      </c>
      <c r="J1934" s="138"/>
      <c r="K1934" s="315">
        <v>3.0</v>
      </c>
      <c r="L1934" s="138"/>
      <c r="M1934" s="138"/>
      <c r="N1934" s="138"/>
      <c r="O1934" s="315">
        <v>1.0</v>
      </c>
      <c r="P1934" s="438"/>
      <c r="Q1934" s="140"/>
      <c r="R1934" s="140"/>
      <c r="S1934" s="433" t="s">
        <v>114</v>
      </c>
      <c r="T1934" s="310" t="s">
        <v>66</v>
      </c>
      <c r="U1934" s="310" t="s">
        <v>99</v>
      </c>
      <c r="V1934" s="310" t="s">
        <v>1984</v>
      </c>
      <c r="W1934" s="141"/>
      <c r="X1934" s="141"/>
      <c r="Y1934" s="141"/>
      <c r="Z1934" s="141"/>
      <c r="AA1934" s="313">
        <v>448000.0</v>
      </c>
      <c r="AB1934" s="313">
        <v>1792000.0</v>
      </c>
      <c r="AC1934" s="562" t="s">
        <v>4989</v>
      </c>
      <c r="AD1934" s="310">
        <v>22478.0</v>
      </c>
      <c r="AE1934" s="140"/>
      <c r="AF1934" s="310" t="str">
        <f t="shared" si="1"/>
        <v>Buenos Aires, Argentina</v>
      </c>
      <c r="AG1934" s="433">
        <f t="shared" si="2"/>
        <v>4</v>
      </c>
      <c r="AH1934" s="313">
        <f t="shared" si="17"/>
        <v>0</v>
      </c>
      <c r="AI1934" s="313">
        <f t="shared" si="12"/>
        <v>0</v>
      </c>
      <c r="AJ1934" s="313">
        <f t="shared" si="5"/>
        <v>2240000</v>
      </c>
      <c r="AK1934" s="313">
        <f t="shared" si="18"/>
        <v>2240000</v>
      </c>
      <c r="AL1934" s="144"/>
      <c r="AM1934" s="144"/>
    </row>
    <row r="1935">
      <c r="A1935" s="310">
        <v>1924.0</v>
      </c>
      <c r="B1935" s="311">
        <v>46021.0</v>
      </c>
      <c r="C1935" s="140"/>
      <c r="D1935" s="312" t="s">
        <v>4990</v>
      </c>
      <c r="E1935" s="433" t="s">
        <v>4991</v>
      </c>
      <c r="F1935" s="312" t="s">
        <v>4992</v>
      </c>
      <c r="G1935" s="310" t="s">
        <v>40</v>
      </c>
      <c r="H1935" s="310" t="s">
        <v>41</v>
      </c>
      <c r="I1935" s="310" t="s">
        <v>643</v>
      </c>
      <c r="J1935" s="139">
        <v>3.0</v>
      </c>
      <c r="K1935" s="315">
        <v>4.0</v>
      </c>
      <c r="L1935" s="138"/>
      <c r="M1935" s="138"/>
      <c r="N1935" s="138"/>
      <c r="O1935" s="315">
        <v>8.0</v>
      </c>
      <c r="P1935" s="438"/>
      <c r="Q1935" s="140"/>
      <c r="R1935" s="140"/>
      <c r="S1935" s="433" t="s">
        <v>51</v>
      </c>
      <c r="T1935" s="310" t="s">
        <v>73</v>
      </c>
      <c r="U1935" s="310" t="s">
        <v>1616</v>
      </c>
      <c r="V1935" s="310" t="s">
        <v>2935</v>
      </c>
      <c r="W1935" s="141"/>
      <c r="X1935" s="141"/>
      <c r="Y1935" s="141"/>
      <c r="Z1935" s="141"/>
      <c r="AA1935" s="313">
        <v>1664000.0</v>
      </c>
      <c r="AB1935" s="313">
        <v>4160000.0</v>
      </c>
      <c r="AC1935" s="562" t="s">
        <v>4993</v>
      </c>
      <c r="AD1935" s="310">
        <v>22580.0</v>
      </c>
      <c r="AE1935" s="140"/>
      <c r="AF1935" s="310" t="str">
        <f t="shared" si="1"/>
        <v>Tierra de Fuego, Argentina</v>
      </c>
      <c r="AG1935" s="433">
        <f t="shared" si="2"/>
        <v>15</v>
      </c>
      <c r="AH1935" s="313">
        <f t="shared" si="17"/>
        <v>0</v>
      </c>
      <c r="AI1935" s="313">
        <f t="shared" si="12"/>
        <v>0</v>
      </c>
      <c r="AJ1935" s="313">
        <f t="shared" si="5"/>
        <v>5824000</v>
      </c>
      <c r="AK1935" s="313">
        <f t="shared" si="18"/>
        <v>5824000</v>
      </c>
      <c r="AL1935" s="144"/>
      <c r="AM1935" s="144"/>
    </row>
    <row r="1936">
      <c r="A1936" s="310">
        <v>1925.0</v>
      </c>
      <c r="B1936" s="311">
        <v>46021.0</v>
      </c>
      <c r="C1936" s="140"/>
      <c r="D1936" s="312" t="s">
        <v>4994</v>
      </c>
      <c r="E1936" s="433" t="s">
        <v>4995</v>
      </c>
      <c r="F1936" s="312" t="s">
        <v>1415</v>
      </c>
      <c r="G1936" s="310" t="s">
        <v>64</v>
      </c>
      <c r="H1936" s="310" t="s">
        <v>41</v>
      </c>
      <c r="I1936" s="310" t="s">
        <v>643</v>
      </c>
      <c r="J1936" s="138"/>
      <c r="K1936" s="315">
        <v>1.0</v>
      </c>
      <c r="L1936" s="138"/>
      <c r="M1936" s="138"/>
      <c r="N1936" s="138"/>
      <c r="O1936" s="138"/>
      <c r="P1936" s="438"/>
      <c r="Q1936" s="140"/>
      <c r="R1936" s="140"/>
      <c r="S1936" s="433" t="s">
        <v>114</v>
      </c>
      <c r="T1936" s="310" t="s">
        <v>66</v>
      </c>
      <c r="U1936" s="310" t="s">
        <v>99</v>
      </c>
      <c r="V1936" s="310" t="s">
        <v>1984</v>
      </c>
      <c r="W1936" s="141"/>
      <c r="X1936" s="141"/>
      <c r="Y1936" s="141"/>
      <c r="Z1936" s="141"/>
      <c r="AA1936" s="313">
        <v>120000.0</v>
      </c>
      <c r="AB1936" s="313">
        <v>390000.0</v>
      </c>
      <c r="AC1936" s="562" t="s">
        <v>4996</v>
      </c>
      <c r="AD1936" s="310">
        <v>22576.0</v>
      </c>
      <c r="AE1936" s="140"/>
      <c r="AF1936" s="310" t="str">
        <f t="shared" si="1"/>
        <v>Buenos Aires, Argentina</v>
      </c>
      <c r="AG1936" s="433">
        <f t="shared" si="2"/>
        <v>1</v>
      </c>
      <c r="AH1936" s="313">
        <f t="shared" si="17"/>
        <v>0</v>
      </c>
      <c r="AI1936" s="313">
        <f t="shared" si="12"/>
        <v>0</v>
      </c>
      <c r="AJ1936" s="313">
        <f t="shared" si="5"/>
        <v>510000</v>
      </c>
      <c r="AK1936" s="313">
        <f t="shared" si="18"/>
        <v>510000</v>
      </c>
      <c r="AL1936" s="144"/>
      <c r="AM1936" s="144"/>
    </row>
    <row r="1937">
      <c r="A1937" s="310">
        <v>1926.0</v>
      </c>
      <c r="B1937" s="311">
        <v>46022.0</v>
      </c>
      <c r="C1937" s="140"/>
      <c r="D1937" s="312" t="s">
        <v>1328</v>
      </c>
      <c r="E1937" s="433" t="s">
        <v>1962</v>
      </c>
      <c r="F1937" s="312" t="s">
        <v>4997</v>
      </c>
      <c r="G1937" s="310" t="s">
        <v>64</v>
      </c>
      <c r="H1937" s="310" t="s">
        <v>227</v>
      </c>
      <c r="I1937" s="310" t="s">
        <v>643</v>
      </c>
      <c r="J1937" s="138"/>
      <c r="K1937" s="138"/>
      <c r="L1937" s="138"/>
      <c r="M1937" s="138"/>
      <c r="N1937" s="138"/>
      <c r="O1937" s="138"/>
      <c r="P1937" s="438"/>
      <c r="Q1937" s="140"/>
      <c r="R1937" s="140"/>
      <c r="S1937" s="433" t="s">
        <v>89</v>
      </c>
      <c r="T1937" s="310" t="s">
        <v>83</v>
      </c>
      <c r="U1937" s="310" t="s">
        <v>99</v>
      </c>
      <c r="V1937" s="310" t="s">
        <v>1984</v>
      </c>
      <c r="W1937" s="313">
        <v>521528.0</v>
      </c>
      <c r="X1937" s="142">
        <v>0.0</v>
      </c>
      <c r="Y1937" s="141"/>
      <c r="Z1937" s="141"/>
      <c r="AA1937" s="313">
        <v>0.0</v>
      </c>
      <c r="AB1937" s="313">
        <v>0.0</v>
      </c>
      <c r="AC1937" s="562" t="s">
        <v>4902</v>
      </c>
      <c r="AD1937" s="310">
        <v>21846.0</v>
      </c>
      <c r="AE1937" s="140"/>
      <c r="AF1937" s="310" t="str">
        <f t="shared" si="1"/>
        <v>Capital Federal, Argentina</v>
      </c>
      <c r="AG1937" s="433">
        <f t="shared" si="2"/>
        <v>0</v>
      </c>
      <c r="AH1937" s="313">
        <f t="shared" si="17"/>
        <v>521528</v>
      </c>
      <c r="AI1937" s="313">
        <f t="shared" si="12"/>
        <v>0</v>
      </c>
      <c r="AJ1937" s="313">
        <f t="shared" si="5"/>
        <v>0</v>
      </c>
      <c r="AK1937" s="313">
        <f t="shared" si="18"/>
        <v>521528</v>
      </c>
      <c r="AL1937" s="144"/>
      <c r="AM1937" s="144"/>
    </row>
    <row r="1938">
      <c r="A1938" s="310">
        <v>1927.0</v>
      </c>
      <c r="B1938" s="311">
        <v>46022.0</v>
      </c>
      <c r="C1938" s="140"/>
      <c r="D1938" s="312" t="s">
        <v>4998</v>
      </c>
      <c r="E1938" s="433" t="s">
        <v>4999</v>
      </c>
      <c r="F1938" s="312" t="s">
        <v>2141</v>
      </c>
      <c r="G1938" s="310" t="s">
        <v>40</v>
      </c>
      <c r="H1938" s="310" t="s">
        <v>547</v>
      </c>
      <c r="I1938" s="310" t="s">
        <v>42</v>
      </c>
      <c r="J1938" s="139">
        <v>1.0</v>
      </c>
      <c r="K1938" s="315">
        <v>1.0</v>
      </c>
      <c r="L1938" s="138"/>
      <c r="M1938" s="315">
        <v>1.0</v>
      </c>
      <c r="N1938" s="138"/>
      <c r="O1938" s="138"/>
      <c r="P1938" s="438"/>
      <c r="Q1938" s="140"/>
      <c r="R1938" s="140"/>
      <c r="S1938" s="433" t="s">
        <v>72</v>
      </c>
      <c r="T1938" s="310" t="s">
        <v>216</v>
      </c>
      <c r="U1938" s="310" t="s">
        <v>1493</v>
      </c>
      <c r="V1938" s="310" t="s">
        <v>2922</v>
      </c>
      <c r="W1938" s="141"/>
      <c r="X1938" s="141"/>
      <c r="Y1938" s="141"/>
      <c r="Z1938" s="141"/>
      <c r="AA1938" s="313">
        <v>215600.0</v>
      </c>
      <c r="AB1938" s="313">
        <v>808500.0</v>
      </c>
      <c r="AC1938" s="562" t="s">
        <v>5000</v>
      </c>
      <c r="AD1938" s="310">
        <v>22568.0</v>
      </c>
      <c r="AE1938" s="140"/>
      <c r="AF1938" s="310" t="str">
        <f t="shared" si="1"/>
        <v>Catamarca, Argentina</v>
      </c>
      <c r="AG1938" s="433">
        <f t="shared" si="2"/>
        <v>3</v>
      </c>
      <c r="AH1938" s="313">
        <f t="shared" si="17"/>
        <v>0</v>
      </c>
      <c r="AI1938" s="313">
        <f t="shared" si="12"/>
        <v>0</v>
      </c>
      <c r="AJ1938" s="313">
        <f t="shared" si="5"/>
        <v>1024100</v>
      </c>
      <c r="AK1938" s="313">
        <f t="shared" si="18"/>
        <v>1024100</v>
      </c>
      <c r="AL1938" s="144"/>
      <c r="AM1938" s="144"/>
    </row>
    <row r="1939">
      <c r="A1939" s="310">
        <v>1928.0</v>
      </c>
      <c r="B1939" s="311">
        <v>46022.0</v>
      </c>
      <c r="C1939" s="140"/>
      <c r="D1939" s="312" t="s">
        <v>4621</v>
      </c>
      <c r="E1939" s="433" t="s">
        <v>4622</v>
      </c>
      <c r="F1939" s="312" t="s">
        <v>2237</v>
      </c>
      <c r="G1939" s="310" t="s">
        <v>64</v>
      </c>
      <c r="H1939" s="310" t="s">
        <v>41</v>
      </c>
      <c r="I1939" s="310" t="s">
        <v>643</v>
      </c>
      <c r="J1939" s="139">
        <v>1.0</v>
      </c>
      <c r="K1939" s="315">
        <v>2.0</v>
      </c>
      <c r="L1939" s="138"/>
      <c r="M1939" s="315">
        <v>1.0</v>
      </c>
      <c r="N1939" s="138"/>
      <c r="O1939" s="138"/>
      <c r="P1939" s="438"/>
      <c r="Q1939" s="140"/>
      <c r="R1939" s="140"/>
      <c r="S1939" s="433" t="s">
        <v>137</v>
      </c>
      <c r="T1939" s="310" t="s">
        <v>66</v>
      </c>
      <c r="U1939" s="310" t="s">
        <v>99</v>
      </c>
      <c r="V1939" s="310" t="s">
        <v>1984</v>
      </c>
      <c r="W1939" s="141"/>
      <c r="X1939" s="141"/>
      <c r="Y1939" s="141"/>
      <c r="Z1939" s="141"/>
      <c r="AA1939" s="313">
        <v>560000.0</v>
      </c>
      <c r="AB1939" s="313">
        <v>1260000.0</v>
      </c>
      <c r="AC1939" s="562" t="s">
        <v>5001</v>
      </c>
      <c r="AD1939" s="310">
        <v>22148.0</v>
      </c>
      <c r="AE1939" s="140"/>
      <c r="AF1939" s="310" t="str">
        <f t="shared" si="1"/>
        <v>Buenos Aires, Argentina</v>
      </c>
      <c r="AG1939" s="433">
        <f t="shared" si="2"/>
        <v>4</v>
      </c>
      <c r="AH1939" s="313">
        <f t="shared" si="17"/>
        <v>0</v>
      </c>
      <c r="AI1939" s="313">
        <f t="shared" si="12"/>
        <v>0</v>
      </c>
      <c r="AJ1939" s="313">
        <f t="shared" si="5"/>
        <v>1820000</v>
      </c>
      <c r="AK1939" s="313">
        <f t="shared" si="18"/>
        <v>1820000</v>
      </c>
      <c r="AL1939" s="144"/>
      <c r="AM1939" s="144"/>
    </row>
    <row r="1940">
      <c r="A1940" s="310">
        <v>1929.0</v>
      </c>
      <c r="B1940" s="311">
        <v>46022.0</v>
      </c>
      <c r="C1940" s="140"/>
      <c r="D1940" s="312" t="s">
        <v>4414</v>
      </c>
      <c r="E1940" s="433" t="s">
        <v>4415</v>
      </c>
      <c r="F1940" s="312" t="s">
        <v>1423</v>
      </c>
      <c r="G1940" s="310" t="s">
        <v>64</v>
      </c>
      <c r="H1940" s="310" t="s">
        <v>547</v>
      </c>
      <c r="I1940" s="310" t="s">
        <v>643</v>
      </c>
      <c r="J1940" s="139">
        <v>1.0</v>
      </c>
      <c r="K1940" s="138"/>
      <c r="L1940" s="138"/>
      <c r="M1940" s="138"/>
      <c r="N1940" s="138"/>
      <c r="O1940" s="138"/>
      <c r="P1940" s="438"/>
      <c r="Q1940" s="140"/>
      <c r="R1940" s="140"/>
      <c r="S1940" s="433" t="s">
        <v>204</v>
      </c>
      <c r="T1940" s="310" t="s">
        <v>66</v>
      </c>
      <c r="U1940" s="310" t="s">
        <v>99</v>
      </c>
      <c r="V1940" s="310" t="s">
        <v>1984</v>
      </c>
      <c r="W1940" s="141"/>
      <c r="X1940" s="141"/>
      <c r="Y1940" s="141"/>
      <c r="Z1940" s="141"/>
      <c r="AA1940" s="313">
        <v>123200.0</v>
      </c>
      <c r="AB1940" s="313">
        <v>400400.0</v>
      </c>
      <c r="AC1940" s="562" t="s">
        <v>5002</v>
      </c>
      <c r="AD1940" s="310">
        <v>22454.0</v>
      </c>
      <c r="AE1940" s="140"/>
      <c r="AF1940" s="310" t="str">
        <f t="shared" si="1"/>
        <v>Buenos Aires, Argentina</v>
      </c>
      <c r="AG1940" s="433">
        <f t="shared" si="2"/>
        <v>1</v>
      </c>
      <c r="AH1940" s="313">
        <f t="shared" si="17"/>
        <v>0</v>
      </c>
      <c r="AI1940" s="313">
        <f t="shared" si="12"/>
        <v>0</v>
      </c>
      <c r="AJ1940" s="313">
        <f t="shared" si="5"/>
        <v>523600</v>
      </c>
      <c r="AK1940" s="313">
        <f t="shared" si="18"/>
        <v>523600</v>
      </c>
      <c r="AL1940" s="144"/>
      <c r="AM1940" s="144"/>
    </row>
    <row r="1941">
      <c r="A1941" s="310">
        <v>1930.0</v>
      </c>
      <c r="B1941" s="311">
        <v>46022.0</v>
      </c>
      <c r="C1941" s="140"/>
      <c r="D1941" s="312" t="s">
        <v>2677</v>
      </c>
      <c r="E1941" s="433" t="s">
        <v>2678</v>
      </c>
      <c r="F1941" s="312" t="s">
        <v>4878</v>
      </c>
      <c r="G1941" s="310" t="s">
        <v>64</v>
      </c>
      <c r="H1941" s="310" t="s">
        <v>41</v>
      </c>
      <c r="I1941" s="310" t="s">
        <v>643</v>
      </c>
      <c r="J1941" s="138"/>
      <c r="K1941" s="138"/>
      <c r="L1941" s="138"/>
      <c r="M1941" s="138"/>
      <c r="N1941" s="138"/>
      <c r="O1941" s="138"/>
      <c r="P1941" s="438"/>
      <c r="Q1941" s="140"/>
      <c r="R1941" s="140"/>
      <c r="S1941" s="433" t="s">
        <v>89</v>
      </c>
      <c r="T1941" s="310" t="s">
        <v>83</v>
      </c>
      <c r="U1941" s="310" t="s">
        <v>99</v>
      </c>
      <c r="V1941" s="310" t="s">
        <v>1984</v>
      </c>
      <c r="W1941" s="313">
        <v>47645.0</v>
      </c>
      <c r="X1941" s="142">
        <v>0.0</v>
      </c>
      <c r="Y1941" s="141"/>
      <c r="Z1941" s="141"/>
      <c r="AA1941" s="313">
        <v>0.0</v>
      </c>
      <c r="AB1941" s="313">
        <v>0.0</v>
      </c>
      <c r="AC1941" s="562" t="s">
        <v>5003</v>
      </c>
      <c r="AD1941" s="310">
        <v>22650.0</v>
      </c>
      <c r="AE1941" s="140"/>
      <c r="AF1941" s="310" t="str">
        <f t="shared" si="1"/>
        <v>Capital Federal, Argentina</v>
      </c>
      <c r="AG1941" s="433">
        <f t="shared" si="2"/>
        <v>0</v>
      </c>
      <c r="AH1941" s="313">
        <f t="shared" si="17"/>
        <v>47645</v>
      </c>
      <c r="AI1941" s="313">
        <f t="shared" si="12"/>
        <v>0</v>
      </c>
      <c r="AJ1941" s="313">
        <f t="shared" si="5"/>
        <v>0</v>
      </c>
      <c r="AK1941" s="313">
        <f t="shared" si="18"/>
        <v>47645</v>
      </c>
      <c r="AL1941" s="144"/>
      <c r="AM1941" s="144"/>
    </row>
    <row r="1942">
      <c r="A1942" s="310">
        <v>1931.0</v>
      </c>
      <c r="B1942" s="311">
        <v>46022.0</v>
      </c>
      <c r="C1942" s="140"/>
      <c r="D1942" s="312" t="s">
        <v>4880</v>
      </c>
      <c r="E1942" s="433" t="s">
        <v>4881</v>
      </c>
      <c r="F1942" s="312" t="s">
        <v>1423</v>
      </c>
      <c r="G1942" s="310" t="s">
        <v>64</v>
      </c>
      <c r="H1942" s="310" t="s">
        <v>41</v>
      </c>
      <c r="I1942" s="310" t="s">
        <v>643</v>
      </c>
      <c r="J1942" s="139">
        <v>1.0</v>
      </c>
      <c r="K1942" s="138"/>
      <c r="L1942" s="138"/>
      <c r="M1942" s="138"/>
      <c r="N1942" s="138"/>
      <c r="O1942" s="138"/>
      <c r="P1942" s="438"/>
      <c r="Q1942" s="140"/>
      <c r="R1942" s="140"/>
      <c r="S1942" s="433" t="s">
        <v>65</v>
      </c>
      <c r="T1942" s="310" t="s">
        <v>66</v>
      </c>
      <c r="U1942" s="310" t="s">
        <v>99</v>
      </c>
      <c r="V1942" s="310" t="s">
        <v>1984</v>
      </c>
      <c r="W1942" s="141"/>
      <c r="X1942" s="141"/>
      <c r="Y1942" s="141"/>
      <c r="Z1942" s="141"/>
      <c r="AA1942" s="313">
        <v>138600.0</v>
      </c>
      <c r="AB1942" s="313">
        <v>500500.0</v>
      </c>
      <c r="AC1942" s="562" t="s">
        <v>5004</v>
      </c>
      <c r="AD1942" s="310">
        <v>22502.0</v>
      </c>
      <c r="AE1942" s="140"/>
      <c r="AF1942" s="310" t="str">
        <f t="shared" si="1"/>
        <v>Buenos Aires, Argentina</v>
      </c>
      <c r="AG1942" s="433">
        <f t="shared" si="2"/>
        <v>1</v>
      </c>
      <c r="AH1942" s="313">
        <f t="shared" si="17"/>
        <v>0</v>
      </c>
      <c r="AI1942" s="313">
        <f t="shared" si="12"/>
        <v>0</v>
      </c>
      <c r="AJ1942" s="313">
        <f t="shared" si="5"/>
        <v>639100</v>
      </c>
      <c r="AK1942" s="313">
        <f t="shared" si="18"/>
        <v>639100</v>
      </c>
      <c r="AL1942" s="144"/>
      <c r="AM1942" s="144"/>
    </row>
    <row r="1943">
      <c r="A1943" s="310">
        <v>1932.0</v>
      </c>
      <c r="B1943" s="311">
        <v>46022.0</v>
      </c>
      <c r="C1943" s="140"/>
      <c r="D1943" s="312" t="s">
        <v>4417</v>
      </c>
      <c r="E1943" s="433" t="s">
        <v>4418</v>
      </c>
      <c r="F1943" s="312" t="s">
        <v>1415</v>
      </c>
      <c r="G1943" s="310" t="s">
        <v>64</v>
      </c>
      <c r="H1943" s="310" t="s">
        <v>41</v>
      </c>
      <c r="I1943" s="310" t="s">
        <v>643</v>
      </c>
      <c r="J1943" s="138"/>
      <c r="K1943" s="315">
        <v>1.0</v>
      </c>
      <c r="L1943" s="138"/>
      <c r="M1943" s="138"/>
      <c r="N1943" s="138"/>
      <c r="O1943" s="138"/>
      <c r="P1943" s="438"/>
      <c r="Q1943" s="140"/>
      <c r="R1943" s="140"/>
      <c r="S1943" s="433" t="s">
        <v>65</v>
      </c>
      <c r="T1943" s="310" t="s">
        <v>66</v>
      </c>
      <c r="U1943" s="310" t="s">
        <v>99</v>
      </c>
      <c r="V1943" s="310" t="s">
        <v>1984</v>
      </c>
      <c r="W1943" s="141"/>
      <c r="X1943" s="141"/>
      <c r="Y1943" s="141"/>
      <c r="Z1943" s="141"/>
      <c r="AA1943" s="313">
        <v>120000.0</v>
      </c>
      <c r="AB1943" s="313">
        <v>390000.0</v>
      </c>
      <c r="AC1943" s="562" t="s">
        <v>5005</v>
      </c>
      <c r="AD1943" s="310">
        <v>22676.0</v>
      </c>
      <c r="AE1943" s="140"/>
      <c r="AF1943" s="310" t="str">
        <f t="shared" si="1"/>
        <v>Buenos Aires, Argentina</v>
      </c>
      <c r="AG1943" s="433">
        <f t="shared" si="2"/>
        <v>1</v>
      </c>
      <c r="AH1943" s="313">
        <f t="shared" si="17"/>
        <v>0</v>
      </c>
      <c r="AI1943" s="313">
        <f t="shared" si="12"/>
        <v>0</v>
      </c>
      <c r="AJ1943" s="313">
        <f t="shared" si="5"/>
        <v>510000</v>
      </c>
      <c r="AK1943" s="313">
        <f t="shared" si="18"/>
        <v>510000</v>
      </c>
      <c r="AL1943" s="144"/>
      <c r="AM1943" s="144"/>
    </row>
    <row r="1944">
      <c r="A1944" s="310">
        <v>1933.0</v>
      </c>
      <c r="B1944" s="311">
        <v>46022.0</v>
      </c>
      <c r="C1944" s="140"/>
      <c r="D1944" s="312" t="s">
        <v>5006</v>
      </c>
      <c r="E1944" s="433" t="s">
        <v>3197</v>
      </c>
      <c r="F1944" s="312" t="s">
        <v>1459</v>
      </c>
      <c r="G1944" s="310" t="s">
        <v>64</v>
      </c>
      <c r="H1944" s="310" t="s">
        <v>41</v>
      </c>
      <c r="I1944" s="310" t="s">
        <v>643</v>
      </c>
      <c r="J1944" s="138"/>
      <c r="K1944" s="315">
        <v>3.0</v>
      </c>
      <c r="L1944" s="138"/>
      <c r="M1944" s="138"/>
      <c r="N1944" s="138"/>
      <c r="O1944" s="138"/>
      <c r="P1944" s="438"/>
      <c r="Q1944" s="140"/>
      <c r="R1944" s="140"/>
      <c r="S1944" s="433" t="s">
        <v>65</v>
      </c>
      <c r="T1944" s="310" t="s">
        <v>267</v>
      </c>
      <c r="U1944" s="310" t="s">
        <v>99</v>
      </c>
      <c r="V1944" s="310" t="s">
        <v>1984</v>
      </c>
      <c r="W1944" s="141"/>
      <c r="X1944" s="141"/>
      <c r="Y1944" s="141"/>
      <c r="Z1944" s="141"/>
      <c r="AA1944" s="313">
        <v>360000.0</v>
      </c>
      <c r="AB1944" s="313">
        <v>1170000.0</v>
      </c>
      <c r="AC1944" s="562" t="s">
        <v>5007</v>
      </c>
      <c r="AD1944" s="310">
        <v>22730.0</v>
      </c>
      <c r="AE1944" s="140"/>
      <c r="AF1944" s="310" t="str">
        <f t="shared" si="1"/>
        <v>Entre Ríos, Argentina</v>
      </c>
      <c r="AG1944" s="433">
        <f t="shared" si="2"/>
        <v>3</v>
      </c>
      <c r="AH1944" s="313">
        <f t="shared" si="17"/>
        <v>0</v>
      </c>
      <c r="AI1944" s="313">
        <f t="shared" si="12"/>
        <v>0</v>
      </c>
      <c r="AJ1944" s="313">
        <f t="shared" si="5"/>
        <v>1530000</v>
      </c>
      <c r="AK1944" s="313">
        <f t="shared" si="18"/>
        <v>1530000</v>
      </c>
      <c r="AL1944" s="144"/>
      <c r="AM1944" s="144"/>
    </row>
    <row r="1945">
      <c r="A1945" s="310">
        <v>1934.0</v>
      </c>
      <c r="B1945" s="311">
        <v>46022.0</v>
      </c>
      <c r="C1945" s="140"/>
      <c r="D1945" s="312" t="s">
        <v>2454</v>
      </c>
      <c r="E1945" s="433" t="s">
        <v>1810</v>
      </c>
      <c r="F1945" s="312" t="s">
        <v>1415</v>
      </c>
      <c r="G1945" s="310" t="s">
        <v>64</v>
      </c>
      <c r="H1945" s="310" t="s">
        <v>41</v>
      </c>
      <c r="I1945" s="310" t="s">
        <v>643</v>
      </c>
      <c r="J1945" s="138"/>
      <c r="K1945" s="315">
        <v>1.0</v>
      </c>
      <c r="L1945" s="138"/>
      <c r="M1945" s="138"/>
      <c r="N1945" s="138"/>
      <c r="O1945" s="138"/>
      <c r="P1945" s="438"/>
      <c r="Q1945" s="140"/>
      <c r="R1945" s="140"/>
      <c r="S1945" s="433" t="s">
        <v>65</v>
      </c>
      <c r="T1945" s="310" t="s">
        <v>66</v>
      </c>
      <c r="U1945" s="310" t="s">
        <v>99</v>
      </c>
      <c r="V1945" s="310" t="s">
        <v>1984</v>
      </c>
      <c r="W1945" s="141"/>
      <c r="X1945" s="141"/>
      <c r="Y1945" s="141"/>
      <c r="Z1945" s="141"/>
      <c r="AA1945" s="313">
        <v>108000.0</v>
      </c>
      <c r="AB1945" s="313">
        <v>390000.0</v>
      </c>
      <c r="AC1945" s="562" t="s">
        <v>5008</v>
      </c>
      <c r="AD1945" s="310">
        <v>22674.0</v>
      </c>
      <c r="AE1945" s="140"/>
      <c r="AF1945" s="310" t="str">
        <f t="shared" si="1"/>
        <v>Buenos Aires, Argentina</v>
      </c>
      <c r="AG1945" s="433">
        <f t="shared" si="2"/>
        <v>1</v>
      </c>
      <c r="AH1945" s="313">
        <f t="shared" si="17"/>
        <v>0</v>
      </c>
      <c r="AI1945" s="313">
        <f t="shared" si="12"/>
        <v>0</v>
      </c>
      <c r="AJ1945" s="313">
        <f t="shared" si="5"/>
        <v>498000</v>
      </c>
      <c r="AK1945" s="313">
        <f t="shared" si="18"/>
        <v>498000</v>
      </c>
      <c r="AL1945" s="144"/>
      <c r="AM1945" s="144"/>
    </row>
    <row r="1946">
      <c r="A1946" s="310">
        <v>1935.0</v>
      </c>
      <c r="B1946" s="311">
        <v>46022.0</v>
      </c>
      <c r="C1946" s="140"/>
      <c r="D1946" s="312" t="s">
        <v>4269</v>
      </c>
      <c r="E1946" s="433" t="s">
        <v>3190</v>
      </c>
      <c r="F1946" s="312" t="s">
        <v>1423</v>
      </c>
      <c r="G1946" s="310" t="s">
        <v>64</v>
      </c>
      <c r="H1946" s="310" t="s">
        <v>41</v>
      </c>
      <c r="I1946" s="310" t="s">
        <v>643</v>
      </c>
      <c r="J1946" s="139">
        <v>1.0</v>
      </c>
      <c r="K1946" s="138"/>
      <c r="L1946" s="138"/>
      <c r="M1946" s="138"/>
      <c r="N1946" s="138"/>
      <c r="O1946" s="138"/>
      <c r="P1946" s="438"/>
      <c r="Q1946" s="140"/>
      <c r="R1946" s="140"/>
      <c r="S1946" s="433" t="s">
        <v>189</v>
      </c>
      <c r="T1946" s="310" t="s">
        <v>66</v>
      </c>
      <c r="U1946" s="310" t="s">
        <v>99</v>
      </c>
      <c r="V1946" s="310" t="s">
        <v>1984</v>
      </c>
      <c r="W1946" s="141"/>
      <c r="X1946" s="141"/>
      <c r="Y1946" s="141"/>
      <c r="Z1946" s="141"/>
      <c r="AA1946" s="313">
        <v>160000.0</v>
      </c>
      <c r="AB1946" s="313">
        <v>520000.0</v>
      </c>
      <c r="AC1946" s="562" t="s">
        <v>5009</v>
      </c>
      <c r="AD1946" s="310">
        <v>22694.0</v>
      </c>
      <c r="AE1946" s="140"/>
      <c r="AF1946" s="310" t="str">
        <f t="shared" si="1"/>
        <v>Buenos Aires, Argentina</v>
      </c>
      <c r="AG1946" s="433">
        <f t="shared" si="2"/>
        <v>1</v>
      </c>
      <c r="AH1946" s="313">
        <f t="shared" si="17"/>
        <v>0</v>
      </c>
      <c r="AI1946" s="313">
        <f t="shared" si="12"/>
        <v>0</v>
      </c>
      <c r="AJ1946" s="313">
        <f t="shared" si="5"/>
        <v>680000</v>
      </c>
      <c r="AK1946" s="313">
        <f t="shared" si="18"/>
        <v>680000</v>
      </c>
      <c r="AL1946" s="144"/>
      <c r="AM1946" s="144"/>
    </row>
    <row r="1947">
      <c r="A1947" s="310">
        <v>1936.0</v>
      </c>
      <c r="B1947" s="311">
        <v>46022.0</v>
      </c>
      <c r="C1947" s="140"/>
      <c r="D1947" s="312" t="s">
        <v>5010</v>
      </c>
      <c r="E1947" s="433" t="s">
        <v>4332</v>
      </c>
      <c r="F1947" s="312" t="s">
        <v>1415</v>
      </c>
      <c r="G1947" s="310" t="s">
        <v>64</v>
      </c>
      <c r="H1947" s="310" t="s">
        <v>547</v>
      </c>
      <c r="I1947" s="310" t="s">
        <v>643</v>
      </c>
      <c r="J1947" s="138"/>
      <c r="K1947" s="315">
        <v>1.0</v>
      </c>
      <c r="L1947" s="138"/>
      <c r="M1947" s="138"/>
      <c r="N1947" s="138"/>
      <c r="O1947" s="138"/>
      <c r="P1947" s="438"/>
      <c r="Q1947" s="140"/>
      <c r="R1947" s="140"/>
      <c r="S1947" s="433" t="s">
        <v>43</v>
      </c>
      <c r="T1947" s="310" t="s">
        <v>2609</v>
      </c>
      <c r="U1947" s="310" t="s">
        <v>99</v>
      </c>
      <c r="V1947" s="310" t="s">
        <v>1984</v>
      </c>
      <c r="W1947" s="141"/>
      <c r="X1947" s="141"/>
      <c r="Y1947" s="141"/>
      <c r="Z1947" s="141"/>
      <c r="AA1947" s="313">
        <v>92400.0</v>
      </c>
      <c r="AB1947" s="313">
        <v>300300.0</v>
      </c>
      <c r="AC1947" s="562" t="s">
        <v>5011</v>
      </c>
      <c r="AD1947" s="310">
        <v>22780.0</v>
      </c>
      <c r="AE1947" s="140"/>
      <c r="AF1947" s="310" t="str">
        <f t="shared" si="1"/>
        <v>San Juan, Argentina</v>
      </c>
      <c r="AG1947" s="433">
        <f t="shared" si="2"/>
        <v>1</v>
      </c>
      <c r="AH1947" s="313">
        <f t="shared" si="17"/>
        <v>0</v>
      </c>
      <c r="AI1947" s="313">
        <f t="shared" si="12"/>
        <v>0</v>
      </c>
      <c r="AJ1947" s="313">
        <f t="shared" si="5"/>
        <v>392700</v>
      </c>
      <c r="AK1947" s="313">
        <f t="shared" si="18"/>
        <v>392700</v>
      </c>
      <c r="AL1947" s="144"/>
      <c r="AM1947" s="144"/>
    </row>
    <row r="1948">
      <c r="A1948" s="310">
        <v>1937.0</v>
      </c>
      <c r="B1948" s="311">
        <v>46022.0</v>
      </c>
      <c r="C1948" s="140"/>
      <c r="D1948" s="312" t="s">
        <v>5012</v>
      </c>
      <c r="E1948" s="433" t="s">
        <v>5013</v>
      </c>
      <c r="F1948" s="312" t="s">
        <v>5014</v>
      </c>
      <c r="G1948" s="310" t="s">
        <v>40</v>
      </c>
      <c r="H1948" s="310" t="s">
        <v>41</v>
      </c>
      <c r="I1948" s="310" t="s">
        <v>643</v>
      </c>
      <c r="J1948" s="139">
        <v>4.0</v>
      </c>
      <c r="K1948" s="315">
        <v>2.0</v>
      </c>
      <c r="L1948" s="138"/>
      <c r="M1948" s="315">
        <v>1.0</v>
      </c>
      <c r="N1948" s="138"/>
      <c r="O1948" s="315">
        <v>3.0</v>
      </c>
      <c r="P1948" s="438"/>
      <c r="Q1948" s="140"/>
      <c r="R1948" s="140"/>
      <c r="S1948" s="433" t="s">
        <v>65</v>
      </c>
      <c r="T1948" s="310" t="s">
        <v>83</v>
      </c>
      <c r="U1948" s="310" t="s">
        <v>4883</v>
      </c>
      <c r="V1948" s="310" t="s">
        <v>2935</v>
      </c>
      <c r="W1948" s="141"/>
      <c r="X1948" s="141"/>
      <c r="Y1948" s="141"/>
      <c r="Z1948" s="141"/>
      <c r="AA1948" s="313">
        <v>1029600.0</v>
      </c>
      <c r="AB1948" s="313">
        <v>4004000.0</v>
      </c>
      <c r="AC1948" s="562" t="s">
        <v>5015</v>
      </c>
      <c r="AD1948" s="310">
        <v>21188.0</v>
      </c>
      <c r="AE1948" s="140"/>
      <c r="AF1948" s="310" t="str">
        <f t="shared" si="1"/>
        <v>Capital Federal, Argentina</v>
      </c>
      <c r="AG1948" s="433">
        <f t="shared" si="2"/>
        <v>10</v>
      </c>
      <c r="AH1948" s="313">
        <f t="shared" si="17"/>
        <v>0</v>
      </c>
      <c r="AI1948" s="313">
        <f t="shared" si="12"/>
        <v>0</v>
      </c>
      <c r="AJ1948" s="313">
        <f t="shared" si="5"/>
        <v>5033600</v>
      </c>
      <c r="AK1948" s="313">
        <f t="shared" si="18"/>
        <v>5033600</v>
      </c>
      <c r="AL1948" s="144"/>
      <c r="AM1948" s="144"/>
    </row>
    <row r="1949">
      <c r="A1949" s="310">
        <v>1938.0</v>
      </c>
      <c r="B1949" s="311">
        <v>46022.0</v>
      </c>
      <c r="C1949" s="140"/>
      <c r="D1949" s="312" t="s">
        <v>5016</v>
      </c>
      <c r="E1949" s="433" t="s">
        <v>4278</v>
      </c>
      <c r="F1949" s="312" t="s">
        <v>2008</v>
      </c>
      <c r="G1949" s="310" t="s">
        <v>64</v>
      </c>
      <c r="H1949" s="310" t="s">
        <v>227</v>
      </c>
      <c r="I1949" s="310" t="s">
        <v>643</v>
      </c>
      <c r="J1949" s="138"/>
      <c r="K1949" s="138"/>
      <c r="L1949" s="138"/>
      <c r="M1949" s="138"/>
      <c r="N1949" s="315">
        <v>1.0</v>
      </c>
      <c r="O1949" s="138"/>
      <c r="P1949" s="438"/>
      <c r="Q1949" s="140"/>
      <c r="R1949" s="140"/>
      <c r="S1949" s="433" t="s">
        <v>89</v>
      </c>
      <c r="T1949" s="310" t="s">
        <v>83</v>
      </c>
      <c r="U1949" s="310" t="s">
        <v>99</v>
      </c>
      <c r="V1949" s="310" t="s">
        <v>1984</v>
      </c>
      <c r="W1949" s="141"/>
      <c r="X1949" s="141"/>
      <c r="Y1949" s="141"/>
      <c r="Z1949" s="141"/>
      <c r="AA1949" s="313">
        <v>208000.0</v>
      </c>
      <c r="AB1949" s="313">
        <v>936000.0</v>
      </c>
      <c r="AC1949" s="562" t="s">
        <v>5017</v>
      </c>
      <c r="AD1949" s="310">
        <v>22092.0</v>
      </c>
      <c r="AE1949" s="140"/>
      <c r="AF1949" s="310" t="str">
        <f t="shared" si="1"/>
        <v>Capital Federal, Argentina</v>
      </c>
      <c r="AG1949" s="433">
        <f t="shared" si="2"/>
        <v>1</v>
      </c>
      <c r="AH1949" s="313">
        <f t="shared" si="17"/>
        <v>0</v>
      </c>
      <c r="AI1949" s="313">
        <f t="shared" si="12"/>
        <v>0</v>
      </c>
      <c r="AJ1949" s="313">
        <f t="shared" si="5"/>
        <v>1144000</v>
      </c>
      <c r="AK1949" s="313">
        <f t="shared" si="18"/>
        <v>1144000</v>
      </c>
      <c r="AL1949" s="144"/>
      <c r="AM1949" s="144"/>
    </row>
    <row r="1950">
      <c r="A1950" s="310">
        <v>1939.0</v>
      </c>
      <c r="B1950" s="311">
        <v>46022.0</v>
      </c>
      <c r="C1950" s="140"/>
      <c r="D1950" s="312" t="s">
        <v>5018</v>
      </c>
      <c r="E1950" s="433" t="s">
        <v>4278</v>
      </c>
      <c r="F1950" s="312" t="s">
        <v>5019</v>
      </c>
      <c r="G1950" s="310" t="s">
        <v>64</v>
      </c>
      <c r="H1950" s="310" t="s">
        <v>227</v>
      </c>
      <c r="I1950" s="310" t="s">
        <v>643</v>
      </c>
      <c r="J1950" s="138"/>
      <c r="K1950" s="138"/>
      <c r="L1950" s="138"/>
      <c r="M1950" s="138"/>
      <c r="N1950" s="138"/>
      <c r="O1950" s="138"/>
      <c r="P1950" s="438"/>
      <c r="Q1950" s="140"/>
      <c r="R1950" s="140"/>
      <c r="S1950" s="433" t="s">
        <v>89</v>
      </c>
      <c r="T1950" s="310" t="s">
        <v>83</v>
      </c>
      <c r="U1950" s="310" t="s">
        <v>99</v>
      </c>
      <c r="V1950" s="310" t="s">
        <v>1984</v>
      </c>
      <c r="W1950" s="141"/>
      <c r="X1950" s="141"/>
      <c r="Y1950" s="141"/>
      <c r="Z1950" s="141"/>
      <c r="AA1950" s="313">
        <v>0.0</v>
      </c>
      <c r="AB1950" s="313">
        <v>1280000.0</v>
      </c>
      <c r="AC1950" s="562" t="s">
        <v>5017</v>
      </c>
      <c r="AD1950" s="310">
        <v>22092.0</v>
      </c>
      <c r="AE1950" s="140"/>
      <c r="AF1950" s="310" t="str">
        <f t="shared" si="1"/>
        <v>Capital Federal, Argentina</v>
      </c>
      <c r="AG1950" s="433">
        <f t="shared" si="2"/>
        <v>0</v>
      </c>
      <c r="AH1950" s="313">
        <f t="shared" si="17"/>
        <v>0</v>
      </c>
      <c r="AI1950" s="313">
        <f t="shared" si="12"/>
        <v>0</v>
      </c>
      <c r="AJ1950" s="313">
        <f t="shared" si="5"/>
        <v>1280000</v>
      </c>
      <c r="AK1950" s="313">
        <f t="shared" si="18"/>
        <v>1280000</v>
      </c>
      <c r="AL1950" s="144"/>
      <c r="AM1950" s="144"/>
    </row>
    <row r="1951">
      <c r="A1951" s="310">
        <v>1940.0</v>
      </c>
      <c r="B1951" s="311">
        <v>46022.0</v>
      </c>
      <c r="C1951" s="140"/>
      <c r="D1951" s="312" t="s">
        <v>4577</v>
      </c>
      <c r="E1951" s="433" t="s">
        <v>4578</v>
      </c>
      <c r="F1951" s="312" t="s">
        <v>1423</v>
      </c>
      <c r="G1951" s="310" t="s">
        <v>64</v>
      </c>
      <c r="H1951" s="310" t="s">
        <v>41</v>
      </c>
      <c r="I1951" s="310" t="s">
        <v>643</v>
      </c>
      <c r="J1951" s="139">
        <v>1.0</v>
      </c>
      <c r="K1951" s="138"/>
      <c r="L1951" s="138"/>
      <c r="M1951" s="138"/>
      <c r="N1951" s="138"/>
      <c r="O1951" s="138"/>
      <c r="P1951" s="438"/>
      <c r="Q1951" s="140"/>
      <c r="R1951" s="140"/>
      <c r="S1951" s="433" t="s">
        <v>98</v>
      </c>
      <c r="T1951" s="310" t="s">
        <v>66</v>
      </c>
      <c r="U1951" s="310" t="s">
        <v>99</v>
      </c>
      <c r="V1951" s="310" t="s">
        <v>1984</v>
      </c>
      <c r="W1951" s="141"/>
      <c r="X1951" s="141"/>
      <c r="Y1951" s="141"/>
      <c r="Z1951" s="141"/>
      <c r="AA1951" s="313">
        <v>160000.0</v>
      </c>
      <c r="AB1951" s="313">
        <v>520000.0</v>
      </c>
      <c r="AC1951" s="562" t="s">
        <v>5020</v>
      </c>
      <c r="AD1951" s="310">
        <v>22686.0</v>
      </c>
      <c r="AE1951" s="140"/>
      <c r="AF1951" s="310" t="str">
        <f t="shared" si="1"/>
        <v>Buenos Aires, Argentina</v>
      </c>
      <c r="AG1951" s="433">
        <f t="shared" si="2"/>
        <v>1</v>
      </c>
      <c r="AH1951" s="313">
        <f t="shared" si="17"/>
        <v>0</v>
      </c>
      <c r="AI1951" s="313">
        <f t="shared" si="12"/>
        <v>0</v>
      </c>
      <c r="AJ1951" s="313">
        <f t="shared" si="5"/>
        <v>680000</v>
      </c>
      <c r="AK1951" s="313">
        <f t="shared" si="18"/>
        <v>680000</v>
      </c>
      <c r="AL1951" s="144"/>
      <c r="AM1951" s="144"/>
    </row>
    <row r="1952">
      <c r="A1952" s="224">
        <v>1941.0</v>
      </c>
      <c r="B1952" s="225">
        <v>46037.0</v>
      </c>
      <c r="C1952" s="229"/>
      <c r="D1952" s="226" t="s">
        <v>5021</v>
      </c>
      <c r="E1952" s="426" t="s">
        <v>1928</v>
      </c>
      <c r="F1952" s="226" t="s">
        <v>5022</v>
      </c>
      <c r="G1952" s="224" t="s">
        <v>64</v>
      </c>
      <c r="H1952" s="224" t="s">
        <v>41</v>
      </c>
      <c r="I1952" s="224" t="s">
        <v>643</v>
      </c>
      <c r="J1952" s="228"/>
      <c r="K1952" s="228"/>
      <c r="L1952" s="228"/>
      <c r="M1952" s="228"/>
      <c r="N1952" s="228"/>
      <c r="O1952" s="228"/>
      <c r="P1952" s="496"/>
      <c r="Q1952" s="229"/>
      <c r="R1952" s="229"/>
      <c r="S1952" s="426" t="s">
        <v>65</v>
      </c>
      <c r="T1952" s="224" t="s">
        <v>66</v>
      </c>
      <c r="U1952" s="224" t="s">
        <v>99</v>
      </c>
      <c r="V1952" s="224" t="s">
        <v>1984</v>
      </c>
      <c r="W1952" s="230"/>
      <c r="X1952" s="230"/>
      <c r="Y1952" s="230"/>
      <c r="Z1952" s="230"/>
      <c r="AA1952" s="231">
        <v>0.0</v>
      </c>
      <c r="AB1952" s="231">
        <v>0.0</v>
      </c>
      <c r="AC1952" s="499" t="s">
        <v>5023</v>
      </c>
      <c r="AD1952" s="224">
        <v>22808.0</v>
      </c>
      <c r="AE1952" s="229"/>
      <c r="AF1952" s="224" t="str">
        <f t="shared" si="1"/>
        <v>Buenos Aires, Argentina</v>
      </c>
      <c r="AG1952" s="426">
        <f t="shared" si="2"/>
        <v>0</v>
      </c>
      <c r="AH1952" s="231">
        <f t="shared" si="17"/>
        <v>0</v>
      </c>
      <c r="AI1952" s="231">
        <f t="shared" si="12"/>
        <v>0</v>
      </c>
      <c r="AJ1952" s="231">
        <f t="shared" si="5"/>
        <v>0</v>
      </c>
      <c r="AK1952" s="231">
        <f t="shared" si="18"/>
        <v>0</v>
      </c>
      <c r="AL1952" s="233"/>
      <c r="AM1952" s="233"/>
    </row>
    <row r="1953">
      <c r="A1953" s="224">
        <v>1942.0</v>
      </c>
      <c r="B1953" s="225">
        <v>46041.0</v>
      </c>
      <c r="C1953" s="229"/>
      <c r="D1953" s="226" t="s">
        <v>5024</v>
      </c>
      <c r="E1953" s="426" t="s">
        <v>5025</v>
      </c>
      <c r="F1953" s="226" t="s">
        <v>2056</v>
      </c>
      <c r="G1953" s="224" t="s">
        <v>40</v>
      </c>
      <c r="H1953" s="224" t="s">
        <v>547</v>
      </c>
      <c r="I1953" s="224" t="s">
        <v>42</v>
      </c>
      <c r="J1953" s="275">
        <v>1.0</v>
      </c>
      <c r="K1953" s="228"/>
      <c r="L1953" s="228"/>
      <c r="M1953" s="227">
        <v>1.0</v>
      </c>
      <c r="N1953" s="228"/>
      <c r="O1953" s="228"/>
      <c r="P1953" s="496"/>
      <c r="Q1953" s="229"/>
      <c r="R1953" s="229"/>
      <c r="S1953" s="426" t="s">
        <v>137</v>
      </c>
      <c r="T1953" s="224" t="s">
        <v>263</v>
      </c>
      <c r="U1953" s="224" t="s">
        <v>1493</v>
      </c>
      <c r="V1953" s="224" t="s">
        <v>2922</v>
      </c>
      <c r="W1953" s="230"/>
      <c r="X1953" s="230"/>
      <c r="Y1953" s="230"/>
      <c r="Z1953" s="230"/>
      <c r="AA1953" s="231">
        <v>125664.0</v>
      </c>
      <c r="AB1953" s="231">
        <v>471240.0</v>
      </c>
      <c r="AC1953" s="499" t="s">
        <v>5026</v>
      </c>
      <c r="AD1953" s="224">
        <v>20408.0</v>
      </c>
      <c r="AE1953" s="229"/>
      <c r="AF1953" s="224" t="str">
        <f t="shared" si="1"/>
        <v>Santa Fé, Argentina</v>
      </c>
      <c r="AG1953" s="426">
        <f t="shared" si="2"/>
        <v>2</v>
      </c>
      <c r="AH1953" s="231">
        <f t="shared" si="17"/>
        <v>0</v>
      </c>
      <c r="AI1953" s="231">
        <f t="shared" si="12"/>
        <v>0</v>
      </c>
      <c r="AJ1953" s="231">
        <f t="shared" si="5"/>
        <v>596904</v>
      </c>
      <c r="AK1953" s="231">
        <f t="shared" si="18"/>
        <v>596904</v>
      </c>
      <c r="AL1953" s="233"/>
      <c r="AM1953" s="233"/>
    </row>
    <row r="1954">
      <c r="A1954" s="224">
        <v>1943.0</v>
      </c>
      <c r="B1954" s="225">
        <v>46041.0</v>
      </c>
      <c r="C1954" s="229"/>
      <c r="D1954" s="226" t="s">
        <v>5027</v>
      </c>
      <c r="E1954" s="426" t="s">
        <v>5028</v>
      </c>
      <c r="F1954" s="226" t="s">
        <v>2056</v>
      </c>
      <c r="G1954" s="224" t="s">
        <v>40</v>
      </c>
      <c r="H1954" s="224" t="s">
        <v>41</v>
      </c>
      <c r="I1954" s="224" t="s">
        <v>42</v>
      </c>
      <c r="J1954" s="275">
        <v>1.0</v>
      </c>
      <c r="K1954" s="228"/>
      <c r="L1954" s="228"/>
      <c r="M1954" s="227">
        <v>1.0</v>
      </c>
      <c r="N1954" s="228"/>
      <c r="O1954" s="228"/>
      <c r="P1954" s="496"/>
      <c r="Q1954" s="229"/>
      <c r="R1954" s="229"/>
      <c r="S1954" s="426" t="s">
        <v>65</v>
      </c>
      <c r="T1954" s="224" t="s">
        <v>83</v>
      </c>
      <c r="U1954" s="224" t="s">
        <v>1493</v>
      </c>
      <c r="V1954" s="224" t="s">
        <v>2922</v>
      </c>
      <c r="W1954" s="230"/>
      <c r="X1954" s="230"/>
      <c r="Y1954" s="230"/>
      <c r="Z1954" s="230"/>
      <c r="AA1954" s="231">
        <v>163200.0</v>
      </c>
      <c r="AB1954" s="231">
        <v>571200.0</v>
      </c>
      <c r="AC1954" s="499" t="s">
        <v>5029</v>
      </c>
      <c r="AD1954" s="224">
        <v>21504.0</v>
      </c>
      <c r="AE1954" s="229"/>
      <c r="AF1954" s="224" t="str">
        <f t="shared" si="1"/>
        <v>Capital Federal, Argentina</v>
      </c>
      <c r="AG1954" s="426">
        <f t="shared" si="2"/>
        <v>2</v>
      </c>
      <c r="AH1954" s="231">
        <f t="shared" si="17"/>
        <v>0</v>
      </c>
      <c r="AI1954" s="231">
        <f t="shared" si="12"/>
        <v>0</v>
      </c>
      <c r="AJ1954" s="231">
        <f t="shared" si="5"/>
        <v>734400</v>
      </c>
      <c r="AK1954" s="231">
        <f t="shared" si="18"/>
        <v>734400</v>
      </c>
      <c r="AL1954" s="233"/>
      <c r="AM1954" s="233"/>
    </row>
    <row r="1955">
      <c r="A1955" s="224">
        <v>1944.0</v>
      </c>
      <c r="B1955" s="225">
        <v>46042.0</v>
      </c>
      <c r="C1955" s="229"/>
      <c r="D1955" s="226" t="s">
        <v>2564</v>
      </c>
      <c r="E1955" s="426" t="s">
        <v>1980</v>
      </c>
      <c r="F1955" s="226" t="s">
        <v>4180</v>
      </c>
      <c r="G1955" s="224" t="s">
        <v>64</v>
      </c>
      <c r="H1955" s="224" t="s">
        <v>41</v>
      </c>
      <c r="I1955" s="224" t="s">
        <v>42</v>
      </c>
      <c r="J1955" s="228"/>
      <c r="K1955" s="228"/>
      <c r="L1955" s="228"/>
      <c r="M1955" s="228"/>
      <c r="N1955" s="227">
        <v>1.0</v>
      </c>
      <c r="O1955" s="228"/>
      <c r="P1955" s="496"/>
      <c r="Q1955" s="229"/>
      <c r="R1955" s="229"/>
      <c r="S1955" s="426" t="s">
        <v>65</v>
      </c>
      <c r="T1955" s="224" t="s">
        <v>66</v>
      </c>
      <c r="U1955" s="224" t="s">
        <v>99</v>
      </c>
      <c r="V1955" s="224" t="s">
        <v>1984</v>
      </c>
      <c r="W1955" s="230"/>
      <c r="X1955" s="230"/>
      <c r="Y1955" s="230"/>
      <c r="Z1955" s="230"/>
      <c r="AA1955" s="231">
        <v>146880.0</v>
      </c>
      <c r="AB1955" s="231">
        <v>652800.0</v>
      </c>
      <c r="AC1955" s="499" t="s">
        <v>5030</v>
      </c>
      <c r="AD1955" s="224">
        <v>22790.0</v>
      </c>
      <c r="AE1955" s="229"/>
      <c r="AF1955" s="224" t="str">
        <f t="shared" si="1"/>
        <v>Buenos Aires, Argentina</v>
      </c>
      <c r="AG1955" s="426">
        <f t="shared" si="2"/>
        <v>1</v>
      </c>
      <c r="AH1955" s="231">
        <f t="shared" si="17"/>
        <v>0</v>
      </c>
      <c r="AI1955" s="231">
        <f t="shared" si="12"/>
        <v>0</v>
      </c>
      <c r="AJ1955" s="231">
        <f t="shared" si="5"/>
        <v>799680</v>
      </c>
      <c r="AK1955" s="231">
        <f t="shared" si="18"/>
        <v>799680</v>
      </c>
      <c r="AL1955" s="233"/>
      <c r="AM1955" s="233"/>
    </row>
    <row r="1956">
      <c r="A1956" s="224">
        <v>1945.0</v>
      </c>
      <c r="B1956" s="225">
        <v>46044.0</v>
      </c>
      <c r="C1956" s="229"/>
      <c r="D1956" s="226" t="s">
        <v>5031</v>
      </c>
      <c r="E1956" s="426" t="s">
        <v>5013</v>
      </c>
      <c r="F1956" s="226" t="s">
        <v>1415</v>
      </c>
      <c r="G1956" s="224" t="s">
        <v>64</v>
      </c>
      <c r="H1956" s="224" t="s">
        <v>41</v>
      </c>
      <c r="I1956" s="224" t="s">
        <v>643</v>
      </c>
      <c r="J1956" s="228"/>
      <c r="K1956" s="227">
        <v>1.0</v>
      </c>
      <c r="L1956" s="228"/>
      <c r="M1956" s="228"/>
      <c r="N1956" s="228"/>
      <c r="O1956" s="228"/>
      <c r="P1956" s="496"/>
      <c r="Q1956" s="229"/>
      <c r="R1956" s="229"/>
      <c r="S1956" s="426" t="s">
        <v>65</v>
      </c>
      <c r="T1956" s="224" t="s">
        <v>83</v>
      </c>
      <c r="U1956" s="224" t="s">
        <v>99</v>
      </c>
      <c r="V1956" s="224" t="s">
        <v>1984</v>
      </c>
      <c r="W1956" s="230"/>
      <c r="X1956" s="230"/>
      <c r="Y1956" s="230"/>
      <c r="Z1956" s="230"/>
      <c r="AA1956" s="231">
        <v>108000.0</v>
      </c>
      <c r="AB1956" s="231">
        <v>114240.0</v>
      </c>
      <c r="AC1956" s="499" t="s">
        <v>5032</v>
      </c>
      <c r="AD1956" s="224">
        <v>22948.0</v>
      </c>
      <c r="AE1956" s="229"/>
      <c r="AF1956" s="224" t="str">
        <f t="shared" si="1"/>
        <v>Capital Federal, Argentina</v>
      </c>
      <c r="AG1956" s="426">
        <f t="shared" si="2"/>
        <v>1</v>
      </c>
      <c r="AH1956" s="231">
        <f t="shared" si="17"/>
        <v>0</v>
      </c>
      <c r="AI1956" s="231">
        <f t="shared" si="12"/>
        <v>0</v>
      </c>
      <c r="AJ1956" s="231">
        <f t="shared" si="5"/>
        <v>222240</v>
      </c>
      <c r="AK1956" s="231">
        <f t="shared" si="18"/>
        <v>222240</v>
      </c>
      <c r="AL1956" s="233"/>
      <c r="AM1956" s="233"/>
    </row>
    <row r="1957">
      <c r="A1957" s="224">
        <v>1946.0</v>
      </c>
      <c r="B1957" s="225">
        <v>46045.0</v>
      </c>
      <c r="C1957" s="229"/>
      <c r="D1957" s="226" t="s">
        <v>5033</v>
      </c>
      <c r="E1957" s="426" t="s">
        <v>5034</v>
      </c>
      <c r="F1957" s="226" t="s">
        <v>1423</v>
      </c>
      <c r="G1957" s="224" t="s">
        <v>64</v>
      </c>
      <c r="H1957" s="224" t="s">
        <v>41</v>
      </c>
      <c r="I1957" s="224" t="s">
        <v>643</v>
      </c>
      <c r="J1957" s="275">
        <v>1.0</v>
      </c>
      <c r="K1957" s="228"/>
      <c r="L1957" s="228"/>
      <c r="M1957" s="228"/>
      <c r="N1957" s="228"/>
      <c r="O1957" s="228"/>
      <c r="P1957" s="496"/>
      <c r="Q1957" s="229"/>
      <c r="R1957" s="229"/>
      <c r="S1957" s="426" t="s">
        <v>82</v>
      </c>
      <c r="T1957" s="224" t="s">
        <v>83</v>
      </c>
      <c r="U1957" s="224" t="s">
        <v>99</v>
      </c>
      <c r="V1957" s="224" t="s">
        <v>1984</v>
      </c>
      <c r="W1957" s="230"/>
      <c r="X1957" s="230"/>
      <c r="Y1957" s="230"/>
      <c r="Z1957" s="230"/>
      <c r="AA1957" s="231">
        <v>163200.0</v>
      </c>
      <c r="AB1957" s="231">
        <v>652800.0</v>
      </c>
      <c r="AC1957" s="499" t="s">
        <v>5035</v>
      </c>
      <c r="AD1957" s="224">
        <v>22900.0</v>
      </c>
      <c r="AE1957" s="229"/>
      <c r="AF1957" s="224" t="str">
        <f t="shared" si="1"/>
        <v>Capital Federal, Argentina</v>
      </c>
      <c r="AG1957" s="426">
        <f t="shared" si="2"/>
        <v>1</v>
      </c>
      <c r="AH1957" s="231">
        <f t="shared" si="17"/>
        <v>0</v>
      </c>
      <c r="AI1957" s="231">
        <f t="shared" si="12"/>
        <v>0</v>
      </c>
      <c r="AJ1957" s="231">
        <f t="shared" si="5"/>
        <v>816000</v>
      </c>
      <c r="AK1957" s="231">
        <f t="shared" si="18"/>
        <v>816000</v>
      </c>
      <c r="AL1957" s="233"/>
      <c r="AM1957" s="233"/>
    </row>
    <row r="1958">
      <c r="A1958" s="224">
        <v>1947.0</v>
      </c>
      <c r="B1958" s="225">
        <v>46049.0</v>
      </c>
      <c r="C1958" s="229"/>
      <c r="D1958" s="226" t="s">
        <v>5036</v>
      </c>
      <c r="E1958" s="426" t="s">
        <v>5037</v>
      </c>
      <c r="F1958" s="226" t="s">
        <v>2056</v>
      </c>
      <c r="G1958" s="224" t="s">
        <v>40</v>
      </c>
      <c r="H1958" s="224" t="s">
        <v>41</v>
      </c>
      <c r="I1958" s="224" t="s">
        <v>42</v>
      </c>
      <c r="J1958" s="275">
        <v>1.0</v>
      </c>
      <c r="K1958" s="228"/>
      <c r="L1958" s="228"/>
      <c r="M1958" s="227">
        <v>1.0</v>
      </c>
      <c r="N1958" s="228"/>
      <c r="O1958" s="228"/>
      <c r="P1958" s="496"/>
      <c r="Q1958" s="229"/>
      <c r="R1958" s="229"/>
      <c r="S1958" s="426" t="s">
        <v>189</v>
      </c>
      <c r="T1958" s="224" t="s">
        <v>66</v>
      </c>
      <c r="U1958" s="224" t="s">
        <v>4456</v>
      </c>
      <c r="V1958" s="224" t="s">
        <v>4626</v>
      </c>
      <c r="W1958" s="230"/>
      <c r="X1958" s="230"/>
      <c r="Y1958" s="230"/>
      <c r="Z1958" s="230"/>
      <c r="AA1958" s="231">
        <v>163200.0</v>
      </c>
      <c r="AB1958" s="231">
        <v>571200.0</v>
      </c>
      <c r="AC1958" s="499" t="s">
        <v>5038</v>
      </c>
      <c r="AD1958" s="224">
        <v>22786.0</v>
      </c>
      <c r="AE1958" s="229"/>
      <c r="AF1958" s="224" t="str">
        <f t="shared" si="1"/>
        <v>Buenos Aires, Argentina</v>
      </c>
      <c r="AG1958" s="426">
        <f t="shared" si="2"/>
        <v>2</v>
      </c>
      <c r="AH1958" s="231">
        <f t="shared" si="17"/>
        <v>0</v>
      </c>
      <c r="AI1958" s="231">
        <f t="shared" si="12"/>
        <v>0</v>
      </c>
      <c r="AJ1958" s="231">
        <f t="shared" si="5"/>
        <v>734400</v>
      </c>
      <c r="AK1958" s="231">
        <f t="shared" si="18"/>
        <v>734400</v>
      </c>
      <c r="AL1958" s="233"/>
      <c r="AM1958" s="233"/>
    </row>
    <row r="1959">
      <c r="A1959" s="224">
        <v>1948.0</v>
      </c>
      <c r="B1959" s="225">
        <v>46052.0</v>
      </c>
      <c r="C1959" s="229"/>
      <c r="D1959" s="226" t="s">
        <v>1328</v>
      </c>
      <c r="E1959" s="426" t="s">
        <v>1962</v>
      </c>
      <c r="F1959" s="226" t="s">
        <v>5039</v>
      </c>
      <c r="G1959" s="224" t="s">
        <v>64</v>
      </c>
      <c r="H1959" s="224" t="s">
        <v>227</v>
      </c>
      <c r="I1959" s="224" t="s">
        <v>643</v>
      </c>
      <c r="J1959" s="228"/>
      <c r="K1959" s="228"/>
      <c r="L1959" s="228"/>
      <c r="M1959" s="228"/>
      <c r="N1959" s="228"/>
      <c r="O1959" s="227">
        <v>3.0</v>
      </c>
      <c r="P1959" s="496"/>
      <c r="Q1959" s="229"/>
      <c r="R1959" s="229"/>
      <c r="S1959" s="426" t="s">
        <v>89</v>
      </c>
      <c r="T1959" s="224" t="s">
        <v>83</v>
      </c>
      <c r="U1959" s="224" t="s">
        <v>99</v>
      </c>
      <c r="V1959" s="224" t="s">
        <v>1984</v>
      </c>
      <c r="W1959" s="230"/>
      <c r="X1959" s="230"/>
      <c r="Y1959" s="230"/>
      <c r="Z1959" s="230"/>
      <c r="AA1959" s="231">
        <v>350064.0</v>
      </c>
      <c r="AB1959" s="231">
        <v>1400256.0</v>
      </c>
      <c r="AC1959" s="499" t="s">
        <v>5040</v>
      </c>
      <c r="AD1959" s="224">
        <v>23042.0</v>
      </c>
      <c r="AE1959" s="229"/>
      <c r="AF1959" s="224" t="str">
        <f t="shared" si="1"/>
        <v>Capital Federal, Argentina</v>
      </c>
      <c r="AG1959" s="426">
        <f t="shared" si="2"/>
        <v>3</v>
      </c>
      <c r="AH1959" s="231">
        <f t="shared" si="17"/>
        <v>0</v>
      </c>
      <c r="AI1959" s="231">
        <f t="shared" si="12"/>
        <v>0</v>
      </c>
      <c r="AJ1959" s="231">
        <f t="shared" si="5"/>
        <v>1750320</v>
      </c>
      <c r="AK1959" s="231">
        <f t="shared" si="18"/>
        <v>1750320</v>
      </c>
      <c r="AL1959" s="233"/>
      <c r="AM1959" s="233"/>
    </row>
    <row r="1960">
      <c r="A1960" s="224">
        <v>1949.0</v>
      </c>
      <c r="B1960" s="225">
        <v>46052.0</v>
      </c>
      <c r="C1960" s="229"/>
      <c r="D1960" s="226" t="s">
        <v>4761</v>
      </c>
      <c r="E1960" s="426" t="s">
        <v>179</v>
      </c>
      <c r="F1960" s="226" t="s">
        <v>12</v>
      </c>
      <c r="G1960" s="224" t="s">
        <v>64</v>
      </c>
      <c r="H1960" s="224" t="s">
        <v>41</v>
      </c>
      <c r="I1960" s="224" t="s">
        <v>643</v>
      </c>
      <c r="J1960" s="228"/>
      <c r="K1960" s="228"/>
      <c r="L1960" s="228"/>
      <c r="M1960" s="227">
        <v>1.0</v>
      </c>
      <c r="N1960" s="228"/>
      <c r="O1960" s="228"/>
      <c r="P1960" s="496"/>
      <c r="Q1960" s="229"/>
      <c r="R1960" s="229"/>
      <c r="S1960" s="426" t="s">
        <v>51</v>
      </c>
      <c r="T1960" s="224" t="s">
        <v>83</v>
      </c>
      <c r="U1960" s="224" t="s">
        <v>99</v>
      </c>
      <c r="V1960" s="224" t="s">
        <v>1984</v>
      </c>
      <c r="W1960" s="230"/>
      <c r="X1960" s="230"/>
      <c r="Y1960" s="230"/>
      <c r="Z1960" s="230"/>
      <c r="AA1960" s="231">
        <v>163200.0</v>
      </c>
      <c r="AB1960" s="231">
        <v>652800.0</v>
      </c>
      <c r="AC1960" s="499" t="s">
        <v>5041</v>
      </c>
      <c r="AD1960" s="224">
        <v>23058.0</v>
      </c>
      <c r="AE1960" s="229"/>
      <c r="AF1960" s="224" t="str">
        <f t="shared" si="1"/>
        <v>Capital Federal, Argentina</v>
      </c>
      <c r="AG1960" s="426">
        <f t="shared" si="2"/>
        <v>1</v>
      </c>
      <c r="AH1960" s="231">
        <f t="shared" si="17"/>
        <v>0</v>
      </c>
      <c r="AI1960" s="231">
        <f t="shared" si="12"/>
        <v>0</v>
      </c>
      <c r="AJ1960" s="231">
        <f t="shared" si="5"/>
        <v>816000</v>
      </c>
      <c r="AK1960" s="231">
        <f t="shared" si="18"/>
        <v>816000</v>
      </c>
      <c r="AL1960" s="233"/>
      <c r="AM1960" s="233"/>
    </row>
    <row r="1961">
      <c r="A1961" s="224">
        <v>1950.0</v>
      </c>
      <c r="B1961" s="225">
        <v>46052.0</v>
      </c>
      <c r="C1961" s="229"/>
      <c r="D1961" s="226" t="s">
        <v>4761</v>
      </c>
      <c r="E1961" s="426" t="s">
        <v>179</v>
      </c>
      <c r="F1961" s="226" t="s">
        <v>5042</v>
      </c>
      <c r="G1961" s="224" t="s">
        <v>64</v>
      </c>
      <c r="H1961" s="224" t="s">
        <v>41</v>
      </c>
      <c r="I1961" s="224" t="s">
        <v>643</v>
      </c>
      <c r="J1961" s="228"/>
      <c r="K1961" s="228"/>
      <c r="L1961" s="228"/>
      <c r="M1961" s="228"/>
      <c r="N1961" s="228"/>
      <c r="O1961" s="228"/>
      <c r="P1961" s="496"/>
      <c r="Q1961" s="229"/>
      <c r="R1961" s="229"/>
      <c r="S1961" s="426" t="s">
        <v>51</v>
      </c>
      <c r="T1961" s="224" t="s">
        <v>83</v>
      </c>
      <c r="U1961" s="224" t="s">
        <v>99</v>
      </c>
      <c r="V1961" s="224" t="s">
        <v>1984</v>
      </c>
      <c r="W1961" s="230"/>
      <c r="X1961" s="230"/>
      <c r="Y1961" s="230"/>
      <c r="Z1961" s="230"/>
      <c r="AA1961" s="231">
        <v>0.0</v>
      </c>
      <c r="AB1961" s="231">
        <v>0.0</v>
      </c>
      <c r="AC1961" s="499" t="s">
        <v>5041</v>
      </c>
      <c r="AD1961" s="224">
        <v>23058.0</v>
      </c>
      <c r="AE1961" s="229"/>
      <c r="AF1961" s="224" t="str">
        <f t="shared" si="1"/>
        <v>Capital Federal, Argentina</v>
      </c>
      <c r="AG1961" s="426">
        <f t="shared" si="2"/>
        <v>0</v>
      </c>
      <c r="AH1961" s="231">
        <f t="shared" si="17"/>
        <v>0</v>
      </c>
      <c r="AI1961" s="231">
        <f t="shared" si="12"/>
        <v>0</v>
      </c>
      <c r="AJ1961" s="231">
        <f t="shared" si="5"/>
        <v>0</v>
      </c>
      <c r="AK1961" s="231">
        <f t="shared" si="18"/>
        <v>0</v>
      </c>
      <c r="AL1961" s="233"/>
      <c r="AM1961" s="233"/>
    </row>
    <row r="1962">
      <c r="A1962" s="224">
        <v>1951.0</v>
      </c>
      <c r="B1962" s="225">
        <v>46052.0</v>
      </c>
      <c r="C1962" s="229"/>
      <c r="D1962" s="226" t="s">
        <v>4827</v>
      </c>
      <c r="E1962" s="426" t="s">
        <v>4828</v>
      </c>
      <c r="F1962" s="226" t="s">
        <v>1423</v>
      </c>
      <c r="G1962" s="224" t="s">
        <v>64</v>
      </c>
      <c r="H1962" s="224" t="s">
        <v>41</v>
      </c>
      <c r="I1962" s="224" t="s">
        <v>643</v>
      </c>
      <c r="J1962" s="275">
        <v>1.0</v>
      </c>
      <c r="K1962" s="228"/>
      <c r="L1962" s="228"/>
      <c r="M1962" s="228"/>
      <c r="N1962" s="228"/>
      <c r="O1962" s="228"/>
      <c r="P1962" s="496"/>
      <c r="Q1962" s="229"/>
      <c r="R1962" s="229"/>
      <c r="S1962" s="426" t="s">
        <v>65</v>
      </c>
      <c r="T1962" s="224" t="s">
        <v>984</v>
      </c>
      <c r="U1962" s="224" t="s">
        <v>99</v>
      </c>
      <c r="V1962" s="224" t="s">
        <v>1984</v>
      </c>
      <c r="W1962" s="230"/>
      <c r="X1962" s="230"/>
      <c r="Y1962" s="230"/>
      <c r="Z1962" s="230"/>
      <c r="AA1962" s="231">
        <v>146880.0</v>
      </c>
      <c r="AB1962" s="231">
        <v>652800.0</v>
      </c>
      <c r="AC1962" s="499" t="s">
        <v>5043</v>
      </c>
      <c r="AD1962" s="224">
        <v>23066.0</v>
      </c>
      <c r="AE1962" s="229"/>
      <c r="AF1962" s="224" t="str">
        <f t="shared" si="1"/>
        <v>Santiago del Estero, Argentina</v>
      </c>
      <c r="AG1962" s="426">
        <f t="shared" si="2"/>
        <v>1</v>
      </c>
      <c r="AH1962" s="231">
        <f t="shared" si="17"/>
        <v>0</v>
      </c>
      <c r="AI1962" s="231">
        <f t="shared" si="12"/>
        <v>0</v>
      </c>
      <c r="AJ1962" s="231">
        <f t="shared" si="5"/>
        <v>799680</v>
      </c>
      <c r="AK1962" s="231">
        <f t="shared" si="18"/>
        <v>799680</v>
      </c>
      <c r="AL1962" s="233"/>
      <c r="AM1962" s="233"/>
    </row>
    <row r="1963">
      <c r="A1963" s="224">
        <v>1952.0</v>
      </c>
      <c r="B1963" s="225">
        <v>46052.0</v>
      </c>
      <c r="C1963" s="229"/>
      <c r="D1963" s="226" t="s">
        <v>4254</v>
      </c>
      <c r="E1963" s="426" t="s">
        <v>4255</v>
      </c>
      <c r="F1963" s="226" t="s">
        <v>5044</v>
      </c>
      <c r="G1963" s="224" t="s">
        <v>64</v>
      </c>
      <c r="H1963" s="224" t="s">
        <v>41</v>
      </c>
      <c r="I1963" s="224" t="s">
        <v>643</v>
      </c>
      <c r="J1963" s="228"/>
      <c r="K1963" s="228"/>
      <c r="L1963" s="228"/>
      <c r="M1963" s="228"/>
      <c r="N1963" s="228"/>
      <c r="O1963" s="228"/>
      <c r="P1963" s="496"/>
      <c r="Q1963" s="229"/>
      <c r="R1963" s="229"/>
      <c r="S1963" s="426" t="s">
        <v>189</v>
      </c>
      <c r="T1963" s="224" t="s">
        <v>73</v>
      </c>
      <c r="U1963" s="224" t="s">
        <v>99</v>
      </c>
      <c r="V1963" s="224" t="s">
        <v>1984</v>
      </c>
      <c r="W1963" s="230"/>
      <c r="X1963" s="230"/>
      <c r="Y1963" s="230"/>
      <c r="Z1963" s="230"/>
      <c r="AA1963" s="231">
        <v>0.0</v>
      </c>
      <c r="AB1963" s="231">
        <v>0.0</v>
      </c>
      <c r="AC1963" s="499" t="s">
        <v>5045</v>
      </c>
      <c r="AD1963" s="224">
        <v>22934.0</v>
      </c>
      <c r="AE1963" s="229"/>
      <c r="AF1963" s="224" t="str">
        <f t="shared" si="1"/>
        <v>Tierra de Fuego, Argentina</v>
      </c>
      <c r="AG1963" s="426">
        <f t="shared" si="2"/>
        <v>0</v>
      </c>
      <c r="AH1963" s="231">
        <f t="shared" si="17"/>
        <v>0</v>
      </c>
      <c r="AI1963" s="231">
        <f t="shared" si="12"/>
        <v>0</v>
      </c>
      <c r="AJ1963" s="231">
        <f t="shared" si="5"/>
        <v>0</v>
      </c>
      <c r="AK1963" s="231">
        <f t="shared" si="18"/>
        <v>0</v>
      </c>
      <c r="AL1963" s="233"/>
      <c r="AM1963" s="233"/>
    </row>
    <row r="1964">
      <c r="A1964" s="224">
        <v>1953.0</v>
      </c>
      <c r="B1964" s="225">
        <v>46052.0</v>
      </c>
      <c r="C1964" s="229"/>
      <c r="D1964" s="226" t="s">
        <v>5046</v>
      </c>
      <c r="E1964" s="426" t="s">
        <v>4117</v>
      </c>
      <c r="F1964" s="226" t="s">
        <v>1423</v>
      </c>
      <c r="G1964" s="224" t="s">
        <v>64</v>
      </c>
      <c r="H1964" s="224" t="s">
        <v>41</v>
      </c>
      <c r="I1964" s="224" t="s">
        <v>643</v>
      </c>
      <c r="J1964" s="275">
        <v>1.0</v>
      </c>
      <c r="K1964" s="228"/>
      <c r="L1964" s="228"/>
      <c r="M1964" s="228"/>
      <c r="N1964" s="228"/>
      <c r="O1964" s="228"/>
      <c r="P1964" s="496"/>
      <c r="Q1964" s="229"/>
      <c r="R1964" s="229"/>
      <c r="S1964" s="426" t="s">
        <v>82</v>
      </c>
      <c r="T1964" s="224" t="s">
        <v>66</v>
      </c>
      <c r="U1964" s="224" t="s">
        <v>99</v>
      </c>
      <c r="V1964" s="224" t="s">
        <v>1984</v>
      </c>
      <c r="W1964" s="230"/>
      <c r="X1964" s="230"/>
      <c r="Y1964" s="230"/>
      <c r="Z1964" s="230"/>
      <c r="AA1964" s="231">
        <v>163200.0</v>
      </c>
      <c r="AB1964" s="231">
        <v>652800.0</v>
      </c>
      <c r="AC1964" s="499" t="s">
        <v>5047</v>
      </c>
      <c r="AD1964" s="224">
        <v>23006.0</v>
      </c>
      <c r="AE1964" s="229"/>
      <c r="AF1964" s="224" t="str">
        <f t="shared" si="1"/>
        <v>Buenos Aires, Argentina</v>
      </c>
      <c r="AG1964" s="426">
        <f t="shared" si="2"/>
        <v>1</v>
      </c>
      <c r="AH1964" s="231">
        <f t="shared" si="17"/>
        <v>0</v>
      </c>
      <c r="AI1964" s="231">
        <f t="shared" si="12"/>
        <v>0</v>
      </c>
      <c r="AJ1964" s="231">
        <f t="shared" si="5"/>
        <v>816000</v>
      </c>
      <c r="AK1964" s="231">
        <f t="shared" si="18"/>
        <v>816000</v>
      </c>
      <c r="AL1964" s="233"/>
      <c r="AM1964" s="233"/>
    </row>
    <row r="1965">
      <c r="A1965" s="224">
        <v>1954.0</v>
      </c>
      <c r="B1965" s="225">
        <v>46052.0</v>
      </c>
      <c r="C1965" s="229"/>
      <c r="D1965" s="226" t="s">
        <v>2235</v>
      </c>
      <c r="E1965" s="426" t="s">
        <v>2724</v>
      </c>
      <c r="F1965" s="226" t="s">
        <v>4492</v>
      </c>
      <c r="G1965" s="224" t="s">
        <v>64</v>
      </c>
      <c r="H1965" s="224" t="s">
        <v>41</v>
      </c>
      <c r="I1965" s="224" t="s">
        <v>643</v>
      </c>
      <c r="J1965" s="228"/>
      <c r="K1965" s="228"/>
      <c r="L1965" s="228"/>
      <c r="M1965" s="228"/>
      <c r="N1965" s="227">
        <v>1.0</v>
      </c>
      <c r="O1965" s="228"/>
      <c r="P1965" s="227">
        <v>1.0</v>
      </c>
      <c r="Q1965" s="229"/>
      <c r="R1965" s="229"/>
      <c r="S1965" s="426" t="s">
        <v>65</v>
      </c>
      <c r="T1965" s="224" t="s">
        <v>66</v>
      </c>
      <c r="U1965" s="224" t="s">
        <v>99</v>
      </c>
      <c r="V1965" s="224" t="s">
        <v>1984</v>
      </c>
      <c r="W1965" s="230"/>
      <c r="X1965" s="230"/>
      <c r="Y1965" s="230"/>
      <c r="Z1965" s="230"/>
      <c r="AA1965" s="231">
        <v>326400.0</v>
      </c>
      <c r="AB1965" s="231">
        <v>1305600.0</v>
      </c>
      <c r="AC1965" s="499" t="s">
        <v>5048</v>
      </c>
      <c r="AD1965" s="224">
        <v>22636.0</v>
      </c>
      <c r="AE1965" s="229"/>
      <c r="AF1965" s="224" t="str">
        <f t="shared" si="1"/>
        <v>Buenos Aires, Argentina</v>
      </c>
      <c r="AG1965" s="426">
        <f t="shared" si="2"/>
        <v>2</v>
      </c>
      <c r="AH1965" s="231">
        <f t="shared" si="17"/>
        <v>0</v>
      </c>
      <c r="AI1965" s="231">
        <f t="shared" si="12"/>
        <v>0</v>
      </c>
      <c r="AJ1965" s="231">
        <f t="shared" si="5"/>
        <v>1632000</v>
      </c>
      <c r="AK1965" s="231">
        <f t="shared" si="18"/>
        <v>1632000</v>
      </c>
      <c r="AL1965" s="233"/>
      <c r="AM1965" s="233"/>
    </row>
    <row r="1966">
      <c r="A1966" s="224">
        <v>1955.0</v>
      </c>
      <c r="B1966" s="225">
        <v>46052.0</v>
      </c>
      <c r="C1966" s="229"/>
      <c r="D1966" s="226" t="s">
        <v>2235</v>
      </c>
      <c r="E1966" s="426" t="s">
        <v>2724</v>
      </c>
      <c r="F1966" s="226" t="s">
        <v>5049</v>
      </c>
      <c r="G1966" s="224" t="s">
        <v>64</v>
      </c>
      <c r="H1966" s="224" t="s">
        <v>41</v>
      </c>
      <c r="I1966" s="224" t="s">
        <v>643</v>
      </c>
      <c r="J1966" s="228"/>
      <c r="K1966" s="228"/>
      <c r="L1966" s="228"/>
      <c r="M1966" s="228"/>
      <c r="N1966" s="228"/>
      <c r="O1966" s="228"/>
      <c r="P1966" s="496"/>
      <c r="Q1966" s="229"/>
      <c r="R1966" s="229"/>
      <c r="S1966" s="426" t="s">
        <v>65</v>
      </c>
      <c r="T1966" s="224" t="s">
        <v>66</v>
      </c>
      <c r="U1966" s="224" t="s">
        <v>99</v>
      </c>
      <c r="V1966" s="224" t="s">
        <v>1984</v>
      </c>
      <c r="W1966" s="231">
        <v>256080.0</v>
      </c>
      <c r="X1966" s="276">
        <v>1152360.0</v>
      </c>
      <c r="Y1966" s="230"/>
      <c r="Z1966" s="230"/>
      <c r="AA1966" s="231">
        <v>0.0</v>
      </c>
      <c r="AB1966" s="231">
        <v>0.0</v>
      </c>
      <c r="AC1966" s="499" t="s">
        <v>5048</v>
      </c>
      <c r="AD1966" s="224">
        <v>22636.0</v>
      </c>
      <c r="AE1966" s="229"/>
      <c r="AF1966" s="224" t="str">
        <f t="shared" si="1"/>
        <v>Buenos Aires, Argentina</v>
      </c>
      <c r="AG1966" s="426">
        <f t="shared" si="2"/>
        <v>0</v>
      </c>
      <c r="AH1966" s="231">
        <f t="shared" si="17"/>
        <v>1408440</v>
      </c>
      <c r="AI1966" s="231">
        <f t="shared" si="12"/>
        <v>0</v>
      </c>
      <c r="AJ1966" s="231">
        <f t="shared" si="5"/>
        <v>0</v>
      </c>
      <c r="AK1966" s="231">
        <f t="shared" si="18"/>
        <v>1408440</v>
      </c>
      <c r="AL1966" s="233"/>
      <c r="AM1966" s="233"/>
    </row>
    <row r="1967">
      <c r="A1967" s="224">
        <v>1956.0</v>
      </c>
      <c r="B1967" s="225">
        <v>46052.0</v>
      </c>
      <c r="C1967" s="229"/>
      <c r="D1967" s="226" t="s">
        <v>3725</v>
      </c>
      <c r="E1967" s="426" t="s">
        <v>3522</v>
      </c>
      <c r="F1967" s="226" t="s">
        <v>5050</v>
      </c>
      <c r="G1967" s="224" t="s">
        <v>64</v>
      </c>
      <c r="H1967" s="224" t="s">
        <v>41</v>
      </c>
      <c r="I1967" s="224" t="s">
        <v>643</v>
      </c>
      <c r="J1967" s="228"/>
      <c r="K1967" s="228"/>
      <c r="L1967" s="228"/>
      <c r="M1967" s="228"/>
      <c r="N1967" s="228"/>
      <c r="O1967" s="228"/>
      <c r="P1967" s="496"/>
      <c r="Q1967" s="229"/>
      <c r="R1967" s="229"/>
      <c r="S1967" s="426" t="s">
        <v>105</v>
      </c>
      <c r="T1967" s="224" t="s">
        <v>73</v>
      </c>
      <c r="U1967" s="224" t="s">
        <v>99</v>
      </c>
      <c r="V1967" s="224" t="s">
        <v>1984</v>
      </c>
      <c r="W1967" s="230"/>
      <c r="X1967" s="230"/>
      <c r="Y1967" s="230"/>
      <c r="Z1967" s="230"/>
      <c r="AA1967" s="231">
        <v>0.0</v>
      </c>
      <c r="AB1967" s="231">
        <v>0.0</v>
      </c>
      <c r="AC1967" s="499" t="s">
        <v>5051</v>
      </c>
      <c r="AD1967" s="224">
        <v>22740.0</v>
      </c>
      <c r="AE1967" s="229"/>
      <c r="AF1967" s="224" t="str">
        <f t="shared" si="1"/>
        <v>Tierra de Fuego, Argentina</v>
      </c>
      <c r="AG1967" s="426">
        <f t="shared" si="2"/>
        <v>0</v>
      </c>
      <c r="AH1967" s="231">
        <f t="shared" si="17"/>
        <v>0</v>
      </c>
      <c r="AI1967" s="231">
        <f t="shared" si="12"/>
        <v>0</v>
      </c>
      <c r="AJ1967" s="231">
        <f t="shared" si="5"/>
        <v>0</v>
      </c>
      <c r="AK1967" s="231">
        <f t="shared" si="18"/>
        <v>0</v>
      </c>
      <c r="AL1967" s="233"/>
      <c r="AM1967" s="233"/>
    </row>
    <row r="1968">
      <c r="A1968" s="224">
        <v>1957.0</v>
      </c>
      <c r="B1968" s="225">
        <v>46052.0</v>
      </c>
      <c r="C1968" s="229"/>
      <c r="D1968" s="226" t="s">
        <v>5052</v>
      </c>
      <c r="E1968" s="426" t="s">
        <v>5053</v>
      </c>
      <c r="F1968" s="226" t="s">
        <v>2172</v>
      </c>
      <c r="G1968" s="224" t="s">
        <v>40</v>
      </c>
      <c r="H1968" s="224" t="s">
        <v>547</v>
      </c>
      <c r="I1968" s="224" t="s">
        <v>42</v>
      </c>
      <c r="J1968" s="275">
        <v>2.0</v>
      </c>
      <c r="K1968" s="228"/>
      <c r="L1968" s="228"/>
      <c r="M1968" s="227">
        <v>1.0</v>
      </c>
      <c r="N1968" s="228"/>
      <c r="O1968" s="228"/>
      <c r="P1968" s="496"/>
      <c r="Q1968" s="229"/>
      <c r="R1968" s="229"/>
      <c r="S1968" s="426" t="s">
        <v>98</v>
      </c>
      <c r="T1968" s="224" t="s">
        <v>66</v>
      </c>
      <c r="U1968" s="224" t="s">
        <v>4456</v>
      </c>
      <c r="V1968" s="224" t="s">
        <v>4626</v>
      </c>
      <c r="W1968" s="230"/>
      <c r="X1968" s="230"/>
      <c r="Y1968" s="230"/>
      <c r="Z1968" s="230"/>
      <c r="AA1968" s="231">
        <v>251328.0</v>
      </c>
      <c r="AB1968" s="231">
        <v>942480.0</v>
      </c>
      <c r="AC1968" s="499" t="s">
        <v>5054</v>
      </c>
      <c r="AD1968" s="224">
        <v>22814.0</v>
      </c>
      <c r="AE1968" s="229"/>
      <c r="AF1968" s="224" t="str">
        <f t="shared" si="1"/>
        <v>Buenos Aires, Argentina</v>
      </c>
      <c r="AG1968" s="426">
        <f t="shared" si="2"/>
        <v>3</v>
      </c>
      <c r="AH1968" s="231">
        <f t="shared" si="17"/>
        <v>0</v>
      </c>
      <c r="AI1968" s="231">
        <f t="shared" si="12"/>
        <v>0</v>
      </c>
      <c r="AJ1968" s="231">
        <f t="shared" si="5"/>
        <v>1193808</v>
      </c>
      <c r="AK1968" s="231">
        <f t="shared" si="18"/>
        <v>1193808</v>
      </c>
      <c r="AL1968" s="233"/>
      <c r="AM1968" s="233"/>
    </row>
    <row r="1969">
      <c r="A1969" s="224">
        <v>1958.0</v>
      </c>
      <c r="B1969" s="225">
        <v>46052.0</v>
      </c>
      <c r="C1969" s="229"/>
      <c r="D1969" s="226" t="s">
        <v>5055</v>
      </c>
      <c r="E1969" s="426" t="s">
        <v>5056</v>
      </c>
      <c r="F1969" s="226" t="s">
        <v>1423</v>
      </c>
      <c r="G1969" s="224" t="s">
        <v>64</v>
      </c>
      <c r="H1969" s="224" t="s">
        <v>41</v>
      </c>
      <c r="I1969" s="224" t="s">
        <v>643</v>
      </c>
      <c r="J1969" s="275">
        <v>1.0</v>
      </c>
      <c r="K1969" s="228"/>
      <c r="L1969" s="228"/>
      <c r="M1969" s="228"/>
      <c r="N1969" s="228"/>
      <c r="O1969" s="228"/>
      <c r="P1969" s="496"/>
      <c r="Q1969" s="229"/>
      <c r="R1969" s="229"/>
      <c r="S1969" s="426" t="s">
        <v>189</v>
      </c>
      <c r="T1969" s="224" t="s">
        <v>66</v>
      </c>
      <c r="U1969" s="224" t="s">
        <v>99</v>
      </c>
      <c r="V1969" s="224" t="s">
        <v>1984</v>
      </c>
      <c r="W1969" s="230"/>
      <c r="X1969" s="230"/>
      <c r="Y1969" s="230"/>
      <c r="Z1969" s="230"/>
      <c r="AA1969" s="231">
        <v>163200.0</v>
      </c>
      <c r="AB1969" s="231">
        <v>652800.0</v>
      </c>
      <c r="AC1969" s="499" t="s">
        <v>5057</v>
      </c>
      <c r="AD1969" s="224">
        <v>23160.0</v>
      </c>
      <c r="AE1969" s="229"/>
      <c r="AF1969" s="224" t="str">
        <f t="shared" si="1"/>
        <v>Buenos Aires, Argentina</v>
      </c>
      <c r="AG1969" s="426">
        <f t="shared" si="2"/>
        <v>1</v>
      </c>
      <c r="AH1969" s="231">
        <f t="shared" si="17"/>
        <v>0</v>
      </c>
      <c r="AI1969" s="231">
        <f t="shared" si="12"/>
        <v>0</v>
      </c>
      <c r="AJ1969" s="231">
        <f t="shared" si="5"/>
        <v>816000</v>
      </c>
      <c r="AK1969" s="231">
        <f t="shared" si="18"/>
        <v>816000</v>
      </c>
      <c r="AL1969" s="233"/>
      <c r="AM1969" s="233"/>
    </row>
    <row r="1970">
      <c r="A1970" s="224">
        <v>1959.0</v>
      </c>
      <c r="B1970" s="225">
        <v>46052.0</v>
      </c>
      <c r="C1970" s="229"/>
      <c r="D1970" s="226" t="s">
        <v>3774</v>
      </c>
      <c r="E1970" s="426" t="s">
        <v>2360</v>
      </c>
      <c r="F1970" s="226" t="s">
        <v>1423</v>
      </c>
      <c r="G1970" s="224" t="s">
        <v>64</v>
      </c>
      <c r="H1970" s="224" t="s">
        <v>41</v>
      </c>
      <c r="I1970" s="224" t="s">
        <v>643</v>
      </c>
      <c r="J1970" s="275">
        <v>1.0</v>
      </c>
      <c r="K1970" s="228"/>
      <c r="L1970" s="228"/>
      <c r="M1970" s="228"/>
      <c r="N1970" s="228"/>
      <c r="O1970" s="228"/>
      <c r="P1970" s="496"/>
      <c r="Q1970" s="229"/>
      <c r="R1970" s="229"/>
      <c r="S1970" s="426" t="s">
        <v>65</v>
      </c>
      <c r="T1970" s="224" t="s">
        <v>66</v>
      </c>
      <c r="U1970" s="224" t="s">
        <v>99</v>
      </c>
      <c r="V1970" s="224" t="s">
        <v>1984</v>
      </c>
      <c r="W1970" s="230"/>
      <c r="X1970" s="230"/>
      <c r="Y1970" s="230"/>
      <c r="Z1970" s="230"/>
      <c r="AA1970" s="231">
        <v>163200.0</v>
      </c>
      <c r="AB1970" s="231">
        <v>652800.0</v>
      </c>
      <c r="AC1970" s="428" t="s">
        <v>5058</v>
      </c>
      <c r="AD1970" s="224">
        <v>23174.0</v>
      </c>
      <c r="AE1970" s="229"/>
      <c r="AF1970" s="224" t="str">
        <f t="shared" si="1"/>
        <v>Buenos Aires, Argentina</v>
      </c>
      <c r="AG1970" s="426">
        <f t="shared" si="2"/>
        <v>1</v>
      </c>
      <c r="AH1970" s="231">
        <f t="shared" si="17"/>
        <v>0</v>
      </c>
      <c r="AI1970" s="231">
        <f t="shared" si="12"/>
        <v>0</v>
      </c>
      <c r="AJ1970" s="231">
        <f t="shared" si="5"/>
        <v>816000</v>
      </c>
      <c r="AK1970" s="231">
        <f t="shared" si="18"/>
        <v>816000</v>
      </c>
      <c r="AL1970" s="233"/>
      <c r="AM1970" s="233"/>
    </row>
    <row r="1971">
      <c r="A1971" s="224">
        <v>1960.0</v>
      </c>
      <c r="B1971" s="225">
        <v>46052.0</v>
      </c>
      <c r="C1971" s="229"/>
      <c r="D1971" s="226" t="s">
        <v>1328</v>
      </c>
      <c r="E1971" s="426" t="s">
        <v>1962</v>
      </c>
      <c r="F1971" s="226" t="s">
        <v>5059</v>
      </c>
      <c r="G1971" s="224" t="s">
        <v>64</v>
      </c>
      <c r="H1971" s="224" t="s">
        <v>227</v>
      </c>
      <c r="I1971" s="224" t="s">
        <v>643</v>
      </c>
      <c r="J1971" s="228"/>
      <c r="K1971" s="228"/>
      <c r="L1971" s="228"/>
      <c r="M1971" s="228"/>
      <c r="N1971" s="228"/>
      <c r="O1971" s="228"/>
      <c r="P1971" s="496"/>
      <c r="Q1971" s="229"/>
      <c r="R1971" s="229"/>
      <c r="S1971" s="426" t="s">
        <v>89</v>
      </c>
      <c r="T1971" s="224" t="s">
        <v>83</v>
      </c>
      <c r="U1971" s="224" t="s">
        <v>99</v>
      </c>
      <c r="V1971" s="224" t="s">
        <v>1984</v>
      </c>
      <c r="W1971" s="231">
        <v>1330165.0</v>
      </c>
      <c r="X1971" s="276">
        <v>0.0</v>
      </c>
      <c r="Y1971" s="230"/>
      <c r="Z1971" s="230"/>
      <c r="AA1971" s="231">
        <v>0.0</v>
      </c>
      <c r="AB1971" s="231">
        <v>0.0</v>
      </c>
      <c r="AC1971" s="428" t="s">
        <v>4902</v>
      </c>
      <c r="AD1971" s="224">
        <v>21846.0</v>
      </c>
      <c r="AE1971" s="229"/>
      <c r="AF1971" s="224" t="str">
        <f t="shared" si="1"/>
        <v>Capital Federal, Argentina</v>
      </c>
      <c r="AG1971" s="426">
        <f t="shared" si="2"/>
        <v>0</v>
      </c>
      <c r="AH1971" s="231">
        <f t="shared" si="17"/>
        <v>1330165</v>
      </c>
      <c r="AI1971" s="231">
        <f t="shared" si="12"/>
        <v>0</v>
      </c>
      <c r="AJ1971" s="231">
        <f t="shared" si="5"/>
        <v>0</v>
      </c>
      <c r="AK1971" s="231">
        <f t="shared" si="18"/>
        <v>1330165</v>
      </c>
      <c r="AL1971" s="233"/>
      <c r="AM1971" s="233"/>
    </row>
    <row r="1972">
      <c r="A1972" s="224">
        <v>1961.0</v>
      </c>
      <c r="B1972" s="225">
        <v>46052.0</v>
      </c>
      <c r="C1972" s="229"/>
      <c r="D1972" s="226" t="s">
        <v>1328</v>
      </c>
      <c r="E1972" s="426" t="s">
        <v>1962</v>
      </c>
      <c r="F1972" s="226" t="s">
        <v>5060</v>
      </c>
      <c r="G1972" s="224" t="s">
        <v>64</v>
      </c>
      <c r="H1972" s="224" t="s">
        <v>227</v>
      </c>
      <c r="I1972" s="224" t="s">
        <v>643</v>
      </c>
      <c r="J1972" s="228"/>
      <c r="K1972" s="228"/>
      <c r="L1972" s="228"/>
      <c r="M1972" s="228"/>
      <c r="N1972" s="228"/>
      <c r="O1972" s="228"/>
      <c r="P1972" s="496"/>
      <c r="Q1972" s="229"/>
      <c r="R1972" s="229"/>
      <c r="S1972" s="426" t="s">
        <v>89</v>
      </c>
      <c r="T1972" s="224" t="s">
        <v>83</v>
      </c>
      <c r="U1972" s="224" t="s">
        <v>99</v>
      </c>
      <c r="V1972" s="224" t="s">
        <v>1984</v>
      </c>
      <c r="W1972" s="231">
        <v>480337.0</v>
      </c>
      <c r="X1972" s="276">
        <v>0.0</v>
      </c>
      <c r="Y1972" s="230"/>
      <c r="Z1972" s="230"/>
      <c r="AA1972" s="231">
        <v>0.0</v>
      </c>
      <c r="AB1972" s="231">
        <v>0.0</v>
      </c>
      <c r="AC1972" s="428" t="s">
        <v>4902</v>
      </c>
      <c r="AD1972" s="224">
        <v>21846.0</v>
      </c>
      <c r="AE1972" s="229"/>
      <c r="AF1972" s="224" t="str">
        <f t="shared" si="1"/>
        <v>Capital Federal, Argentina</v>
      </c>
      <c r="AG1972" s="426">
        <f t="shared" si="2"/>
        <v>0</v>
      </c>
      <c r="AH1972" s="231">
        <f t="shared" si="17"/>
        <v>480337</v>
      </c>
      <c r="AI1972" s="231">
        <f t="shared" si="12"/>
        <v>0</v>
      </c>
      <c r="AJ1972" s="231">
        <f t="shared" si="5"/>
        <v>0</v>
      </c>
      <c r="AK1972" s="231">
        <f t="shared" si="18"/>
        <v>480337</v>
      </c>
      <c r="AL1972" s="233"/>
      <c r="AM1972" s="233"/>
    </row>
    <row r="1973">
      <c r="A1973" s="224">
        <v>1962.0</v>
      </c>
      <c r="B1973" s="225">
        <v>46052.0</v>
      </c>
      <c r="C1973" s="229"/>
      <c r="D1973" s="226" t="s">
        <v>4037</v>
      </c>
      <c r="E1973" s="426" t="s">
        <v>4038</v>
      </c>
      <c r="F1973" s="226" t="s">
        <v>1423</v>
      </c>
      <c r="G1973" s="224" t="s">
        <v>64</v>
      </c>
      <c r="H1973" s="224" t="s">
        <v>41</v>
      </c>
      <c r="I1973" s="224" t="s">
        <v>643</v>
      </c>
      <c r="J1973" s="275">
        <v>1.0</v>
      </c>
      <c r="K1973" s="228"/>
      <c r="L1973" s="228"/>
      <c r="M1973" s="228"/>
      <c r="N1973" s="228"/>
      <c r="O1973" s="228"/>
      <c r="P1973" s="496"/>
      <c r="Q1973" s="229"/>
      <c r="R1973" s="229"/>
      <c r="S1973" s="426" t="s">
        <v>137</v>
      </c>
      <c r="T1973" s="224" t="s">
        <v>66</v>
      </c>
      <c r="U1973" s="224" t="s">
        <v>99</v>
      </c>
      <c r="V1973" s="224" t="s">
        <v>1984</v>
      </c>
      <c r="W1973" s="230"/>
      <c r="X1973" s="230"/>
      <c r="Y1973" s="230"/>
      <c r="Z1973" s="230"/>
      <c r="AA1973" s="231">
        <v>166500.0</v>
      </c>
      <c r="AB1973" s="231">
        <v>832500.0</v>
      </c>
      <c r="AC1973" s="499" t="s">
        <v>5061</v>
      </c>
      <c r="AD1973" s="224">
        <v>23010.0</v>
      </c>
      <c r="AE1973" s="229"/>
      <c r="AF1973" s="224" t="str">
        <f t="shared" si="1"/>
        <v>Buenos Aires, Argentina</v>
      </c>
      <c r="AG1973" s="426">
        <f t="shared" si="2"/>
        <v>1</v>
      </c>
      <c r="AH1973" s="231">
        <f t="shared" si="17"/>
        <v>0</v>
      </c>
      <c r="AI1973" s="231">
        <f t="shared" si="12"/>
        <v>0</v>
      </c>
      <c r="AJ1973" s="231">
        <f t="shared" si="5"/>
        <v>999000</v>
      </c>
      <c r="AK1973" s="231">
        <f t="shared" si="18"/>
        <v>999000</v>
      </c>
      <c r="AL1973" s="233"/>
      <c r="AM1973" s="233"/>
    </row>
    <row r="1974">
      <c r="A1974" s="474">
        <v>1963.0</v>
      </c>
      <c r="B1974" s="475">
        <v>46071.0</v>
      </c>
      <c r="C1974" s="476"/>
      <c r="D1974" s="479" t="s">
        <v>795</v>
      </c>
      <c r="E1974" s="478" t="s">
        <v>796</v>
      </c>
      <c r="F1974" s="479" t="s">
        <v>1427</v>
      </c>
      <c r="G1974" s="474" t="s">
        <v>64</v>
      </c>
      <c r="H1974" s="474" t="s">
        <v>41</v>
      </c>
      <c r="I1974" s="474" t="s">
        <v>643</v>
      </c>
      <c r="J1974" s="482"/>
      <c r="K1974" s="494">
        <v>2.0</v>
      </c>
      <c r="L1974" s="482"/>
      <c r="M1974" s="482"/>
      <c r="N1974" s="482"/>
      <c r="O1974" s="482"/>
      <c r="P1974" s="483"/>
      <c r="Q1974" s="476"/>
      <c r="R1974" s="476"/>
      <c r="S1974" s="478" t="s">
        <v>98</v>
      </c>
      <c r="T1974" s="474" t="s">
        <v>66</v>
      </c>
      <c r="U1974" s="474" t="s">
        <v>99</v>
      </c>
      <c r="V1974" s="474" t="s">
        <v>1984</v>
      </c>
      <c r="W1974" s="485"/>
      <c r="X1974" s="485"/>
      <c r="Y1974" s="485"/>
      <c r="Z1974" s="485"/>
      <c r="AA1974" s="487">
        <v>249750.0</v>
      </c>
      <c r="AB1974" s="487">
        <v>999000.0</v>
      </c>
      <c r="AC1974" s="488" t="s">
        <v>5062</v>
      </c>
      <c r="AD1974" s="474">
        <v>23250.0</v>
      </c>
      <c r="AE1974" s="476"/>
      <c r="AF1974" s="474" t="str">
        <f t="shared" si="1"/>
        <v>Buenos Aires, Argentina</v>
      </c>
      <c r="AG1974" s="478">
        <f t="shared" si="2"/>
        <v>2</v>
      </c>
      <c r="AH1974" s="487">
        <f t="shared" si="17"/>
        <v>0</v>
      </c>
      <c r="AI1974" s="487">
        <f t="shared" si="12"/>
        <v>0</v>
      </c>
      <c r="AJ1974" s="487">
        <f t="shared" si="5"/>
        <v>1248750</v>
      </c>
      <c r="AK1974" s="487">
        <f t="shared" si="18"/>
        <v>1248750</v>
      </c>
      <c r="AL1974" s="492"/>
      <c r="AM1974" s="492"/>
    </row>
    <row r="1975">
      <c r="A1975" s="474">
        <v>1964.0</v>
      </c>
      <c r="B1975" s="475">
        <v>46073.0</v>
      </c>
      <c r="C1975" s="476"/>
      <c r="D1975" s="479" t="s">
        <v>5063</v>
      </c>
      <c r="E1975" s="478" t="s">
        <v>3144</v>
      </c>
      <c r="F1975" s="479" t="s">
        <v>4920</v>
      </c>
      <c r="G1975" s="474" t="s">
        <v>64</v>
      </c>
      <c r="H1975" s="474" t="s">
        <v>41</v>
      </c>
      <c r="I1975" s="474" t="s">
        <v>643</v>
      </c>
      <c r="J1975" s="482"/>
      <c r="K1975" s="482"/>
      <c r="L1975" s="482"/>
      <c r="M1975" s="482"/>
      <c r="N1975" s="482"/>
      <c r="O1975" s="482"/>
      <c r="P1975" s="483"/>
      <c r="Q1975" s="476"/>
      <c r="R1975" s="476"/>
      <c r="S1975" s="478" t="s">
        <v>65</v>
      </c>
      <c r="T1975" s="474" t="s">
        <v>839</v>
      </c>
      <c r="U1975" s="474" t="s">
        <v>99</v>
      </c>
      <c r="V1975" s="474" t="s">
        <v>1984</v>
      </c>
      <c r="W1975" s="485"/>
      <c r="X1975" s="485"/>
      <c r="Y1975" s="485"/>
      <c r="Z1975" s="485"/>
      <c r="AA1975" s="487">
        <v>0.0</v>
      </c>
      <c r="AB1975" s="487">
        <v>399600.0</v>
      </c>
      <c r="AC1975" s="488" t="s">
        <v>5064</v>
      </c>
      <c r="AD1975" s="474">
        <v>23118.0</v>
      </c>
      <c r="AE1975" s="476"/>
      <c r="AF1975" s="474" t="str">
        <f t="shared" si="1"/>
        <v>Neuquén, Argentina</v>
      </c>
      <c r="AG1975" s="478">
        <f t="shared" si="2"/>
        <v>0</v>
      </c>
      <c r="AH1975" s="487">
        <f t="shared" si="17"/>
        <v>0</v>
      </c>
      <c r="AI1975" s="487">
        <f t="shared" si="12"/>
        <v>0</v>
      </c>
      <c r="AJ1975" s="487">
        <f t="shared" si="5"/>
        <v>399600</v>
      </c>
      <c r="AK1975" s="487">
        <f t="shared" si="18"/>
        <v>399600</v>
      </c>
      <c r="AL1975" s="492"/>
      <c r="AM1975" s="492"/>
    </row>
    <row r="1976">
      <c r="A1976" s="474">
        <v>1965.0</v>
      </c>
      <c r="B1976" s="475">
        <v>46080.0</v>
      </c>
      <c r="C1976" s="476"/>
      <c r="D1976" s="479" t="s">
        <v>1328</v>
      </c>
      <c r="E1976" s="478" t="s">
        <v>1962</v>
      </c>
      <c r="F1976" s="479" t="s">
        <v>5065</v>
      </c>
      <c r="G1976" s="474" t="s">
        <v>64</v>
      </c>
      <c r="H1976" s="474" t="s">
        <v>227</v>
      </c>
      <c r="I1976" s="474" t="s">
        <v>643</v>
      </c>
      <c r="J1976" s="482"/>
      <c r="K1976" s="482"/>
      <c r="L1976" s="482"/>
      <c r="M1976" s="482"/>
      <c r="N1976" s="482"/>
      <c r="O1976" s="482"/>
      <c r="P1976" s="483"/>
      <c r="Q1976" s="476"/>
      <c r="R1976" s="476"/>
      <c r="S1976" s="478" t="s">
        <v>89</v>
      </c>
      <c r="T1976" s="474" t="s">
        <v>83</v>
      </c>
      <c r="U1976" s="474" t="s">
        <v>99</v>
      </c>
      <c r="V1976" s="474" t="s">
        <v>1984</v>
      </c>
      <c r="W1976" s="487">
        <v>67905.0</v>
      </c>
      <c r="X1976" s="550">
        <v>0.0</v>
      </c>
      <c r="Y1976" s="485"/>
      <c r="Z1976" s="485"/>
      <c r="AA1976" s="487">
        <v>0.0</v>
      </c>
      <c r="AB1976" s="487">
        <v>0.0</v>
      </c>
      <c r="AC1976" s="488" t="s">
        <v>5066</v>
      </c>
      <c r="AD1976" s="474">
        <v>23342.0</v>
      </c>
      <c r="AE1976" s="476"/>
      <c r="AF1976" s="474" t="str">
        <f t="shared" si="1"/>
        <v>Capital Federal, Argentina</v>
      </c>
      <c r="AG1976" s="478">
        <f t="shared" si="2"/>
        <v>0</v>
      </c>
      <c r="AH1976" s="487">
        <f t="shared" si="17"/>
        <v>67905</v>
      </c>
      <c r="AI1976" s="487">
        <f t="shared" si="12"/>
        <v>0</v>
      </c>
      <c r="AJ1976" s="487">
        <f t="shared" si="5"/>
        <v>0</v>
      </c>
      <c r="AK1976" s="487">
        <f t="shared" si="18"/>
        <v>67905</v>
      </c>
      <c r="AL1976" s="492"/>
      <c r="AM1976" s="492"/>
    </row>
    <row r="1977">
      <c r="A1977" s="474">
        <v>1966.0</v>
      </c>
      <c r="B1977" s="475">
        <v>46080.0</v>
      </c>
      <c r="C1977" s="476"/>
      <c r="D1977" s="479" t="s">
        <v>1328</v>
      </c>
      <c r="E1977" s="478" t="s">
        <v>1962</v>
      </c>
      <c r="F1977" s="479" t="s">
        <v>5067</v>
      </c>
      <c r="G1977" s="474" t="s">
        <v>64</v>
      </c>
      <c r="H1977" s="474" t="s">
        <v>227</v>
      </c>
      <c r="I1977" s="474" t="s">
        <v>643</v>
      </c>
      <c r="J1977" s="482"/>
      <c r="K1977" s="482"/>
      <c r="L1977" s="482"/>
      <c r="M1977" s="482"/>
      <c r="N1977" s="482"/>
      <c r="O1977" s="482"/>
      <c r="P1977" s="483"/>
      <c r="Q1977" s="476"/>
      <c r="R1977" s="476"/>
      <c r="S1977" s="478" t="s">
        <v>89</v>
      </c>
      <c r="T1977" s="474" t="s">
        <v>83</v>
      </c>
      <c r="U1977" s="474" t="s">
        <v>99</v>
      </c>
      <c r="V1977" s="474" t="s">
        <v>1984</v>
      </c>
      <c r="W1977" s="487">
        <v>867675.0</v>
      </c>
      <c r="X1977" s="550">
        <v>0.0</v>
      </c>
      <c r="Y1977" s="485"/>
      <c r="Z1977" s="485"/>
      <c r="AA1977" s="487">
        <v>0.0</v>
      </c>
      <c r="AB1977" s="487">
        <v>0.0</v>
      </c>
      <c r="AC1977" s="488" t="s">
        <v>5066</v>
      </c>
      <c r="AD1977" s="474">
        <v>23342.0</v>
      </c>
      <c r="AE1977" s="476"/>
      <c r="AF1977" s="474" t="str">
        <f t="shared" si="1"/>
        <v>Capital Federal, Argentina</v>
      </c>
      <c r="AG1977" s="478">
        <f t="shared" si="2"/>
        <v>0</v>
      </c>
      <c r="AH1977" s="487">
        <f t="shared" si="17"/>
        <v>867675</v>
      </c>
      <c r="AI1977" s="487">
        <f t="shared" si="12"/>
        <v>0</v>
      </c>
      <c r="AJ1977" s="487">
        <f t="shared" si="5"/>
        <v>0</v>
      </c>
      <c r="AK1977" s="487">
        <f t="shared" si="18"/>
        <v>867675</v>
      </c>
      <c r="AL1977" s="492"/>
      <c r="AM1977" s="492"/>
    </row>
    <row r="1978">
      <c r="A1978" s="474">
        <v>1967.0</v>
      </c>
      <c r="B1978" s="475">
        <v>46080.0</v>
      </c>
      <c r="C1978" s="476"/>
      <c r="D1978" s="479" t="s">
        <v>1821</v>
      </c>
      <c r="E1978" s="478" t="s">
        <v>1822</v>
      </c>
      <c r="F1978" s="479" t="s">
        <v>4705</v>
      </c>
      <c r="G1978" s="474" t="s">
        <v>64</v>
      </c>
      <c r="H1978" s="474" t="s">
        <v>41</v>
      </c>
      <c r="I1978" s="474" t="s">
        <v>643</v>
      </c>
      <c r="J1978" s="482"/>
      <c r="K1978" s="482"/>
      <c r="L1978" s="482"/>
      <c r="M1978" s="482"/>
      <c r="N1978" s="482"/>
      <c r="O1978" s="482"/>
      <c r="P1978" s="483"/>
      <c r="Q1978" s="476"/>
      <c r="R1978" s="476"/>
      <c r="S1978" s="478" t="s">
        <v>65</v>
      </c>
      <c r="T1978" s="474" t="s">
        <v>66</v>
      </c>
      <c r="U1978" s="474" t="s">
        <v>99</v>
      </c>
      <c r="V1978" s="474" t="s">
        <v>1984</v>
      </c>
      <c r="W1978" s="485"/>
      <c r="X1978" s="485"/>
      <c r="Y1978" s="485"/>
      <c r="Z1978" s="485"/>
      <c r="AA1978" s="487">
        <v>0.0</v>
      </c>
      <c r="AB1978" s="487">
        <v>349650.0</v>
      </c>
      <c r="AC1978" s="488" t="s">
        <v>5068</v>
      </c>
      <c r="AD1978" s="474">
        <v>23310.0</v>
      </c>
      <c r="AE1978" s="476"/>
      <c r="AF1978" s="474" t="str">
        <f t="shared" si="1"/>
        <v>Buenos Aires, Argentina</v>
      </c>
      <c r="AG1978" s="478">
        <f t="shared" si="2"/>
        <v>0</v>
      </c>
      <c r="AH1978" s="487">
        <f t="shared" si="17"/>
        <v>0</v>
      </c>
      <c r="AI1978" s="487">
        <f t="shared" si="12"/>
        <v>0</v>
      </c>
      <c r="AJ1978" s="487">
        <f t="shared" si="5"/>
        <v>349650</v>
      </c>
      <c r="AK1978" s="487">
        <f t="shared" si="18"/>
        <v>349650</v>
      </c>
      <c r="AL1978" s="492"/>
      <c r="AM1978" s="492"/>
    </row>
    <row r="1979">
      <c r="A1979" s="474">
        <v>1968.0</v>
      </c>
      <c r="B1979" s="475">
        <v>46080.0</v>
      </c>
      <c r="C1979" s="476"/>
      <c r="D1979" s="479" t="s">
        <v>5069</v>
      </c>
      <c r="E1979" s="478" t="s">
        <v>5070</v>
      </c>
      <c r="F1979" s="479" t="s">
        <v>2056</v>
      </c>
      <c r="G1979" s="474" t="s">
        <v>40</v>
      </c>
      <c r="H1979" s="474" t="s">
        <v>547</v>
      </c>
      <c r="I1979" s="474" t="s">
        <v>42</v>
      </c>
      <c r="J1979" s="480">
        <v>1.0</v>
      </c>
      <c r="K1979" s="482"/>
      <c r="L1979" s="482"/>
      <c r="M1979" s="494">
        <v>1.0</v>
      </c>
      <c r="N1979" s="482"/>
      <c r="O1979" s="482"/>
      <c r="P1979" s="483"/>
      <c r="Q1979" s="476"/>
      <c r="R1979" s="476"/>
      <c r="S1979" s="478" t="s">
        <v>167</v>
      </c>
      <c r="T1979" s="474" t="s">
        <v>83</v>
      </c>
      <c r="U1979" s="474" t="s">
        <v>4456</v>
      </c>
      <c r="V1979" s="474" t="s">
        <v>2922</v>
      </c>
      <c r="W1979" s="485"/>
      <c r="X1979" s="485"/>
      <c r="Y1979" s="485"/>
      <c r="Z1979" s="485"/>
      <c r="AA1979" s="487">
        <v>128205.0</v>
      </c>
      <c r="AB1979" s="487">
        <v>448717.0</v>
      </c>
      <c r="AC1979" s="488" t="s">
        <v>5071</v>
      </c>
      <c r="AD1979" s="474">
        <v>23270.0</v>
      </c>
      <c r="AE1979" s="476"/>
      <c r="AF1979" s="474" t="str">
        <f t="shared" si="1"/>
        <v>Capital Federal, Argentina</v>
      </c>
      <c r="AG1979" s="478">
        <f t="shared" si="2"/>
        <v>2</v>
      </c>
      <c r="AH1979" s="487">
        <f t="shared" si="17"/>
        <v>0</v>
      </c>
      <c r="AI1979" s="487">
        <f t="shared" si="12"/>
        <v>0</v>
      </c>
      <c r="AJ1979" s="487">
        <f t="shared" si="5"/>
        <v>576922</v>
      </c>
      <c r="AK1979" s="487">
        <f t="shared" si="18"/>
        <v>576922</v>
      </c>
      <c r="AL1979" s="492"/>
      <c r="AM1979" s="492"/>
    </row>
    <row r="1980">
      <c r="A1980" s="474">
        <v>1969.0</v>
      </c>
      <c r="B1980" s="475">
        <v>46080.0</v>
      </c>
      <c r="C1980" s="476"/>
      <c r="D1980" s="479" t="s">
        <v>3774</v>
      </c>
      <c r="E1980" s="478" t="s">
        <v>2360</v>
      </c>
      <c r="F1980" s="479" t="s">
        <v>4920</v>
      </c>
      <c r="G1980" s="474" t="s">
        <v>64</v>
      </c>
      <c r="H1980" s="474" t="s">
        <v>41</v>
      </c>
      <c r="I1980" s="474" t="s">
        <v>643</v>
      </c>
      <c r="J1980" s="482"/>
      <c r="K1980" s="482"/>
      <c r="L1980" s="482"/>
      <c r="M1980" s="482"/>
      <c r="N1980" s="482"/>
      <c r="O1980" s="482"/>
      <c r="P1980" s="483"/>
      <c r="Q1980" s="476"/>
      <c r="R1980" s="476"/>
      <c r="S1980" s="478" t="s">
        <v>65</v>
      </c>
      <c r="T1980" s="474" t="s">
        <v>66</v>
      </c>
      <c r="U1980" s="474" t="s">
        <v>99</v>
      </c>
      <c r="V1980" s="474" t="s">
        <v>1984</v>
      </c>
      <c r="W1980" s="485"/>
      <c r="X1980" s="485"/>
      <c r="Y1980" s="485"/>
      <c r="Z1980" s="485"/>
      <c r="AA1980" s="487">
        <v>0.0</v>
      </c>
      <c r="AB1980" s="487">
        <v>408000.0</v>
      </c>
      <c r="AC1980" s="488" t="s">
        <v>5072</v>
      </c>
      <c r="AD1980" s="474">
        <v>23392.0</v>
      </c>
      <c r="AE1980" s="476"/>
      <c r="AF1980" s="474" t="str">
        <f t="shared" si="1"/>
        <v>Buenos Aires, Argentina</v>
      </c>
      <c r="AG1980" s="478">
        <f t="shared" si="2"/>
        <v>0</v>
      </c>
      <c r="AH1980" s="487">
        <f t="shared" si="17"/>
        <v>0</v>
      </c>
      <c r="AI1980" s="487">
        <f t="shared" si="12"/>
        <v>0</v>
      </c>
      <c r="AJ1980" s="487">
        <f t="shared" si="5"/>
        <v>408000</v>
      </c>
      <c r="AK1980" s="487">
        <f t="shared" si="18"/>
        <v>408000</v>
      </c>
      <c r="AL1980" s="492"/>
      <c r="AM1980" s="492"/>
    </row>
    <row r="1981">
      <c r="A1981" s="474">
        <v>1970.0</v>
      </c>
      <c r="B1981" s="475">
        <v>46080.0</v>
      </c>
      <c r="C1981" s="476"/>
      <c r="D1981" s="479" t="s">
        <v>4314</v>
      </c>
      <c r="E1981" s="478" t="s">
        <v>3350</v>
      </c>
      <c r="F1981" s="479" t="s">
        <v>1423</v>
      </c>
      <c r="G1981" s="474" t="s">
        <v>64</v>
      </c>
      <c r="H1981" s="474" t="s">
        <v>41</v>
      </c>
      <c r="I1981" s="474" t="s">
        <v>643</v>
      </c>
      <c r="J1981" s="480">
        <v>1.0</v>
      </c>
      <c r="K1981" s="482"/>
      <c r="L1981" s="482"/>
      <c r="M1981" s="482"/>
      <c r="N1981" s="482"/>
      <c r="O1981" s="482"/>
      <c r="P1981" s="483"/>
      <c r="Q1981" s="476"/>
      <c r="R1981" s="476"/>
      <c r="S1981" s="478" t="s">
        <v>65</v>
      </c>
      <c r="T1981" s="474" t="s">
        <v>66</v>
      </c>
      <c r="U1981" s="474" t="s">
        <v>99</v>
      </c>
      <c r="V1981" s="474" t="s">
        <v>1984</v>
      </c>
      <c r="W1981" s="485"/>
      <c r="X1981" s="485"/>
      <c r="Y1981" s="485"/>
      <c r="Z1981" s="485"/>
      <c r="AA1981" s="487">
        <v>170000.0</v>
      </c>
      <c r="AB1981" s="487">
        <v>552500.0</v>
      </c>
      <c r="AC1981" s="488" t="s">
        <v>5073</v>
      </c>
      <c r="AD1981" s="474">
        <v>23416.0</v>
      </c>
      <c r="AE1981" s="476"/>
      <c r="AF1981" s="474" t="str">
        <f t="shared" si="1"/>
        <v>Buenos Aires, Argentina</v>
      </c>
      <c r="AG1981" s="478">
        <f t="shared" si="2"/>
        <v>1</v>
      </c>
      <c r="AH1981" s="487">
        <f t="shared" si="17"/>
        <v>0</v>
      </c>
      <c r="AI1981" s="487">
        <f t="shared" si="12"/>
        <v>0</v>
      </c>
      <c r="AJ1981" s="487">
        <f t="shared" si="5"/>
        <v>722500</v>
      </c>
      <c r="AK1981" s="487">
        <f t="shared" si="18"/>
        <v>722500</v>
      </c>
      <c r="AL1981" s="492"/>
      <c r="AM1981" s="492"/>
    </row>
    <row r="1982">
      <c r="A1982" s="474">
        <v>1971.0</v>
      </c>
      <c r="B1982" s="475">
        <v>46080.0</v>
      </c>
      <c r="C1982" s="476"/>
      <c r="D1982" s="479" t="s">
        <v>4044</v>
      </c>
      <c r="E1982" s="478" t="s">
        <v>4045</v>
      </c>
      <c r="F1982" s="479" t="s">
        <v>5074</v>
      </c>
      <c r="G1982" s="474" t="s">
        <v>64</v>
      </c>
      <c r="H1982" s="474" t="s">
        <v>41</v>
      </c>
      <c r="I1982" s="474" t="s">
        <v>643</v>
      </c>
      <c r="J1982" s="482"/>
      <c r="K1982" s="482"/>
      <c r="L1982" s="482"/>
      <c r="M1982" s="482"/>
      <c r="N1982" s="482"/>
      <c r="O1982" s="482"/>
      <c r="P1982" s="483"/>
      <c r="Q1982" s="476"/>
      <c r="R1982" s="476"/>
      <c r="S1982" s="478" t="s">
        <v>43</v>
      </c>
      <c r="T1982" s="474" t="s">
        <v>66</v>
      </c>
      <c r="U1982" s="474" t="s">
        <v>99</v>
      </c>
      <c r="V1982" s="474" t="s">
        <v>1984</v>
      </c>
      <c r="W1982" s="485"/>
      <c r="X1982" s="485"/>
      <c r="Y1982" s="485"/>
      <c r="Z1982" s="485"/>
      <c r="AA1982" s="487">
        <v>0.0</v>
      </c>
      <c r="AB1982" s="487">
        <v>221000.0</v>
      </c>
      <c r="AC1982" s="488" t="s">
        <v>5075</v>
      </c>
      <c r="AD1982" s="474">
        <v>23438.0</v>
      </c>
      <c r="AE1982" s="476"/>
      <c r="AF1982" s="474" t="str">
        <f t="shared" si="1"/>
        <v>Buenos Aires, Argentina</v>
      </c>
      <c r="AG1982" s="478">
        <f t="shared" si="2"/>
        <v>0</v>
      </c>
      <c r="AH1982" s="487">
        <f t="shared" si="17"/>
        <v>0</v>
      </c>
      <c r="AI1982" s="487">
        <f t="shared" si="12"/>
        <v>0</v>
      </c>
      <c r="AJ1982" s="487">
        <f t="shared" si="5"/>
        <v>221000</v>
      </c>
      <c r="AK1982" s="487">
        <f t="shared" si="18"/>
        <v>221000</v>
      </c>
      <c r="AL1982" s="492"/>
      <c r="AM1982" s="492"/>
    </row>
    <row r="1983">
      <c r="A1983" s="474">
        <v>1972.0</v>
      </c>
      <c r="B1983" s="475">
        <v>46080.0</v>
      </c>
      <c r="C1983" s="476"/>
      <c r="D1983" s="479" t="s">
        <v>5076</v>
      </c>
      <c r="E1983" s="478" t="s">
        <v>5077</v>
      </c>
      <c r="F1983" s="479" t="s">
        <v>2056</v>
      </c>
      <c r="G1983" s="474" t="s">
        <v>40</v>
      </c>
      <c r="H1983" s="474" t="s">
        <v>547</v>
      </c>
      <c r="I1983" s="474" t="s">
        <v>42</v>
      </c>
      <c r="J1983" s="480">
        <v>1.0</v>
      </c>
      <c r="K1983" s="482"/>
      <c r="L1983" s="482"/>
      <c r="M1983" s="494">
        <v>1.0</v>
      </c>
      <c r="N1983" s="482"/>
      <c r="O1983" s="482"/>
      <c r="P1983" s="483"/>
      <c r="Q1983" s="476"/>
      <c r="R1983" s="476"/>
      <c r="S1983" s="478" t="s">
        <v>98</v>
      </c>
      <c r="T1983" s="474" t="s">
        <v>263</v>
      </c>
      <c r="U1983" s="474" t="s">
        <v>4456</v>
      </c>
      <c r="V1983" s="474" t="s">
        <v>2922</v>
      </c>
      <c r="W1983" s="485"/>
      <c r="X1983" s="485"/>
      <c r="Y1983" s="485"/>
      <c r="Z1983" s="485"/>
      <c r="AA1983" s="487">
        <v>130900.0</v>
      </c>
      <c r="AB1983" s="487">
        <v>458150.0</v>
      </c>
      <c r="AC1983" s="488" t="s">
        <v>5078</v>
      </c>
      <c r="AD1983" s="474">
        <v>23430.0</v>
      </c>
      <c r="AE1983" s="476"/>
      <c r="AF1983" s="474" t="str">
        <f t="shared" si="1"/>
        <v>Santa Fé, Argentina</v>
      </c>
      <c r="AG1983" s="478">
        <f t="shared" si="2"/>
        <v>2</v>
      </c>
      <c r="AH1983" s="487">
        <f t="shared" si="17"/>
        <v>0</v>
      </c>
      <c r="AI1983" s="487">
        <f t="shared" si="12"/>
        <v>0</v>
      </c>
      <c r="AJ1983" s="487">
        <f t="shared" si="5"/>
        <v>589050</v>
      </c>
      <c r="AK1983" s="487">
        <f t="shared" si="18"/>
        <v>589050</v>
      </c>
      <c r="AL1983" s="492"/>
      <c r="AM1983" s="492"/>
    </row>
    <row r="1984">
      <c r="A1984" s="474">
        <v>1973.0</v>
      </c>
      <c r="B1984" s="475">
        <v>46080.0</v>
      </c>
      <c r="C1984" s="476"/>
      <c r="D1984" s="479" t="s">
        <v>5079</v>
      </c>
      <c r="E1984" s="478" t="s">
        <v>5080</v>
      </c>
      <c r="F1984" s="479" t="s">
        <v>2141</v>
      </c>
      <c r="G1984" s="474" t="s">
        <v>40</v>
      </c>
      <c r="H1984" s="474" t="s">
        <v>41</v>
      </c>
      <c r="I1984" s="474" t="s">
        <v>42</v>
      </c>
      <c r="J1984" s="480">
        <v>1.0</v>
      </c>
      <c r="K1984" s="494">
        <v>1.0</v>
      </c>
      <c r="L1984" s="482"/>
      <c r="M1984" s="494">
        <v>1.0</v>
      </c>
      <c r="N1984" s="482"/>
      <c r="O1984" s="482"/>
      <c r="P1984" s="483"/>
      <c r="Q1984" s="476"/>
      <c r="R1984" s="476"/>
      <c r="S1984" s="478" t="s">
        <v>105</v>
      </c>
      <c r="T1984" s="474" t="s">
        <v>83</v>
      </c>
      <c r="U1984" s="474" t="s">
        <v>4456</v>
      </c>
      <c r="V1984" s="474" t="s">
        <v>2922</v>
      </c>
      <c r="W1984" s="485"/>
      <c r="X1984" s="485"/>
      <c r="Y1984" s="485"/>
      <c r="Z1984" s="485"/>
      <c r="AA1984" s="487">
        <v>297500.0</v>
      </c>
      <c r="AB1984" s="487">
        <v>1041250.0</v>
      </c>
      <c r="AC1984" s="488" t="s">
        <v>5081</v>
      </c>
      <c r="AD1984" s="474">
        <v>23382.0</v>
      </c>
      <c r="AE1984" s="476"/>
      <c r="AF1984" s="474" t="str">
        <f t="shared" si="1"/>
        <v>Capital Federal, Argentina</v>
      </c>
      <c r="AG1984" s="478">
        <f t="shared" si="2"/>
        <v>3</v>
      </c>
      <c r="AH1984" s="487">
        <f t="shared" si="17"/>
        <v>0</v>
      </c>
      <c r="AI1984" s="487">
        <f t="shared" si="12"/>
        <v>0</v>
      </c>
      <c r="AJ1984" s="487">
        <f t="shared" si="5"/>
        <v>1338750</v>
      </c>
      <c r="AK1984" s="487">
        <f t="shared" si="18"/>
        <v>1338750</v>
      </c>
      <c r="AL1984" s="492"/>
      <c r="AM1984" s="492"/>
    </row>
    <row r="1985">
      <c r="A1985" s="354">
        <v>1974.0</v>
      </c>
      <c r="B1985" s="355">
        <v>46099.0</v>
      </c>
      <c r="C1985" s="360"/>
      <c r="D1985" s="357" t="s">
        <v>5082</v>
      </c>
      <c r="E1985" s="535" t="s">
        <v>4796</v>
      </c>
      <c r="F1985" s="357" t="s">
        <v>1423</v>
      </c>
      <c r="G1985" s="354" t="s">
        <v>64</v>
      </c>
      <c r="H1985" s="354" t="s">
        <v>41</v>
      </c>
      <c r="I1985" s="354" t="s">
        <v>643</v>
      </c>
      <c r="J1985" s="536">
        <v>1.0</v>
      </c>
      <c r="K1985" s="358"/>
      <c r="L1985" s="358"/>
      <c r="M1985" s="358"/>
      <c r="N1985" s="358"/>
      <c r="O1985" s="358"/>
      <c r="P1985" s="538"/>
      <c r="Q1985" s="360"/>
      <c r="R1985" s="360"/>
      <c r="S1985" s="535" t="s">
        <v>65</v>
      </c>
      <c r="T1985" s="354" t="s">
        <v>66</v>
      </c>
      <c r="U1985" s="354" t="s">
        <v>99</v>
      </c>
      <c r="V1985" s="354" t="s">
        <v>1984</v>
      </c>
      <c r="W1985" s="362"/>
      <c r="X1985" s="362"/>
      <c r="Y1985" s="362"/>
      <c r="Z1985" s="362"/>
      <c r="AA1985" s="363">
        <v>153000.0</v>
      </c>
      <c r="AB1985" s="363">
        <v>403750.0</v>
      </c>
      <c r="AC1985" s="541" t="s">
        <v>5083</v>
      </c>
      <c r="AD1985" s="354">
        <v>23464.0</v>
      </c>
      <c r="AE1985" s="360"/>
      <c r="AF1985" s="354" t="str">
        <f t="shared" si="1"/>
        <v>Buenos Aires, Argentina</v>
      </c>
      <c r="AG1985" s="535">
        <f t="shared" si="2"/>
        <v>1</v>
      </c>
      <c r="AH1985" s="363">
        <f t="shared" si="17"/>
        <v>0</v>
      </c>
      <c r="AI1985" s="363">
        <f t="shared" si="12"/>
        <v>0</v>
      </c>
      <c r="AJ1985" s="363">
        <f t="shared" si="5"/>
        <v>556750</v>
      </c>
      <c r="AK1985" s="363">
        <f t="shared" si="18"/>
        <v>556750</v>
      </c>
      <c r="AL1985" s="366"/>
      <c r="AM1985" s="366"/>
    </row>
    <row r="1986">
      <c r="A1986" s="354">
        <v>1975.0</v>
      </c>
      <c r="B1986" s="355">
        <v>46100.0</v>
      </c>
      <c r="C1986" s="360"/>
      <c r="D1986" s="357" t="s">
        <v>4931</v>
      </c>
      <c r="E1986" s="535" t="s">
        <v>3452</v>
      </c>
      <c r="F1986" s="357" t="s">
        <v>4729</v>
      </c>
      <c r="G1986" s="354" t="s">
        <v>64</v>
      </c>
      <c r="H1986" s="354" t="s">
        <v>41</v>
      </c>
      <c r="I1986" s="354" t="s">
        <v>643</v>
      </c>
      <c r="J1986" s="358"/>
      <c r="K1986" s="358"/>
      <c r="L1986" s="358"/>
      <c r="M1986" s="358"/>
      <c r="N1986" s="358"/>
      <c r="O1986" s="359">
        <v>1.0</v>
      </c>
      <c r="P1986" s="538"/>
      <c r="Q1986" s="360"/>
      <c r="R1986" s="360"/>
      <c r="S1986" s="535" t="s">
        <v>105</v>
      </c>
      <c r="T1986" s="354" t="s">
        <v>73</v>
      </c>
      <c r="U1986" s="354" t="s">
        <v>99</v>
      </c>
      <c r="V1986" s="354" t="s">
        <v>1984</v>
      </c>
      <c r="W1986" s="362"/>
      <c r="X1986" s="362"/>
      <c r="Y1986" s="362"/>
      <c r="Z1986" s="362"/>
      <c r="AA1986" s="363">
        <v>93500.0</v>
      </c>
      <c r="AB1986" s="363">
        <v>303875.0</v>
      </c>
      <c r="AC1986" s="541" t="s">
        <v>5084</v>
      </c>
      <c r="AD1986" s="354">
        <v>23496.0</v>
      </c>
      <c r="AE1986" s="360"/>
      <c r="AF1986" s="354" t="str">
        <f t="shared" si="1"/>
        <v>Tierra de Fuego, Argentina</v>
      </c>
      <c r="AG1986" s="535">
        <f t="shared" si="2"/>
        <v>1</v>
      </c>
      <c r="AH1986" s="363">
        <f t="shared" si="17"/>
        <v>0</v>
      </c>
      <c r="AI1986" s="363">
        <f t="shared" si="12"/>
        <v>0</v>
      </c>
      <c r="AJ1986" s="363">
        <f t="shared" si="5"/>
        <v>397375</v>
      </c>
      <c r="AK1986" s="363">
        <f t="shared" si="18"/>
        <v>397375</v>
      </c>
      <c r="AL1986" s="366"/>
      <c r="AM1986" s="366"/>
    </row>
    <row r="1987">
      <c r="A1987" s="354">
        <v>1976.0</v>
      </c>
      <c r="B1987" s="355">
        <v>46108.0</v>
      </c>
      <c r="C1987" s="360"/>
      <c r="D1987" s="357" t="s">
        <v>5085</v>
      </c>
      <c r="E1987" s="535" t="s">
        <v>5086</v>
      </c>
      <c r="F1987" s="357" t="s">
        <v>1423</v>
      </c>
      <c r="G1987" s="354" t="s">
        <v>64</v>
      </c>
      <c r="H1987" s="354" t="s">
        <v>41</v>
      </c>
      <c r="I1987" s="354" t="s">
        <v>643</v>
      </c>
      <c r="J1987" s="536">
        <v>1.0</v>
      </c>
      <c r="K1987" s="358"/>
      <c r="L1987" s="358"/>
      <c r="M1987" s="358"/>
      <c r="N1987" s="358"/>
      <c r="O1987" s="358"/>
      <c r="P1987" s="538"/>
      <c r="Q1987" s="360"/>
      <c r="R1987" s="360"/>
      <c r="S1987" s="535" t="s">
        <v>72</v>
      </c>
      <c r="T1987" s="354" t="s">
        <v>66</v>
      </c>
      <c r="U1987" s="354" t="s">
        <v>99</v>
      </c>
      <c r="V1987" s="354" t="s">
        <v>1984</v>
      </c>
      <c r="W1987" s="362"/>
      <c r="X1987" s="362"/>
      <c r="Y1987" s="362"/>
      <c r="Z1987" s="362"/>
      <c r="AA1987" s="363">
        <v>170000.0</v>
      </c>
      <c r="AB1987" s="363">
        <v>552500.0</v>
      </c>
      <c r="AC1987" s="541" t="s">
        <v>5087</v>
      </c>
      <c r="AD1987" s="354">
        <v>23242.0</v>
      </c>
      <c r="AE1987" s="360"/>
      <c r="AF1987" s="354" t="str">
        <f t="shared" si="1"/>
        <v>Buenos Aires, Argentina</v>
      </c>
      <c r="AG1987" s="535">
        <f t="shared" si="2"/>
        <v>1</v>
      </c>
      <c r="AH1987" s="363">
        <f t="shared" si="17"/>
        <v>0</v>
      </c>
      <c r="AI1987" s="363">
        <f t="shared" si="12"/>
        <v>0</v>
      </c>
      <c r="AJ1987" s="363">
        <f t="shared" si="5"/>
        <v>722500</v>
      </c>
      <c r="AK1987" s="363">
        <f t="shared" si="18"/>
        <v>722500</v>
      </c>
      <c r="AL1987" s="366"/>
      <c r="AM1987" s="366"/>
    </row>
    <row r="1988">
      <c r="A1988" s="354">
        <v>1977.0</v>
      </c>
      <c r="B1988" s="355">
        <v>46108.0</v>
      </c>
      <c r="C1988" s="360"/>
      <c r="D1988" s="357" t="s">
        <v>4931</v>
      </c>
      <c r="E1988" s="535" t="s">
        <v>3452</v>
      </c>
      <c r="F1988" s="357" t="s">
        <v>4729</v>
      </c>
      <c r="G1988" s="354" t="s">
        <v>64</v>
      </c>
      <c r="H1988" s="354" t="s">
        <v>41</v>
      </c>
      <c r="I1988" s="354" t="s">
        <v>643</v>
      </c>
      <c r="J1988" s="358"/>
      <c r="K1988" s="358"/>
      <c r="L1988" s="358"/>
      <c r="M1988" s="358"/>
      <c r="N1988" s="358"/>
      <c r="O1988" s="359">
        <v>1.0</v>
      </c>
      <c r="P1988" s="538"/>
      <c r="Q1988" s="360"/>
      <c r="R1988" s="360"/>
      <c r="S1988" s="535" t="s">
        <v>105</v>
      </c>
      <c r="T1988" s="354" t="s">
        <v>73</v>
      </c>
      <c r="U1988" s="354" t="s">
        <v>99</v>
      </c>
      <c r="V1988" s="354" t="s">
        <v>1984</v>
      </c>
      <c r="W1988" s="362"/>
      <c r="X1988" s="362"/>
      <c r="Y1988" s="362"/>
      <c r="Z1988" s="362"/>
      <c r="AA1988" s="363">
        <v>93500.0</v>
      </c>
      <c r="AB1988" s="363">
        <v>0.0</v>
      </c>
      <c r="AC1988" s="541" t="s">
        <v>5088</v>
      </c>
      <c r="AD1988" s="354">
        <v>23594.0</v>
      </c>
      <c r="AE1988" s="360"/>
      <c r="AF1988" s="354" t="str">
        <f t="shared" si="1"/>
        <v>Tierra de Fuego, Argentina</v>
      </c>
      <c r="AG1988" s="535">
        <f t="shared" si="2"/>
        <v>1</v>
      </c>
      <c r="AH1988" s="363">
        <f t="shared" si="17"/>
        <v>0</v>
      </c>
      <c r="AI1988" s="363">
        <f t="shared" si="12"/>
        <v>0</v>
      </c>
      <c r="AJ1988" s="363">
        <f t="shared" si="5"/>
        <v>93500</v>
      </c>
      <c r="AK1988" s="363">
        <f t="shared" si="18"/>
        <v>93500</v>
      </c>
      <c r="AL1988" s="366"/>
      <c r="AM1988" s="366"/>
    </row>
    <row r="1989">
      <c r="A1989" s="354">
        <v>1978.0</v>
      </c>
      <c r="B1989" s="355">
        <v>46108.0</v>
      </c>
      <c r="C1989" s="360"/>
      <c r="D1989" s="357" t="s">
        <v>4742</v>
      </c>
      <c r="E1989" s="535" t="s">
        <v>3459</v>
      </c>
      <c r="F1989" s="357" t="s">
        <v>5089</v>
      </c>
      <c r="G1989" s="354" t="s">
        <v>64</v>
      </c>
      <c r="H1989" s="354" t="s">
        <v>41</v>
      </c>
      <c r="I1989" s="354" t="s">
        <v>643</v>
      </c>
      <c r="J1989" s="358"/>
      <c r="K1989" s="358"/>
      <c r="L1989" s="358"/>
      <c r="M1989" s="358"/>
      <c r="N1989" s="358"/>
      <c r="O1989" s="358"/>
      <c r="P1989" s="538"/>
      <c r="Q1989" s="360"/>
      <c r="R1989" s="360"/>
      <c r="S1989" s="535" t="s">
        <v>109</v>
      </c>
      <c r="T1989" s="354" t="s">
        <v>66</v>
      </c>
      <c r="U1989" s="354" t="s">
        <v>99</v>
      </c>
      <c r="V1989" s="354" t="s">
        <v>1984</v>
      </c>
      <c r="W1989" s="362"/>
      <c r="X1989" s="362"/>
      <c r="Y1989" s="362"/>
      <c r="Z1989" s="362"/>
      <c r="AA1989" s="363">
        <v>0.0</v>
      </c>
      <c r="AB1989" s="363">
        <v>221000.0</v>
      </c>
      <c r="AC1989" s="541" t="s">
        <v>5090</v>
      </c>
      <c r="AD1989" s="354">
        <v>23536.0</v>
      </c>
      <c r="AE1989" s="360"/>
      <c r="AF1989" s="354" t="str">
        <f t="shared" si="1"/>
        <v>Buenos Aires, Argentina</v>
      </c>
      <c r="AG1989" s="535">
        <f t="shared" si="2"/>
        <v>0</v>
      </c>
      <c r="AH1989" s="363">
        <f t="shared" si="17"/>
        <v>0</v>
      </c>
      <c r="AI1989" s="363">
        <f t="shared" si="12"/>
        <v>0</v>
      </c>
      <c r="AJ1989" s="363">
        <f t="shared" si="5"/>
        <v>221000</v>
      </c>
      <c r="AK1989" s="363">
        <f t="shared" si="18"/>
        <v>221000</v>
      </c>
      <c r="AL1989" s="366"/>
      <c r="AM1989" s="366"/>
    </row>
    <row r="1990">
      <c r="A1990" s="354">
        <v>1979.0</v>
      </c>
      <c r="B1990" s="355">
        <v>46108.0</v>
      </c>
      <c r="C1990" s="360"/>
      <c r="D1990" s="357" t="s">
        <v>3007</v>
      </c>
      <c r="E1990" s="535" t="s">
        <v>3008</v>
      </c>
      <c r="F1990" s="357" t="s">
        <v>5091</v>
      </c>
      <c r="G1990" s="354" t="s">
        <v>64</v>
      </c>
      <c r="H1990" s="354" t="s">
        <v>41</v>
      </c>
      <c r="I1990" s="354" t="s">
        <v>643</v>
      </c>
      <c r="J1990" s="358"/>
      <c r="K1990" s="358"/>
      <c r="L1990" s="358"/>
      <c r="M1990" s="358"/>
      <c r="N1990" s="358"/>
      <c r="O1990" s="359">
        <v>2.0</v>
      </c>
      <c r="P1990" s="538"/>
      <c r="Q1990" s="360"/>
      <c r="R1990" s="360"/>
      <c r="S1990" s="535" t="s">
        <v>51</v>
      </c>
      <c r="T1990" s="354" t="s">
        <v>66</v>
      </c>
      <c r="U1990" s="354" t="s">
        <v>99</v>
      </c>
      <c r="V1990" s="354" t="s">
        <v>1984</v>
      </c>
      <c r="W1990" s="362"/>
      <c r="X1990" s="362"/>
      <c r="Y1990" s="362"/>
      <c r="Z1990" s="362"/>
      <c r="AA1990" s="363">
        <v>187000.0</v>
      </c>
      <c r="AB1990" s="363">
        <v>607750.0</v>
      </c>
      <c r="AC1990" s="541" t="s">
        <v>5092</v>
      </c>
      <c r="AD1990" s="354">
        <v>23638.0</v>
      </c>
      <c r="AE1990" s="360"/>
      <c r="AF1990" s="354" t="str">
        <f t="shared" si="1"/>
        <v>Buenos Aires, Argentina</v>
      </c>
      <c r="AG1990" s="535">
        <f t="shared" si="2"/>
        <v>2</v>
      </c>
      <c r="AH1990" s="363">
        <f t="shared" si="17"/>
        <v>0</v>
      </c>
      <c r="AI1990" s="363">
        <f t="shared" si="12"/>
        <v>0</v>
      </c>
      <c r="AJ1990" s="363">
        <f t="shared" si="5"/>
        <v>794750</v>
      </c>
      <c r="AK1990" s="363">
        <f t="shared" si="18"/>
        <v>794750</v>
      </c>
      <c r="AL1990" s="366"/>
      <c r="AM1990" s="366"/>
    </row>
    <row r="1991">
      <c r="A1991" s="354">
        <v>1980.0</v>
      </c>
      <c r="B1991" s="355">
        <v>46111.0</v>
      </c>
      <c r="C1991" s="360"/>
      <c r="D1991" s="357" t="s">
        <v>4539</v>
      </c>
      <c r="E1991" s="535" t="s">
        <v>4212</v>
      </c>
      <c r="F1991" s="357" t="s">
        <v>5093</v>
      </c>
      <c r="G1991" s="354" t="s">
        <v>64</v>
      </c>
      <c r="H1991" s="354" t="s">
        <v>41</v>
      </c>
      <c r="I1991" s="354" t="s">
        <v>643</v>
      </c>
      <c r="J1991" s="358"/>
      <c r="K1991" s="358"/>
      <c r="L1991" s="358"/>
      <c r="M1991" s="358"/>
      <c r="N1991" s="358"/>
      <c r="O1991" s="358"/>
      <c r="P1991" s="538"/>
      <c r="Q1991" s="360"/>
      <c r="R1991" s="360"/>
      <c r="S1991" s="535" t="s">
        <v>109</v>
      </c>
      <c r="T1991" s="354" t="s">
        <v>83</v>
      </c>
      <c r="U1991" s="354" t="s">
        <v>99</v>
      </c>
      <c r="V1991" s="354" t="s">
        <v>1984</v>
      </c>
      <c r="W1991" s="363">
        <v>323348.0</v>
      </c>
      <c r="X1991" s="563">
        <v>802612.0</v>
      </c>
      <c r="Y1991" s="362"/>
      <c r="Z1991" s="362"/>
      <c r="AA1991" s="363">
        <v>0.0</v>
      </c>
      <c r="AB1991" s="363">
        <v>0.0</v>
      </c>
      <c r="AC1991" s="541" t="s">
        <v>5094</v>
      </c>
      <c r="AD1991" s="354">
        <v>23636.0</v>
      </c>
      <c r="AE1991" s="360"/>
      <c r="AF1991" s="354" t="str">
        <f t="shared" si="1"/>
        <v>Capital Federal, Argentina</v>
      </c>
      <c r="AG1991" s="535">
        <f t="shared" si="2"/>
        <v>0</v>
      </c>
      <c r="AH1991" s="363">
        <f t="shared" si="17"/>
        <v>1125960</v>
      </c>
      <c r="AI1991" s="363">
        <f t="shared" si="12"/>
        <v>0</v>
      </c>
      <c r="AJ1991" s="363">
        <f t="shared" si="5"/>
        <v>0</v>
      </c>
      <c r="AK1991" s="363">
        <f t="shared" si="18"/>
        <v>1125960</v>
      </c>
      <c r="AL1991" s="366"/>
      <c r="AM1991" s="366"/>
    </row>
    <row r="1992">
      <c r="A1992" s="354">
        <v>1981.0</v>
      </c>
      <c r="B1992" s="355">
        <v>46111.0</v>
      </c>
      <c r="C1992" s="360"/>
      <c r="D1992" s="357" t="s">
        <v>5095</v>
      </c>
      <c r="E1992" s="535" t="s">
        <v>3174</v>
      </c>
      <c r="F1992" s="357" t="s">
        <v>5096</v>
      </c>
      <c r="G1992" s="354" t="s">
        <v>64</v>
      </c>
      <c r="H1992" s="354" t="s">
        <v>41</v>
      </c>
      <c r="I1992" s="354" t="s">
        <v>643</v>
      </c>
      <c r="J1992" s="358"/>
      <c r="K1992" s="358"/>
      <c r="L1992" s="358"/>
      <c r="M1992" s="358"/>
      <c r="N1992" s="358"/>
      <c r="O1992" s="358"/>
      <c r="P1992" s="538"/>
      <c r="Q1992" s="360"/>
      <c r="R1992" s="360"/>
      <c r="S1992" s="535" t="s">
        <v>105</v>
      </c>
      <c r="T1992" s="354" t="s">
        <v>66</v>
      </c>
      <c r="U1992" s="354" t="s">
        <v>99</v>
      </c>
      <c r="V1992" s="354" t="s">
        <v>1984</v>
      </c>
      <c r="W1992" s="362"/>
      <c r="X1992" s="362"/>
      <c r="Y1992" s="362"/>
      <c r="Z1992" s="362"/>
      <c r="AA1992" s="363">
        <v>0.0</v>
      </c>
      <c r="AB1992" s="363">
        <v>221000.0</v>
      </c>
      <c r="AC1992" s="541" t="s">
        <v>5097</v>
      </c>
      <c r="AD1992" s="354">
        <v>23358.0</v>
      </c>
      <c r="AE1992" s="360"/>
      <c r="AF1992" s="354" t="str">
        <f t="shared" si="1"/>
        <v>Buenos Aires, Argentina</v>
      </c>
      <c r="AG1992" s="535">
        <f t="shared" si="2"/>
        <v>0</v>
      </c>
      <c r="AH1992" s="363">
        <f t="shared" si="17"/>
        <v>0</v>
      </c>
      <c r="AI1992" s="363">
        <f t="shared" si="12"/>
        <v>0</v>
      </c>
      <c r="AJ1992" s="363">
        <f t="shared" si="5"/>
        <v>221000</v>
      </c>
      <c r="AK1992" s="363">
        <f t="shared" si="18"/>
        <v>221000</v>
      </c>
      <c r="AL1992" s="366"/>
      <c r="AM1992" s="366"/>
    </row>
    <row r="1993">
      <c r="A1993" s="354">
        <v>1982.0</v>
      </c>
      <c r="B1993" s="355">
        <v>46111.0</v>
      </c>
      <c r="C1993" s="360"/>
      <c r="D1993" s="357" t="s">
        <v>4990</v>
      </c>
      <c r="E1993" s="535" t="s">
        <v>4991</v>
      </c>
      <c r="F1993" s="357" t="s">
        <v>1592</v>
      </c>
      <c r="G1993" s="354" t="s">
        <v>64</v>
      </c>
      <c r="H1993" s="354" t="s">
        <v>41</v>
      </c>
      <c r="I1993" s="354" t="s">
        <v>643</v>
      </c>
      <c r="J1993" s="536">
        <v>1.0</v>
      </c>
      <c r="K1993" s="359">
        <v>1.0</v>
      </c>
      <c r="L1993" s="358"/>
      <c r="M1993" s="358"/>
      <c r="N1993" s="358"/>
      <c r="O1993" s="358"/>
      <c r="P1993" s="538"/>
      <c r="Q1993" s="360"/>
      <c r="R1993" s="360"/>
      <c r="S1993" s="535" t="s">
        <v>51</v>
      </c>
      <c r="T1993" s="354" t="s">
        <v>73</v>
      </c>
      <c r="U1993" s="354" t="s">
        <v>99</v>
      </c>
      <c r="V1993" s="354" t="s">
        <v>1984</v>
      </c>
      <c r="W1993" s="362"/>
      <c r="X1993" s="362"/>
      <c r="Y1993" s="362"/>
      <c r="Z1993" s="362"/>
      <c r="AA1993" s="363">
        <v>280000.0</v>
      </c>
      <c r="AB1993" s="363">
        <v>966875.0</v>
      </c>
      <c r="AC1993" s="541" t="s">
        <v>5098</v>
      </c>
      <c r="AD1993" s="354">
        <v>23560.0</v>
      </c>
      <c r="AE1993" s="360"/>
      <c r="AF1993" s="354" t="str">
        <f t="shared" si="1"/>
        <v>Tierra de Fuego, Argentina</v>
      </c>
      <c r="AG1993" s="535">
        <f t="shared" si="2"/>
        <v>2</v>
      </c>
      <c r="AH1993" s="363">
        <f t="shared" si="17"/>
        <v>0</v>
      </c>
      <c r="AI1993" s="363">
        <f t="shared" si="12"/>
        <v>0</v>
      </c>
      <c r="AJ1993" s="363">
        <f t="shared" si="5"/>
        <v>1246875</v>
      </c>
      <c r="AK1993" s="363">
        <f t="shared" si="18"/>
        <v>1246875</v>
      </c>
      <c r="AL1993" s="366"/>
      <c r="AM1993" s="366"/>
    </row>
    <row r="1994">
      <c r="A1994" s="354">
        <v>1983.0</v>
      </c>
      <c r="B1994" s="355">
        <v>46112.0</v>
      </c>
      <c r="C1994" s="360"/>
      <c r="D1994" s="357" t="s">
        <v>5099</v>
      </c>
      <c r="E1994" s="535" t="s">
        <v>5100</v>
      </c>
      <c r="F1994" s="357" t="s">
        <v>5101</v>
      </c>
      <c r="G1994" s="354" t="s">
        <v>64</v>
      </c>
      <c r="H1994" s="354" t="s">
        <v>41</v>
      </c>
      <c r="I1994" s="354" t="s">
        <v>643</v>
      </c>
      <c r="J1994" s="358"/>
      <c r="K1994" s="358"/>
      <c r="L1994" s="358"/>
      <c r="M1994" s="358"/>
      <c r="N1994" s="358"/>
      <c r="O1994" s="358"/>
      <c r="P1994" s="538"/>
      <c r="Q1994" s="360"/>
      <c r="R1994" s="360"/>
      <c r="S1994" s="535" t="s">
        <v>963</v>
      </c>
      <c r="T1994" s="354" t="s">
        <v>66</v>
      </c>
      <c r="U1994" s="354" t="s">
        <v>99</v>
      </c>
      <c r="V1994" s="354" t="s">
        <v>1984</v>
      </c>
      <c r="W1994" s="363">
        <f>1160.25*1640</f>
        <v>1902810</v>
      </c>
      <c r="X1994" s="563">
        <v>227960.0</v>
      </c>
      <c r="Y1994" s="362"/>
      <c r="Z1994" s="362"/>
      <c r="AA1994" s="363">
        <v>0.0</v>
      </c>
      <c r="AB1994" s="363">
        <v>0.0</v>
      </c>
      <c r="AC1994" s="541" t="s">
        <v>5102</v>
      </c>
      <c r="AD1994" s="354">
        <v>23686.0</v>
      </c>
      <c r="AE1994" s="360"/>
      <c r="AF1994" s="354" t="str">
        <f t="shared" si="1"/>
        <v>Buenos Aires, Argentina</v>
      </c>
      <c r="AG1994" s="535">
        <f t="shared" si="2"/>
        <v>0</v>
      </c>
      <c r="AH1994" s="363">
        <f t="shared" si="17"/>
        <v>2130770</v>
      </c>
      <c r="AI1994" s="363">
        <f t="shared" si="12"/>
        <v>0</v>
      </c>
      <c r="AJ1994" s="363">
        <f t="shared" si="5"/>
        <v>0</v>
      </c>
      <c r="AK1994" s="363">
        <f t="shared" si="18"/>
        <v>2130770</v>
      </c>
      <c r="AL1994" s="366"/>
      <c r="AM1994" s="366"/>
    </row>
    <row r="1995">
      <c r="A1995" s="354">
        <v>1984.0</v>
      </c>
      <c r="B1995" s="546">
        <v>46112.0</v>
      </c>
      <c r="C1995" s="360"/>
      <c r="D1995" s="357" t="s">
        <v>4810</v>
      </c>
      <c r="E1995" s="535" t="s">
        <v>4811</v>
      </c>
      <c r="F1995" s="357" t="s">
        <v>1415</v>
      </c>
      <c r="G1995" s="354" t="s">
        <v>64</v>
      </c>
      <c r="H1995" s="354" t="s">
        <v>41</v>
      </c>
      <c r="I1995" s="354" t="s">
        <v>643</v>
      </c>
      <c r="J1995" s="358"/>
      <c r="K1995" s="359">
        <v>1.0</v>
      </c>
      <c r="L1995" s="358"/>
      <c r="M1995" s="358"/>
      <c r="N1995" s="358"/>
      <c r="O1995" s="358"/>
      <c r="P1995" s="538"/>
      <c r="Q1995" s="360"/>
      <c r="R1995" s="360"/>
      <c r="S1995" s="535" t="s">
        <v>65</v>
      </c>
      <c r="T1995" s="354" t="s">
        <v>66</v>
      </c>
      <c r="U1995" s="354" t="s">
        <v>99</v>
      </c>
      <c r="V1995" s="354" t="s">
        <v>1984</v>
      </c>
      <c r="W1995" s="362"/>
      <c r="X1995" s="362"/>
      <c r="Y1995" s="362"/>
      <c r="Z1995" s="362"/>
      <c r="AA1995" s="363">
        <v>114750.0</v>
      </c>
      <c r="AB1995" s="363">
        <v>414375.0</v>
      </c>
      <c r="AC1995" s="541" t="s">
        <v>5103</v>
      </c>
      <c r="AD1995" s="354">
        <v>23670.0</v>
      </c>
      <c r="AE1995" s="360"/>
      <c r="AF1995" s="354" t="str">
        <f t="shared" si="1"/>
        <v>Buenos Aires, Argentina</v>
      </c>
      <c r="AG1995" s="535">
        <f t="shared" si="2"/>
        <v>1</v>
      </c>
      <c r="AH1995" s="363">
        <f t="shared" si="17"/>
        <v>0</v>
      </c>
      <c r="AI1995" s="363">
        <f t="shared" si="12"/>
        <v>0</v>
      </c>
      <c r="AJ1995" s="363">
        <f t="shared" si="5"/>
        <v>529125</v>
      </c>
      <c r="AK1995" s="363">
        <f t="shared" si="18"/>
        <v>529125</v>
      </c>
      <c r="AL1995" s="366"/>
      <c r="AM1995" s="366"/>
    </row>
    <row r="1996">
      <c r="A1996" s="354">
        <v>1985.0</v>
      </c>
      <c r="B1996" s="355">
        <v>46112.0</v>
      </c>
      <c r="C1996" s="360"/>
      <c r="D1996" s="357" t="s">
        <v>5104</v>
      </c>
      <c r="E1996" s="535" t="s">
        <v>3290</v>
      </c>
      <c r="F1996" s="357" t="s">
        <v>1423</v>
      </c>
      <c r="G1996" s="354" t="s">
        <v>64</v>
      </c>
      <c r="H1996" s="354" t="s">
        <v>41</v>
      </c>
      <c r="I1996" s="354" t="s">
        <v>643</v>
      </c>
      <c r="J1996" s="536">
        <v>1.0</v>
      </c>
      <c r="K1996" s="358"/>
      <c r="L1996" s="358"/>
      <c r="M1996" s="358"/>
      <c r="N1996" s="358"/>
      <c r="O1996" s="358"/>
      <c r="P1996" s="538"/>
      <c r="Q1996" s="360"/>
      <c r="R1996" s="360"/>
      <c r="S1996" s="535" t="s">
        <v>189</v>
      </c>
      <c r="T1996" s="354" t="s">
        <v>66</v>
      </c>
      <c r="U1996" s="354" t="s">
        <v>99</v>
      </c>
      <c r="V1996" s="354" t="s">
        <v>1984</v>
      </c>
      <c r="W1996" s="362"/>
      <c r="X1996" s="362"/>
      <c r="Y1996" s="362"/>
      <c r="Z1996" s="362"/>
      <c r="AA1996" s="363">
        <v>170000.0</v>
      </c>
      <c r="AB1996" s="363">
        <v>552500.0</v>
      </c>
      <c r="AC1996" s="541" t="s">
        <v>5105</v>
      </c>
      <c r="AD1996" s="354">
        <v>23702.0</v>
      </c>
      <c r="AE1996" s="360"/>
      <c r="AF1996" s="354" t="str">
        <f t="shared" si="1"/>
        <v>Buenos Aires, Argentina</v>
      </c>
      <c r="AG1996" s="535">
        <f t="shared" si="2"/>
        <v>1</v>
      </c>
      <c r="AH1996" s="363">
        <f t="shared" si="17"/>
        <v>0</v>
      </c>
      <c r="AI1996" s="363">
        <f t="shared" si="12"/>
        <v>0</v>
      </c>
      <c r="AJ1996" s="363">
        <f t="shared" si="5"/>
        <v>722500</v>
      </c>
      <c r="AK1996" s="363">
        <f t="shared" si="18"/>
        <v>722500</v>
      </c>
      <c r="AL1996" s="366"/>
      <c r="AM1996" s="366"/>
    </row>
    <row r="1997">
      <c r="A1997" s="354">
        <v>1986.0</v>
      </c>
      <c r="B1997" s="546">
        <v>46112.0</v>
      </c>
      <c r="C1997" s="360"/>
      <c r="D1997" s="357" t="s">
        <v>1573</v>
      </c>
      <c r="E1997" s="535" t="s">
        <v>2099</v>
      </c>
      <c r="F1997" s="357" t="s">
        <v>1459</v>
      </c>
      <c r="G1997" s="354" t="s">
        <v>64</v>
      </c>
      <c r="H1997" s="354" t="s">
        <v>41</v>
      </c>
      <c r="I1997" s="354" t="s">
        <v>643</v>
      </c>
      <c r="J1997" s="358"/>
      <c r="K1997" s="359">
        <v>3.0</v>
      </c>
      <c r="L1997" s="358"/>
      <c r="M1997" s="358"/>
      <c r="N1997" s="358"/>
      <c r="O1997" s="358"/>
      <c r="P1997" s="538"/>
      <c r="Q1997" s="360"/>
      <c r="R1997" s="360"/>
      <c r="S1997" s="535" t="s">
        <v>89</v>
      </c>
      <c r="T1997" s="354" t="s">
        <v>66</v>
      </c>
      <c r="U1997" s="354" t="s">
        <v>99</v>
      </c>
      <c r="V1997" s="354" t="s">
        <v>1984</v>
      </c>
      <c r="W1997" s="362"/>
      <c r="X1997" s="362"/>
      <c r="Y1997" s="362"/>
      <c r="Z1997" s="362"/>
      <c r="AA1997" s="363">
        <v>382500.0</v>
      </c>
      <c r="AB1997" s="363">
        <v>1243125.0</v>
      </c>
      <c r="AC1997" s="541" t="s">
        <v>5106</v>
      </c>
      <c r="AD1997" s="354">
        <v>23572.0</v>
      </c>
      <c r="AE1997" s="360"/>
      <c r="AF1997" s="354" t="str">
        <f t="shared" si="1"/>
        <v>Buenos Aires, Argentina</v>
      </c>
      <c r="AG1997" s="535">
        <f t="shared" si="2"/>
        <v>3</v>
      </c>
      <c r="AH1997" s="363">
        <f t="shared" si="17"/>
        <v>0</v>
      </c>
      <c r="AI1997" s="363">
        <f t="shared" si="12"/>
        <v>0</v>
      </c>
      <c r="AJ1997" s="363">
        <f t="shared" si="5"/>
        <v>1625625</v>
      </c>
      <c r="AK1997" s="363">
        <f t="shared" si="18"/>
        <v>1625625</v>
      </c>
      <c r="AL1997" s="366"/>
      <c r="AM1997" s="366"/>
    </row>
    <row r="1998">
      <c r="A1998" s="354">
        <v>1987.0</v>
      </c>
      <c r="B1998" s="355">
        <v>46112.0</v>
      </c>
      <c r="C1998" s="360"/>
      <c r="D1998" s="357" t="s">
        <v>4763</v>
      </c>
      <c r="E1998" s="535" t="s">
        <v>4764</v>
      </c>
      <c r="F1998" s="357" t="s">
        <v>1463</v>
      </c>
      <c r="G1998" s="354" t="s">
        <v>64</v>
      </c>
      <c r="H1998" s="354" t="s">
        <v>227</v>
      </c>
      <c r="I1998" s="354" t="s">
        <v>643</v>
      </c>
      <c r="J1998" s="536">
        <v>1.0</v>
      </c>
      <c r="K1998" s="359">
        <v>2.0</v>
      </c>
      <c r="L1998" s="358"/>
      <c r="M1998" s="358"/>
      <c r="N1998" s="358"/>
      <c r="O1998" s="358"/>
      <c r="P1998" s="538"/>
      <c r="Q1998" s="360"/>
      <c r="R1998" s="360"/>
      <c r="S1998" s="535" t="s">
        <v>98</v>
      </c>
      <c r="T1998" s="354" t="s">
        <v>83</v>
      </c>
      <c r="U1998" s="354" t="s">
        <v>99</v>
      </c>
      <c r="V1998" s="354" t="s">
        <v>1984</v>
      </c>
      <c r="W1998" s="362"/>
      <c r="X1998" s="362"/>
      <c r="Y1998" s="362"/>
      <c r="Z1998" s="362"/>
      <c r="AA1998" s="363">
        <v>552500.0</v>
      </c>
      <c r="AB1998" s="363">
        <v>1795625.0</v>
      </c>
      <c r="AC1998" s="541" t="s">
        <v>5107</v>
      </c>
      <c r="AD1998" s="354">
        <v>23530.0</v>
      </c>
      <c r="AE1998" s="360"/>
      <c r="AF1998" s="354" t="str">
        <f t="shared" si="1"/>
        <v>Capital Federal, Argentina</v>
      </c>
      <c r="AG1998" s="535">
        <f t="shared" si="2"/>
        <v>3</v>
      </c>
      <c r="AH1998" s="363">
        <f t="shared" si="17"/>
        <v>0</v>
      </c>
      <c r="AI1998" s="363">
        <f t="shared" si="12"/>
        <v>0</v>
      </c>
      <c r="AJ1998" s="363">
        <f t="shared" si="5"/>
        <v>2348125</v>
      </c>
      <c r="AK1998" s="363">
        <f t="shared" si="18"/>
        <v>2348125</v>
      </c>
      <c r="AL1998" s="366"/>
      <c r="AM1998" s="366"/>
    </row>
    <row r="1999">
      <c r="A1999" s="354">
        <v>1988.0</v>
      </c>
      <c r="B1999" s="355">
        <v>46112.0</v>
      </c>
      <c r="C1999" s="360"/>
      <c r="D1999" s="357" t="s">
        <v>5108</v>
      </c>
      <c r="E1999" s="535" t="s">
        <v>2889</v>
      </c>
      <c r="F1999" s="357" t="s">
        <v>1423</v>
      </c>
      <c r="G1999" s="354" t="s">
        <v>64</v>
      </c>
      <c r="H1999" s="354" t="s">
        <v>41</v>
      </c>
      <c r="I1999" s="354" t="s">
        <v>643</v>
      </c>
      <c r="J1999" s="536">
        <v>1.0</v>
      </c>
      <c r="K1999" s="358"/>
      <c r="L1999" s="358"/>
      <c r="M1999" s="358"/>
      <c r="N1999" s="358"/>
      <c r="O1999" s="358"/>
      <c r="P1999" s="538"/>
      <c r="Q1999" s="360"/>
      <c r="R1999" s="360"/>
      <c r="S1999" s="535" t="s">
        <v>89</v>
      </c>
      <c r="T1999" s="354" t="s">
        <v>83</v>
      </c>
      <c r="U1999" s="354" t="s">
        <v>99</v>
      </c>
      <c r="V1999" s="354" t="s">
        <v>1984</v>
      </c>
      <c r="W1999" s="362"/>
      <c r="X1999" s="362"/>
      <c r="Y1999" s="362"/>
      <c r="Z1999" s="362"/>
      <c r="AA1999" s="363">
        <v>170000.0</v>
      </c>
      <c r="AB1999" s="363">
        <v>552500.0</v>
      </c>
      <c r="AC1999" s="541" t="s">
        <v>5109</v>
      </c>
      <c r="AD1999" s="354">
        <v>23454.0</v>
      </c>
      <c r="AE1999" s="360"/>
      <c r="AF1999" s="354" t="str">
        <f t="shared" si="1"/>
        <v>Capital Federal, Argentina</v>
      </c>
      <c r="AG1999" s="535">
        <f t="shared" si="2"/>
        <v>1</v>
      </c>
      <c r="AH1999" s="363">
        <f t="shared" si="17"/>
        <v>0</v>
      </c>
      <c r="AI1999" s="363">
        <f t="shared" si="12"/>
        <v>0</v>
      </c>
      <c r="AJ1999" s="363">
        <f t="shared" si="5"/>
        <v>722500</v>
      </c>
      <c r="AK1999" s="363">
        <f t="shared" si="18"/>
        <v>722500</v>
      </c>
      <c r="AL1999" s="366"/>
      <c r="AM1999" s="366"/>
    </row>
    <row r="2000">
      <c r="A2000" s="354">
        <v>1989.0</v>
      </c>
      <c r="B2000" s="355">
        <v>46112.0</v>
      </c>
      <c r="C2000" s="360"/>
      <c r="D2000" s="357" t="s">
        <v>5110</v>
      </c>
      <c r="E2000" s="535" t="s">
        <v>3989</v>
      </c>
      <c r="F2000" s="357" t="s">
        <v>1423</v>
      </c>
      <c r="G2000" s="354" t="s">
        <v>64</v>
      </c>
      <c r="H2000" s="354" t="s">
        <v>41</v>
      </c>
      <c r="I2000" s="354" t="s">
        <v>643</v>
      </c>
      <c r="J2000" s="536">
        <v>1.0</v>
      </c>
      <c r="K2000" s="358"/>
      <c r="L2000" s="358"/>
      <c r="M2000" s="358"/>
      <c r="N2000" s="358"/>
      <c r="O2000" s="358"/>
      <c r="P2000" s="538"/>
      <c r="Q2000" s="360"/>
      <c r="R2000" s="360"/>
      <c r="S2000" s="535" t="s">
        <v>167</v>
      </c>
      <c r="T2000" s="354" t="s">
        <v>83</v>
      </c>
      <c r="U2000" s="354" t="s">
        <v>99</v>
      </c>
      <c r="V2000" s="354" t="s">
        <v>1984</v>
      </c>
      <c r="W2000" s="362"/>
      <c r="X2000" s="362"/>
      <c r="Y2000" s="362"/>
      <c r="Z2000" s="362"/>
      <c r="AA2000" s="363">
        <v>170000.0</v>
      </c>
      <c r="AB2000" s="363">
        <v>552500.0</v>
      </c>
      <c r="AC2000" s="541" t="s">
        <v>5111</v>
      </c>
      <c r="AD2000" s="354">
        <v>23426.0</v>
      </c>
      <c r="AE2000" s="360"/>
      <c r="AF2000" s="354" t="str">
        <f t="shared" si="1"/>
        <v>Capital Federal, Argentina</v>
      </c>
      <c r="AG2000" s="535">
        <f t="shared" si="2"/>
        <v>1</v>
      </c>
      <c r="AH2000" s="363">
        <f t="shared" si="17"/>
        <v>0</v>
      </c>
      <c r="AI2000" s="363">
        <f t="shared" si="12"/>
        <v>0</v>
      </c>
      <c r="AJ2000" s="363">
        <f t="shared" si="5"/>
        <v>722500</v>
      </c>
      <c r="AK2000" s="363">
        <f t="shared" si="18"/>
        <v>722500</v>
      </c>
      <c r="AL2000" s="366"/>
      <c r="AM2000" s="366"/>
    </row>
    <row r="2001">
      <c r="A2001" s="354">
        <v>1990.0</v>
      </c>
      <c r="B2001" s="355">
        <v>46112.0</v>
      </c>
      <c r="C2001" s="360"/>
      <c r="D2001" s="357" t="s">
        <v>5016</v>
      </c>
      <c r="E2001" s="535" t="s">
        <v>4278</v>
      </c>
      <c r="F2001" s="357" t="s">
        <v>4901</v>
      </c>
      <c r="G2001" s="354" t="s">
        <v>64</v>
      </c>
      <c r="H2001" s="354" t="s">
        <v>227</v>
      </c>
      <c r="I2001" s="354" t="s">
        <v>643</v>
      </c>
      <c r="J2001" s="358"/>
      <c r="K2001" s="358"/>
      <c r="L2001" s="358"/>
      <c r="M2001" s="358"/>
      <c r="N2001" s="358"/>
      <c r="O2001" s="358"/>
      <c r="P2001" s="359">
        <v>1.0</v>
      </c>
      <c r="Q2001" s="360"/>
      <c r="R2001" s="360"/>
      <c r="S2001" s="535" t="s">
        <v>89</v>
      </c>
      <c r="T2001" s="354" t="s">
        <v>83</v>
      </c>
      <c r="U2001" s="354" t="s">
        <v>99</v>
      </c>
      <c r="V2001" s="354" t="s">
        <v>1984</v>
      </c>
      <c r="W2001" s="362"/>
      <c r="X2001" s="362"/>
      <c r="Y2001" s="362"/>
      <c r="Z2001" s="362"/>
      <c r="AA2001" s="363">
        <v>221000.0</v>
      </c>
      <c r="AB2001" s="363">
        <v>718250.0</v>
      </c>
      <c r="AC2001" s="541" t="s">
        <v>5112</v>
      </c>
      <c r="AD2001" s="354">
        <v>23484.0</v>
      </c>
      <c r="AE2001" s="360"/>
      <c r="AF2001" s="354" t="str">
        <f t="shared" si="1"/>
        <v>Capital Federal, Argentina</v>
      </c>
      <c r="AG2001" s="535">
        <f t="shared" si="2"/>
        <v>1</v>
      </c>
      <c r="AH2001" s="363">
        <f t="shared" si="17"/>
        <v>0</v>
      </c>
      <c r="AI2001" s="363">
        <f t="shared" si="12"/>
        <v>0</v>
      </c>
      <c r="AJ2001" s="363">
        <f t="shared" si="5"/>
        <v>939250</v>
      </c>
      <c r="AK2001" s="363">
        <f t="shared" si="18"/>
        <v>939250</v>
      </c>
      <c r="AL2001" s="366"/>
      <c r="AM2001" s="366"/>
    </row>
    <row r="2002">
      <c r="A2002" s="354">
        <v>1991.0</v>
      </c>
      <c r="B2002" s="355">
        <v>46112.0</v>
      </c>
      <c r="C2002" s="360"/>
      <c r="D2002" s="357" t="s">
        <v>5016</v>
      </c>
      <c r="E2002" s="535" t="s">
        <v>4278</v>
      </c>
      <c r="F2002" s="357" t="s">
        <v>4596</v>
      </c>
      <c r="G2002" s="354" t="s">
        <v>64</v>
      </c>
      <c r="H2002" s="354" t="s">
        <v>227</v>
      </c>
      <c r="I2002" s="354" t="s">
        <v>643</v>
      </c>
      <c r="J2002" s="358"/>
      <c r="K2002" s="358"/>
      <c r="L2002" s="358"/>
      <c r="M2002" s="358"/>
      <c r="N2002" s="358"/>
      <c r="O2002" s="358"/>
      <c r="P2002" s="538"/>
      <c r="Q2002" s="360"/>
      <c r="R2002" s="360"/>
      <c r="S2002" s="535" t="s">
        <v>89</v>
      </c>
      <c r="T2002" s="354" t="s">
        <v>83</v>
      </c>
      <c r="U2002" s="354" t="s">
        <v>99</v>
      </c>
      <c r="V2002" s="354" t="s">
        <v>1984</v>
      </c>
      <c r="W2002" s="363">
        <v>306682.0</v>
      </c>
      <c r="X2002" s="563">
        <v>1378750.0</v>
      </c>
      <c r="Y2002" s="362"/>
      <c r="Z2002" s="362"/>
      <c r="AA2002" s="363">
        <v>0.0</v>
      </c>
      <c r="AB2002" s="363">
        <v>0.0</v>
      </c>
      <c r="AC2002" s="541" t="s">
        <v>5112</v>
      </c>
      <c r="AD2002" s="354">
        <v>23484.0</v>
      </c>
      <c r="AE2002" s="360"/>
      <c r="AF2002" s="354" t="str">
        <f t="shared" si="1"/>
        <v>Capital Federal, Argentina</v>
      </c>
      <c r="AG2002" s="535">
        <f t="shared" si="2"/>
        <v>0</v>
      </c>
      <c r="AH2002" s="363">
        <f t="shared" si="17"/>
        <v>1685432</v>
      </c>
      <c r="AI2002" s="363">
        <f t="shared" si="12"/>
        <v>0</v>
      </c>
      <c r="AJ2002" s="363">
        <f t="shared" si="5"/>
        <v>0</v>
      </c>
      <c r="AK2002" s="363">
        <f t="shared" si="18"/>
        <v>1685432</v>
      </c>
      <c r="AL2002" s="366"/>
      <c r="AM2002" s="366"/>
    </row>
    <row r="2003">
      <c r="A2003" s="354">
        <v>1992.0</v>
      </c>
      <c r="B2003" s="355">
        <v>46112.0</v>
      </c>
      <c r="C2003" s="360"/>
      <c r="D2003" s="357" t="s">
        <v>5113</v>
      </c>
      <c r="E2003" s="535" t="s">
        <v>5114</v>
      </c>
      <c r="F2003" s="357" t="s">
        <v>2141</v>
      </c>
      <c r="G2003" s="354" t="s">
        <v>40</v>
      </c>
      <c r="H2003" s="354" t="s">
        <v>41</v>
      </c>
      <c r="I2003" s="354" t="s">
        <v>643</v>
      </c>
      <c r="J2003" s="536">
        <v>1.0</v>
      </c>
      <c r="K2003" s="359">
        <v>1.0</v>
      </c>
      <c r="L2003" s="358"/>
      <c r="M2003" s="359">
        <v>1.0</v>
      </c>
      <c r="N2003" s="358"/>
      <c r="O2003" s="358"/>
      <c r="P2003" s="538"/>
      <c r="Q2003" s="360"/>
      <c r="R2003" s="360"/>
      <c r="S2003" s="535" t="s">
        <v>72</v>
      </c>
      <c r="T2003" s="354" t="s">
        <v>73</v>
      </c>
      <c r="U2003" s="354" t="s">
        <v>4456</v>
      </c>
      <c r="V2003" s="354" t="s">
        <v>1984</v>
      </c>
      <c r="W2003" s="362"/>
      <c r="X2003" s="362"/>
      <c r="Y2003" s="362"/>
      <c r="Z2003" s="362"/>
      <c r="AA2003" s="363">
        <v>270900.0</v>
      </c>
      <c r="AB2003" s="363">
        <v>1083600.0</v>
      </c>
      <c r="AC2003" s="541" t="s">
        <v>5115</v>
      </c>
      <c r="AD2003" s="354">
        <v>23760.0</v>
      </c>
      <c r="AE2003" s="360"/>
      <c r="AF2003" s="354" t="str">
        <f t="shared" si="1"/>
        <v>Tierra de Fuego, Argentina</v>
      </c>
      <c r="AG2003" s="535">
        <f t="shared" si="2"/>
        <v>3</v>
      </c>
      <c r="AH2003" s="363">
        <f t="shared" si="17"/>
        <v>0</v>
      </c>
      <c r="AI2003" s="363">
        <f t="shared" si="12"/>
        <v>0</v>
      </c>
      <c r="AJ2003" s="363">
        <f t="shared" si="5"/>
        <v>1354500</v>
      </c>
      <c r="AK2003" s="363">
        <f t="shared" si="18"/>
        <v>1354500</v>
      </c>
      <c r="AL2003" s="366"/>
      <c r="AM2003" s="366"/>
    </row>
    <row r="2004">
      <c r="A2004" s="354">
        <v>1993.0</v>
      </c>
      <c r="B2004" s="546">
        <v>46112.0</v>
      </c>
      <c r="C2004" s="360"/>
      <c r="D2004" s="357" t="s">
        <v>4827</v>
      </c>
      <c r="E2004" s="535" t="s">
        <v>4828</v>
      </c>
      <c r="F2004" s="357" t="s">
        <v>4509</v>
      </c>
      <c r="G2004" s="354" t="s">
        <v>64</v>
      </c>
      <c r="H2004" s="354" t="s">
        <v>41</v>
      </c>
      <c r="I2004" s="354" t="s">
        <v>643</v>
      </c>
      <c r="J2004" s="358"/>
      <c r="K2004" s="358"/>
      <c r="L2004" s="358"/>
      <c r="M2004" s="358"/>
      <c r="N2004" s="359">
        <v>1.0</v>
      </c>
      <c r="O2004" s="358"/>
      <c r="P2004" s="538"/>
      <c r="Q2004" s="360"/>
      <c r="R2004" s="360"/>
      <c r="S2004" s="535" t="s">
        <v>65</v>
      </c>
      <c r="T2004" s="354" t="s">
        <v>984</v>
      </c>
      <c r="U2004" s="354" t="s">
        <v>99</v>
      </c>
      <c r="V2004" s="354" t="s">
        <v>1984</v>
      </c>
      <c r="W2004" s="362"/>
      <c r="X2004" s="362"/>
      <c r="Y2004" s="362"/>
      <c r="Z2004" s="362"/>
      <c r="AA2004" s="363">
        <v>144500.0</v>
      </c>
      <c r="AB2004" s="363">
        <v>552500.0</v>
      </c>
      <c r="AC2004" s="541" t="s">
        <v>5116</v>
      </c>
      <c r="AD2004" s="354">
        <v>23788.0</v>
      </c>
      <c r="AE2004" s="360"/>
      <c r="AF2004" s="354" t="str">
        <f t="shared" si="1"/>
        <v>Santiago del Estero, Argentina</v>
      </c>
      <c r="AG2004" s="535">
        <f t="shared" si="2"/>
        <v>1</v>
      </c>
      <c r="AH2004" s="363">
        <f t="shared" si="17"/>
        <v>0</v>
      </c>
      <c r="AI2004" s="363">
        <f t="shared" si="12"/>
        <v>0</v>
      </c>
      <c r="AJ2004" s="363">
        <f t="shared" si="5"/>
        <v>697000</v>
      </c>
      <c r="AK2004" s="363">
        <f t="shared" si="18"/>
        <v>697000</v>
      </c>
      <c r="AL2004" s="366"/>
      <c r="AM2004" s="366"/>
    </row>
    <row r="2005">
      <c r="A2005" s="354">
        <v>1994.0</v>
      </c>
      <c r="B2005" s="355">
        <v>46112.0</v>
      </c>
      <c r="C2005" s="360"/>
      <c r="D2005" s="357" t="s">
        <v>5117</v>
      </c>
      <c r="E2005" s="535" t="s">
        <v>5118</v>
      </c>
      <c r="F2005" s="357" t="s">
        <v>2056</v>
      </c>
      <c r="G2005" s="354" t="s">
        <v>40</v>
      </c>
      <c r="H2005" s="354" t="s">
        <v>41</v>
      </c>
      <c r="I2005" s="354" t="s">
        <v>42</v>
      </c>
      <c r="J2005" s="536">
        <v>1.0</v>
      </c>
      <c r="K2005" s="358"/>
      <c r="L2005" s="358"/>
      <c r="M2005" s="359">
        <v>1.0</v>
      </c>
      <c r="N2005" s="358"/>
      <c r="O2005" s="358"/>
      <c r="P2005" s="538"/>
      <c r="Q2005" s="360"/>
      <c r="R2005" s="360"/>
      <c r="S2005" s="535" t="s">
        <v>189</v>
      </c>
      <c r="T2005" s="354" t="s">
        <v>66</v>
      </c>
      <c r="U2005" s="354" t="s">
        <v>45</v>
      </c>
      <c r="V2005" s="354" t="s">
        <v>4626</v>
      </c>
      <c r="W2005" s="362"/>
      <c r="X2005" s="362"/>
      <c r="Y2005" s="362"/>
      <c r="Z2005" s="362"/>
      <c r="AA2005" s="363">
        <v>153000.0</v>
      </c>
      <c r="AB2005" s="363">
        <v>680000.0</v>
      </c>
      <c r="AC2005" s="541" t="s">
        <v>5119</v>
      </c>
      <c r="AD2005" s="354">
        <v>23436.0</v>
      </c>
      <c r="AE2005" s="360"/>
      <c r="AF2005" s="354" t="str">
        <f t="shared" si="1"/>
        <v>Buenos Aires, Argentina</v>
      </c>
      <c r="AG2005" s="535">
        <f t="shared" si="2"/>
        <v>2</v>
      </c>
      <c r="AH2005" s="363">
        <f t="shared" si="17"/>
        <v>0</v>
      </c>
      <c r="AI2005" s="363">
        <f t="shared" si="12"/>
        <v>0</v>
      </c>
      <c r="AJ2005" s="363">
        <f t="shared" si="5"/>
        <v>833000</v>
      </c>
      <c r="AK2005" s="363">
        <f t="shared" si="18"/>
        <v>833000</v>
      </c>
      <c r="AL2005" s="366"/>
      <c r="AM2005" s="366"/>
    </row>
    <row r="2006">
      <c r="A2006" s="354">
        <v>1995.0</v>
      </c>
      <c r="B2006" s="355">
        <v>46112.0</v>
      </c>
      <c r="C2006" s="360"/>
      <c r="D2006" s="357" t="s">
        <v>4098</v>
      </c>
      <c r="E2006" s="535" t="s">
        <v>4099</v>
      </c>
      <c r="F2006" s="357" t="s">
        <v>1412</v>
      </c>
      <c r="G2006" s="354" t="s">
        <v>64</v>
      </c>
      <c r="H2006" s="354" t="s">
        <v>41</v>
      </c>
      <c r="I2006" s="354" t="s">
        <v>643</v>
      </c>
      <c r="J2006" s="536">
        <v>2.0</v>
      </c>
      <c r="K2006" s="358"/>
      <c r="L2006" s="358"/>
      <c r="M2006" s="358"/>
      <c r="N2006" s="358"/>
      <c r="O2006" s="358"/>
      <c r="P2006" s="538"/>
      <c r="Q2006" s="360"/>
      <c r="R2006" s="360"/>
      <c r="S2006" s="535" t="s">
        <v>189</v>
      </c>
      <c r="T2006" s="354" t="s">
        <v>66</v>
      </c>
      <c r="U2006" s="354" t="s">
        <v>99</v>
      </c>
      <c r="V2006" s="354" t="s">
        <v>1984</v>
      </c>
      <c r="W2006" s="362"/>
      <c r="X2006" s="362"/>
      <c r="Y2006" s="362"/>
      <c r="Z2006" s="362"/>
      <c r="AA2006" s="363">
        <v>340000.0</v>
      </c>
      <c r="AB2006" s="363">
        <v>743750.0</v>
      </c>
      <c r="AC2006" s="541" t="s">
        <v>5120</v>
      </c>
      <c r="AD2006" s="354">
        <v>23806.0</v>
      </c>
      <c r="AE2006" s="360"/>
      <c r="AF2006" s="354" t="str">
        <f t="shared" si="1"/>
        <v>Buenos Aires, Argentina</v>
      </c>
      <c r="AG2006" s="535">
        <f t="shared" si="2"/>
        <v>2</v>
      </c>
      <c r="AH2006" s="363">
        <f t="shared" si="17"/>
        <v>0</v>
      </c>
      <c r="AI2006" s="363">
        <f t="shared" si="12"/>
        <v>0</v>
      </c>
      <c r="AJ2006" s="363">
        <f t="shared" si="5"/>
        <v>1083750</v>
      </c>
      <c r="AK2006" s="363">
        <f t="shared" si="18"/>
        <v>1083750</v>
      </c>
      <c r="AL2006" s="366"/>
      <c r="AM2006" s="366"/>
    </row>
    <row r="2007">
      <c r="A2007" s="354">
        <v>1996.0</v>
      </c>
      <c r="B2007" s="546">
        <v>46112.0</v>
      </c>
      <c r="C2007" s="360"/>
      <c r="D2007" s="357" t="s">
        <v>5121</v>
      </c>
      <c r="E2007" s="535" t="s">
        <v>5122</v>
      </c>
      <c r="F2007" s="357" t="s">
        <v>5123</v>
      </c>
      <c r="G2007" s="354" t="s">
        <v>40</v>
      </c>
      <c r="H2007" s="354" t="s">
        <v>41</v>
      </c>
      <c r="I2007" s="354" t="s">
        <v>42</v>
      </c>
      <c r="J2007" s="536">
        <v>2.0</v>
      </c>
      <c r="K2007" s="358"/>
      <c r="L2007" s="358"/>
      <c r="M2007" s="359">
        <v>1.0</v>
      </c>
      <c r="N2007" s="358"/>
      <c r="O2007" s="359">
        <v>3.0</v>
      </c>
      <c r="P2007" s="538"/>
      <c r="Q2007" s="360"/>
      <c r="R2007" s="360"/>
      <c r="S2007" s="535" t="s">
        <v>137</v>
      </c>
      <c r="T2007" s="354" t="s">
        <v>839</v>
      </c>
      <c r="U2007" s="354" t="s">
        <v>4456</v>
      </c>
      <c r="V2007" s="354" t="s">
        <v>4626</v>
      </c>
      <c r="W2007" s="362"/>
      <c r="X2007" s="362"/>
      <c r="Y2007" s="362"/>
      <c r="Z2007" s="362"/>
      <c r="AA2007" s="363">
        <v>558450.0</v>
      </c>
      <c r="AB2007" s="363">
        <v>2511200.0</v>
      </c>
      <c r="AC2007" s="541" t="s">
        <v>5124</v>
      </c>
      <c r="AD2007" s="354">
        <v>23824.0</v>
      </c>
      <c r="AE2007" s="360"/>
      <c r="AF2007" s="354" t="str">
        <f t="shared" si="1"/>
        <v>Neuquén, Argentina</v>
      </c>
      <c r="AG2007" s="535">
        <f t="shared" si="2"/>
        <v>6</v>
      </c>
      <c r="AH2007" s="363">
        <f t="shared" si="17"/>
        <v>0</v>
      </c>
      <c r="AI2007" s="363">
        <f t="shared" si="12"/>
        <v>0</v>
      </c>
      <c r="AJ2007" s="363">
        <f t="shared" si="5"/>
        <v>3069650</v>
      </c>
      <c r="AK2007" s="363">
        <f t="shared" si="18"/>
        <v>3069650</v>
      </c>
      <c r="AL2007" s="366"/>
      <c r="AM2007" s="366"/>
    </row>
    <row r="2008">
      <c r="A2008" s="354">
        <v>1997.0</v>
      </c>
      <c r="B2008" s="546">
        <v>46112.0</v>
      </c>
      <c r="C2008" s="360"/>
      <c r="D2008" s="357" t="s">
        <v>5121</v>
      </c>
      <c r="E2008" s="535" t="s">
        <v>5122</v>
      </c>
      <c r="F2008" s="357" t="s">
        <v>5125</v>
      </c>
      <c r="G2008" s="354" t="s">
        <v>40</v>
      </c>
      <c r="H2008" s="354" t="s">
        <v>41</v>
      </c>
      <c r="I2008" s="354" t="s">
        <v>42</v>
      </c>
      <c r="J2008" s="358"/>
      <c r="K2008" s="358"/>
      <c r="L2008" s="358"/>
      <c r="M2008" s="358"/>
      <c r="N2008" s="358"/>
      <c r="O2008" s="358"/>
      <c r="P2008" s="538"/>
      <c r="Q2008" s="360"/>
      <c r="R2008" s="360"/>
      <c r="S2008" s="535" t="s">
        <v>137</v>
      </c>
      <c r="T2008" s="354" t="s">
        <v>839</v>
      </c>
      <c r="U2008" s="354" t="s">
        <v>4456</v>
      </c>
      <c r="V2008" s="354" t="s">
        <v>4626</v>
      </c>
      <c r="W2008" s="362"/>
      <c r="X2008" s="362"/>
      <c r="Y2008" s="362"/>
      <c r="Z2008" s="362"/>
      <c r="AA2008" s="363">
        <v>0.0</v>
      </c>
      <c r="AB2008" s="363">
        <v>0.0</v>
      </c>
      <c r="AC2008" s="541" t="s">
        <v>5124</v>
      </c>
      <c r="AD2008" s="354">
        <v>23824.0</v>
      </c>
      <c r="AE2008" s="360"/>
      <c r="AF2008" s="354" t="str">
        <f t="shared" si="1"/>
        <v>Neuquén, Argentina</v>
      </c>
      <c r="AG2008" s="535">
        <f t="shared" si="2"/>
        <v>0</v>
      </c>
      <c r="AH2008" s="363">
        <f t="shared" si="17"/>
        <v>0</v>
      </c>
      <c r="AI2008" s="363">
        <f t="shared" si="12"/>
        <v>0</v>
      </c>
      <c r="AJ2008" s="363">
        <f t="shared" si="5"/>
        <v>0</v>
      </c>
      <c r="AK2008" s="363">
        <f t="shared" si="18"/>
        <v>0</v>
      </c>
      <c r="AL2008" s="366"/>
      <c r="AM2008" s="366"/>
    </row>
    <row r="2009">
      <c r="A2009" s="354">
        <v>1998.0</v>
      </c>
      <c r="B2009" s="355">
        <v>46112.0</v>
      </c>
      <c r="C2009" s="360"/>
      <c r="D2009" s="357" t="s">
        <v>2454</v>
      </c>
      <c r="E2009" s="535" t="s">
        <v>1810</v>
      </c>
      <c r="F2009" s="357" t="s">
        <v>1427</v>
      </c>
      <c r="G2009" s="354" t="s">
        <v>64</v>
      </c>
      <c r="H2009" s="354" t="s">
        <v>41</v>
      </c>
      <c r="I2009" s="354" t="s">
        <v>643</v>
      </c>
      <c r="J2009" s="358"/>
      <c r="K2009" s="359">
        <v>2.0</v>
      </c>
      <c r="L2009" s="358"/>
      <c r="M2009" s="358"/>
      <c r="N2009" s="358"/>
      <c r="O2009" s="358"/>
      <c r="P2009" s="538"/>
      <c r="Q2009" s="360"/>
      <c r="R2009" s="360"/>
      <c r="S2009" s="535" t="s">
        <v>65</v>
      </c>
      <c r="T2009" s="354" t="s">
        <v>66</v>
      </c>
      <c r="U2009" s="354" t="s">
        <v>99</v>
      </c>
      <c r="V2009" s="354" t="s">
        <v>1984</v>
      </c>
      <c r="W2009" s="362"/>
      <c r="X2009" s="362"/>
      <c r="Y2009" s="362"/>
      <c r="Z2009" s="362"/>
      <c r="AA2009" s="363">
        <v>229500.0</v>
      </c>
      <c r="AB2009" s="363">
        <v>828750.0</v>
      </c>
      <c r="AC2009" s="541" t="s">
        <v>5126</v>
      </c>
      <c r="AD2009" s="354">
        <v>23562.0</v>
      </c>
      <c r="AE2009" s="360"/>
      <c r="AF2009" s="354" t="str">
        <f t="shared" si="1"/>
        <v>Buenos Aires, Argentina</v>
      </c>
      <c r="AG2009" s="535">
        <f t="shared" si="2"/>
        <v>2</v>
      </c>
      <c r="AH2009" s="363">
        <f t="shared" si="17"/>
        <v>0</v>
      </c>
      <c r="AI2009" s="363">
        <f t="shared" si="12"/>
        <v>0</v>
      </c>
      <c r="AJ2009" s="363">
        <f t="shared" si="5"/>
        <v>1058250</v>
      </c>
      <c r="AK2009" s="363">
        <f t="shared" si="18"/>
        <v>1058250</v>
      </c>
      <c r="AL2009" s="366"/>
      <c r="AM2009" s="366"/>
    </row>
    <row r="2010">
      <c r="A2010" s="354">
        <v>1999.0</v>
      </c>
      <c r="B2010" s="355">
        <v>46112.0</v>
      </c>
      <c r="C2010" s="360"/>
      <c r="D2010" s="357" t="s">
        <v>2163</v>
      </c>
      <c r="E2010" s="535" t="s">
        <v>2255</v>
      </c>
      <c r="F2010" s="357" t="s">
        <v>5127</v>
      </c>
      <c r="G2010" s="354" t="s">
        <v>64</v>
      </c>
      <c r="H2010" s="354" t="s">
        <v>41</v>
      </c>
      <c r="I2010" s="354" t="s">
        <v>643</v>
      </c>
      <c r="J2010" s="358"/>
      <c r="K2010" s="358"/>
      <c r="L2010" s="358"/>
      <c r="M2010" s="358"/>
      <c r="N2010" s="358"/>
      <c r="O2010" s="358"/>
      <c r="P2010" s="538"/>
      <c r="Q2010" s="360"/>
      <c r="R2010" s="360"/>
      <c r="S2010" s="535" t="s">
        <v>65</v>
      </c>
      <c r="T2010" s="354" t="s">
        <v>66</v>
      </c>
      <c r="U2010" s="354" t="s">
        <v>99</v>
      </c>
      <c r="V2010" s="354" t="s">
        <v>1984</v>
      </c>
      <c r="W2010" s="363">
        <v>128061.0</v>
      </c>
      <c r="X2010" s="563">
        <v>576275.0</v>
      </c>
      <c r="Y2010" s="362"/>
      <c r="Z2010" s="362"/>
      <c r="AA2010" s="363">
        <v>0.0</v>
      </c>
      <c r="AB2010" s="363">
        <v>0.0</v>
      </c>
      <c r="AC2010" s="541" t="s">
        <v>5128</v>
      </c>
      <c r="AD2010" s="354">
        <v>22480.0</v>
      </c>
      <c r="AE2010" s="360"/>
      <c r="AF2010" s="354" t="str">
        <f t="shared" si="1"/>
        <v>Buenos Aires, Argentina</v>
      </c>
      <c r="AG2010" s="535">
        <f t="shared" si="2"/>
        <v>0</v>
      </c>
      <c r="AH2010" s="363">
        <f t="shared" si="17"/>
        <v>704336</v>
      </c>
      <c r="AI2010" s="363">
        <f t="shared" si="12"/>
        <v>0</v>
      </c>
      <c r="AJ2010" s="363">
        <f t="shared" si="5"/>
        <v>0</v>
      </c>
      <c r="AK2010" s="363">
        <f t="shared" si="18"/>
        <v>704336</v>
      </c>
      <c r="AL2010" s="366"/>
      <c r="AM2010" s="366"/>
    </row>
    <row r="2011">
      <c r="A2011" s="354">
        <v>2000.0</v>
      </c>
      <c r="B2011" s="355">
        <v>46112.0</v>
      </c>
      <c r="C2011" s="360"/>
      <c r="D2011" s="357" t="s">
        <v>1573</v>
      </c>
      <c r="E2011" s="535" t="s">
        <v>2099</v>
      </c>
      <c r="F2011" s="357" t="s">
        <v>4901</v>
      </c>
      <c r="G2011" s="354" t="s">
        <v>64</v>
      </c>
      <c r="H2011" s="354" t="s">
        <v>41</v>
      </c>
      <c r="I2011" s="354" t="s">
        <v>643</v>
      </c>
      <c r="J2011" s="358"/>
      <c r="K2011" s="358"/>
      <c r="L2011" s="358"/>
      <c r="M2011" s="358"/>
      <c r="N2011" s="358"/>
      <c r="O2011" s="358"/>
      <c r="P2011" s="359">
        <v>1.0</v>
      </c>
      <c r="Q2011" s="360"/>
      <c r="R2011" s="360"/>
      <c r="S2011" s="535" t="s">
        <v>98</v>
      </c>
      <c r="T2011" s="354" t="s">
        <v>66</v>
      </c>
      <c r="U2011" s="354" t="s">
        <v>99</v>
      </c>
      <c r="V2011" s="354" t="s">
        <v>1984</v>
      </c>
      <c r="W2011" s="362"/>
      <c r="X2011" s="362"/>
      <c r="Y2011" s="362"/>
      <c r="Z2011" s="362"/>
      <c r="AA2011" s="363">
        <v>170000.0</v>
      </c>
      <c r="AB2011" s="363">
        <v>552500.0</v>
      </c>
      <c r="AC2011" s="541" t="s">
        <v>5129</v>
      </c>
      <c r="AD2011" s="354">
        <v>23378.0</v>
      </c>
      <c r="AE2011" s="360"/>
      <c r="AF2011" s="354" t="str">
        <f t="shared" si="1"/>
        <v>Buenos Aires, Argentina</v>
      </c>
      <c r="AG2011" s="535">
        <f t="shared" si="2"/>
        <v>1</v>
      </c>
      <c r="AH2011" s="363">
        <f t="shared" si="17"/>
        <v>0</v>
      </c>
      <c r="AI2011" s="363">
        <f t="shared" si="12"/>
        <v>0</v>
      </c>
      <c r="AJ2011" s="363">
        <f t="shared" si="5"/>
        <v>722500</v>
      </c>
      <c r="AK2011" s="363">
        <f t="shared" si="18"/>
        <v>722500</v>
      </c>
      <c r="AL2011" s="366"/>
      <c r="AM2011" s="366"/>
    </row>
    <row r="2012">
      <c r="A2012" s="354">
        <v>2001.0</v>
      </c>
      <c r="B2012" s="355">
        <v>46112.0</v>
      </c>
      <c r="C2012" s="360"/>
      <c r="D2012" s="357" t="s">
        <v>1573</v>
      </c>
      <c r="E2012" s="535" t="s">
        <v>2099</v>
      </c>
      <c r="F2012" s="357" t="s">
        <v>5130</v>
      </c>
      <c r="G2012" s="354" t="s">
        <v>64</v>
      </c>
      <c r="H2012" s="354" t="s">
        <v>41</v>
      </c>
      <c r="I2012" s="354" t="s">
        <v>643</v>
      </c>
      <c r="J2012" s="358"/>
      <c r="K2012" s="358"/>
      <c r="L2012" s="358"/>
      <c r="M2012" s="358"/>
      <c r="N2012" s="358"/>
      <c r="O2012" s="358"/>
      <c r="P2012" s="358"/>
      <c r="Q2012" s="360"/>
      <c r="R2012" s="360"/>
      <c r="S2012" s="535" t="s">
        <v>98</v>
      </c>
      <c r="T2012" s="354" t="s">
        <v>66</v>
      </c>
      <c r="U2012" s="354" t="s">
        <v>99</v>
      </c>
      <c r="V2012" s="354" t="s">
        <v>1984</v>
      </c>
      <c r="W2012" s="363">
        <v>604800.0</v>
      </c>
      <c r="X2012" s="563">
        <v>2358720.0</v>
      </c>
      <c r="Y2012" s="362"/>
      <c r="Z2012" s="362"/>
      <c r="AA2012" s="363">
        <v>0.0</v>
      </c>
      <c r="AB2012" s="363">
        <v>0.0</v>
      </c>
      <c r="AC2012" s="541" t="s">
        <v>5129</v>
      </c>
      <c r="AD2012" s="354">
        <v>23378.0</v>
      </c>
      <c r="AE2012" s="360"/>
      <c r="AF2012" s="354" t="str">
        <f t="shared" si="1"/>
        <v>Buenos Aires, Argentina</v>
      </c>
      <c r="AG2012" s="535">
        <f t="shared" si="2"/>
        <v>0</v>
      </c>
      <c r="AH2012" s="363">
        <f t="shared" si="17"/>
        <v>2963520</v>
      </c>
      <c r="AI2012" s="363">
        <f t="shared" si="12"/>
        <v>0</v>
      </c>
      <c r="AJ2012" s="363">
        <f t="shared" si="5"/>
        <v>0</v>
      </c>
      <c r="AK2012" s="363">
        <f t="shared" si="18"/>
        <v>2963520</v>
      </c>
      <c r="AL2012" s="366"/>
      <c r="AM2012" s="366"/>
    </row>
    <row r="2013">
      <c r="A2013" s="322">
        <v>2002.0</v>
      </c>
      <c r="B2013" s="323">
        <v>46133.0</v>
      </c>
      <c r="C2013" s="76"/>
      <c r="D2013" s="324" t="s">
        <v>4078</v>
      </c>
      <c r="E2013" s="564" t="s">
        <v>2707</v>
      </c>
      <c r="F2013" s="324" t="s">
        <v>5131</v>
      </c>
      <c r="G2013" s="322" t="s">
        <v>64</v>
      </c>
      <c r="H2013" s="322" t="s">
        <v>41</v>
      </c>
      <c r="I2013" s="322" t="s">
        <v>643</v>
      </c>
      <c r="J2013" s="74">
        <v>4.0</v>
      </c>
      <c r="K2013" s="327">
        <v>4.0</v>
      </c>
      <c r="L2013" s="75"/>
      <c r="M2013" s="75"/>
      <c r="N2013" s="75"/>
      <c r="O2013" s="75"/>
      <c r="P2013" s="565"/>
      <c r="Q2013" s="76"/>
      <c r="R2013" s="76"/>
      <c r="S2013" s="564" t="s">
        <v>189</v>
      </c>
      <c r="T2013" s="322" t="s">
        <v>73</v>
      </c>
      <c r="U2013" s="322" t="s">
        <v>99</v>
      </c>
      <c r="V2013" s="322" t="s">
        <v>1984</v>
      </c>
      <c r="W2013" s="77"/>
      <c r="X2013" s="77"/>
      <c r="Y2013" s="77"/>
      <c r="Z2013" s="77"/>
      <c r="AA2013" s="325">
        <v>1204000.0</v>
      </c>
      <c r="AB2013" s="325">
        <v>4515000.0</v>
      </c>
      <c r="AC2013" s="566" t="s">
        <v>5132</v>
      </c>
      <c r="AD2013" s="322">
        <v>23908.0</v>
      </c>
      <c r="AE2013" s="76"/>
      <c r="AF2013" s="322" t="str">
        <f t="shared" si="1"/>
        <v>Tierra de Fuego, Argentina</v>
      </c>
      <c r="AG2013" s="564">
        <f t="shared" si="2"/>
        <v>8</v>
      </c>
      <c r="AH2013" s="325">
        <f t="shared" si="17"/>
        <v>0</v>
      </c>
      <c r="AI2013" s="325">
        <f t="shared" si="12"/>
        <v>0</v>
      </c>
      <c r="AJ2013" s="325">
        <f t="shared" si="5"/>
        <v>5719000</v>
      </c>
      <c r="AK2013" s="325">
        <f t="shared" si="18"/>
        <v>5719000</v>
      </c>
      <c r="AL2013" s="80"/>
      <c r="AM2013" s="80"/>
    </row>
    <row r="2014">
      <c r="A2014" s="322">
        <v>2003.0</v>
      </c>
      <c r="B2014" s="323">
        <v>46133.0</v>
      </c>
      <c r="C2014" s="76"/>
      <c r="D2014" s="324" t="s">
        <v>5133</v>
      </c>
      <c r="E2014" s="564" t="s">
        <v>5134</v>
      </c>
      <c r="F2014" s="324" t="s">
        <v>1412</v>
      </c>
      <c r="G2014" s="322" t="s">
        <v>64</v>
      </c>
      <c r="H2014" s="322" t="s">
        <v>41</v>
      </c>
      <c r="I2014" s="322" t="s">
        <v>643</v>
      </c>
      <c r="J2014" s="74">
        <v>2.0</v>
      </c>
      <c r="K2014" s="75"/>
      <c r="L2014" s="75"/>
      <c r="M2014" s="75"/>
      <c r="N2014" s="75"/>
      <c r="O2014" s="75"/>
      <c r="P2014" s="565"/>
      <c r="Q2014" s="76"/>
      <c r="R2014" s="76"/>
      <c r="S2014" s="564" t="s">
        <v>72</v>
      </c>
      <c r="T2014" s="322" t="s">
        <v>66</v>
      </c>
      <c r="U2014" s="322" t="s">
        <v>99</v>
      </c>
      <c r="V2014" s="322" t="s">
        <v>1984</v>
      </c>
      <c r="W2014" s="77"/>
      <c r="X2014" s="77"/>
      <c r="Y2014" s="77"/>
      <c r="Z2014" s="77"/>
      <c r="AA2014" s="325">
        <v>344000.0</v>
      </c>
      <c r="AB2014" s="325">
        <v>1531875.0</v>
      </c>
      <c r="AC2014" s="566" t="s">
        <v>5135</v>
      </c>
      <c r="AD2014" s="322" t="s">
        <v>5136</v>
      </c>
      <c r="AE2014" s="76"/>
      <c r="AF2014" s="322" t="str">
        <f t="shared" si="1"/>
        <v>Buenos Aires, Argentina</v>
      </c>
      <c r="AG2014" s="564">
        <f t="shared" si="2"/>
        <v>2</v>
      </c>
      <c r="AH2014" s="325">
        <f t="shared" si="17"/>
        <v>0</v>
      </c>
      <c r="AI2014" s="325">
        <f t="shared" si="12"/>
        <v>0</v>
      </c>
      <c r="AJ2014" s="325">
        <f t="shared" si="5"/>
        <v>1875875</v>
      </c>
      <c r="AK2014" s="325">
        <f t="shared" si="18"/>
        <v>1875875</v>
      </c>
      <c r="AL2014" s="80"/>
      <c r="AM2014" s="80"/>
    </row>
    <row r="2015">
      <c r="A2015" s="322">
        <v>2004.0</v>
      </c>
      <c r="B2015" s="323">
        <v>46135.0</v>
      </c>
      <c r="C2015" s="76"/>
      <c r="D2015" s="324" t="s">
        <v>3794</v>
      </c>
      <c r="E2015" s="564" t="s">
        <v>3043</v>
      </c>
      <c r="F2015" s="324" t="s">
        <v>1592</v>
      </c>
      <c r="G2015" s="322" t="s">
        <v>64</v>
      </c>
      <c r="H2015" s="322" t="s">
        <v>41</v>
      </c>
      <c r="I2015" s="322" t="s">
        <v>643</v>
      </c>
      <c r="J2015" s="74">
        <v>1.0</v>
      </c>
      <c r="K2015" s="327">
        <v>1.0</v>
      </c>
      <c r="L2015" s="75"/>
      <c r="M2015" s="75"/>
      <c r="N2015" s="75"/>
      <c r="O2015" s="75"/>
      <c r="P2015" s="565"/>
      <c r="Q2015" s="76"/>
      <c r="R2015" s="76"/>
      <c r="S2015" s="564" t="s">
        <v>114</v>
      </c>
      <c r="T2015" s="322" t="s">
        <v>66</v>
      </c>
      <c r="U2015" s="322" t="s">
        <v>99</v>
      </c>
      <c r="V2015" s="322" t="s">
        <v>1984</v>
      </c>
      <c r="W2015" s="77"/>
      <c r="X2015" s="77"/>
      <c r="Y2015" s="77"/>
      <c r="Z2015" s="77"/>
      <c r="AA2015" s="325">
        <v>301000.0</v>
      </c>
      <c r="AB2015" s="325">
        <v>1128750.0</v>
      </c>
      <c r="AC2015" s="566" t="s">
        <v>5137</v>
      </c>
      <c r="AD2015" s="322">
        <v>23950.0</v>
      </c>
      <c r="AE2015" s="76"/>
      <c r="AF2015" s="322" t="str">
        <f t="shared" si="1"/>
        <v>Buenos Aires, Argentina</v>
      </c>
      <c r="AG2015" s="564">
        <f t="shared" si="2"/>
        <v>2</v>
      </c>
      <c r="AH2015" s="325">
        <f t="shared" si="17"/>
        <v>0</v>
      </c>
      <c r="AI2015" s="325">
        <f t="shared" si="12"/>
        <v>0</v>
      </c>
      <c r="AJ2015" s="325">
        <f t="shared" si="5"/>
        <v>1429750</v>
      </c>
      <c r="AK2015" s="325">
        <f t="shared" si="18"/>
        <v>1429750</v>
      </c>
      <c r="AL2015" s="80"/>
      <c r="AM2015" s="80"/>
    </row>
    <row r="2016">
      <c r="A2016" s="322">
        <v>2005.0</v>
      </c>
      <c r="B2016" s="323">
        <v>46135.0</v>
      </c>
      <c r="C2016" s="76"/>
      <c r="D2016" s="324" t="s">
        <v>5138</v>
      </c>
      <c r="E2016" s="564" t="s">
        <v>5139</v>
      </c>
      <c r="F2016" s="324" t="s">
        <v>5140</v>
      </c>
      <c r="G2016" s="322" t="s">
        <v>64</v>
      </c>
      <c r="H2016" s="322" t="s">
        <v>41</v>
      </c>
      <c r="I2016" s="322" t="s">
        <v>643</v>
      </c>
      <c r="J2016" s="75"/>
      <c r="K2016" s="75"/>
      <c r="L2016" s="75"/>
      <c r="M2016" s="75"/>
      <c r="N2016" s="75"/>
      <c r="O2016" s="75"/>
      <c r="P2016" s="565"/>
      <c r="Q2016" s="76"/>
      <c r="R2016" s="76"/>
      <c r="S2016" s="564" t="s">
        <v>65</v>
      </c>
      <c r="T2016" s="322" t="s">
        <v>66</v>
      </c>
      <c r="U2016" s="322" t="s">
        <v>99</v>
      </c>
      <c r="V2016" s="322" t="s">
        <v>1984</v>
      </c>
      <c r="W2016" s="77"/>
      <c r="X2016" s="77"/>
      <c r="Y2016" s="77"/>
      <c r="Z2016" s="77"/>
      <c r="AA2016" s="325">
        <v>0.0</v>
      </c>
      <c r="AB2016" s="325">
        <v>412800.0</v>
      </c>
      <c r="AC2016" s="566" t="s">
        <v>5141</v>
      </c>
      <c r="AD2016" s="322">
        <v>23878.0</v>
      </c>
      <c r="AE2016" s="76"/>
      <c r="AF2016" s="322" t="str">
        <f t="shared" si="1"/>
        <v>Buenos Aires, Argentina</v>
      </c>
      <c r="AG2016" s="564">
        <f t="shared" si="2"/>
        <v>0</v>
      </c>
      <c r="AH2016" s="325">
        <f t="shared" si="17"/>
        <v>0</v>
      </c>
      <c r="AI2016" s="325">
        <f t="shared" si="12"/>
        <v>0</v>
      </c>
      <c r="AJ2016" s="325">
        <f t="shared" si="5"/>
        <v>412800</v>
      </c>
      <c r="AK2016" s="325">
        <f t="shared" si="18"/>
        <v>412800</v>
      </c>
      <c r="AL2016" s="80"/>
      <c r="AM2016" s="80"/>
    </row>
    <row r="2017">
      <c r="A2017" s="322">
        <v>2006.0</v>
      </c>
      <c r="B2017" s="323">
        <v>46136.0</v>
      </c>
      <c r="C2017" s="76"/>
      <c r="D2017" s="324" t="s">
        <v>5142</v>
      </c>
      <c r="E2017" s="564" t="s">
        <v>5143</v>
      </c>
      <c r="F2017" s="324" t="s">
        <v>5144</v>
      </c>
      <c r="G2017" s="322" t="s">
        <v>40</v>
      </c>
      <c r="H2017" s="322" t="s">
        <v>41</v>
      </c>
      <c r="I2017" s="322" t="s">
        <v>643</v>
      </c>
      <c r="J2017" s="74">
        <v>1.0</v>
      </c>
      <c r="K2017" s="327">
        <v>1.0</v>
      </c>
      <c r="L2017" s="75"/>
      <c r="M2017" s="327">
        <v>1.0</v>
      </c>
      <c r="N2017" s="75"/>
      <c r="O2017" s="75"/>
      <c r="P2017" s="565"/>
      <c r="Q2017" s="76"/>
      <c r="R2017" s="76"/>
      <c r="S2017" s="564" t="s">
        <v>963</v>
      </c>
      <c r="T2017" s="322" t="s">
        <v>5145</v>
      </c>
      <c r="U2017" s="322" t="s">
        <v>1027</v>
      </c>
      <c r="V2017" s="322" t="s">
        <v>1984</v>
      </c>
      <c r="W2017" s="77"/>
      <c r="X2017" s="77"/>
      <c r="Y2017" s="77"/>
      <c r="Z2017" s="77"/>
      <c r="AA2017" s="325">
        <v>0.0</v>
      </c>
      <c r="AB2017" s="325">
        <v>0.0</v>
      </c>
      <c r="AC2017" s="566" t="s">
        <v>5146</v>
      </c>
      <c r="AD2017" s="322">
        <v>23990.0</v>
      </c>
      <c r="AE2017" s="76"/>
      <c r="AF2017" s="76"/>
      <c r="AG2017" s="76"/>
      <c r="AH2017" s="76"/>
      <c r="AI2017" s="76"/>
      <c r="AJ2017" s="77"/>
      <c r="AK2017" s="77"/>
      <c r="AL2017" s="80"/>
      <c r="AM2017" s="80"/>
    </row>
    <row r="2018">
      <c r="A2018" s="322">
        <v>2007.0</v>
      </c>
      <c r="B2018" s="323">
        <v>46136.0</v>
      </c>
      <c r="C2018" s="76"/>
      <c r="D2018" s="324" t="s">
        <v>2163</v>
      </c>
      <c r="E2018" s="564" t="s">
        <v>2255</v>
      </c>
      <c r="F2018" s="324" t="s">
        <v>1415</v>
      </c>
      <c r="G2018" s="322" t="s">
        <v>64</v>
      </c>
      <c r="H2018" s="322" t="s">
        <v>41</v>
      </c>
      <c r="I2018" s="322" t="s">
        <v>643</v>
      </c>
      <c r="J2018" s="75"/>
      <c r="K2018" s="327">
        <v>1.0</v>
      </c>
      <c r="L2018" s="75"/>
      <c r="M2018" s="75"/>
      <c r="N2018" s="75"/>
      <c r="O2018" s="75"/>
      <c r="P2018" s="565"/>
      <c r="Q2018" s="76"/>
      <c r="R2018" s="76"/>
      <c r="S2018" s="564" t="s">
        <v>65</v>
      </c>
      <c r="T2018" s="322" t="s">
        <v>66</v>
      </c>
      <c r="U2018" s="322" t="s">
        <v>99</v>
      </c>
      <c r="V2018" s="322" t="s">
        <v>1984</v>
      </c>
      <c r="W2018" s="77"/>
      <c r="X2018" s="77"/>
      <c r="Y2018" s="77"/>
      <c r="Z2018" s="77"/>
      <c r="AA2018" s="325">
        <v>116100.0</v>
      </c>
      <c r="AB2018" s="325">
        <v>483750.0</v>
      </c>
      <c r="AC2018" s="566" t="s">
        <v>5147</v>
      </c>
      <c r="AD2018" s="322">
        <v>23964.0</v>
      </c>
      <c r="AE2018" s="76"/>
      <c r="AF2018" s="322" t="str">
        <f t="shared" ref="AF2018:AF2067" si="19">CONCATENATE(T2018,", Argentina")</f>
        <v>Buenos Aires, Argentina</v>
      </c>
      <c r="AG2018" s="564">
        <f t="shared" ref="AG2018:AG2064" si="20">SUM(J2018:P2018)</f>
        <v>1</v>
      </c>
      <c r="AH2018" s="325">
        <f t="shared" ref="AH2018:AH2079" si="21">SUM(W2018:X2018)</f>
        <v>0</v>
      </c>
      <c r="AI2018" s="325">
        <f t="shared" ref="AI2018:AI2079" si="22">Y2018+Z2018</f>
        <v>0</v>
      </c>
      <c r="AJ2018" s="325">
        <f t="shared" ref="AJ2018:AJ2079" si="23">AA2018+AB2018</f>
        <v>599850</v>
      </c>
      <c r="AK2018" s="325">
        <f t="shared" ref="AK2018:AK2079" si="24">SUM(AH2018:AJ2018)</f>
        <v>599850</v>
      </c>
      <c r="AL2018" s="80"/>
      <c r="AM2018" s="80"/>
    </row>
    <row r="2019">
      <c r="A2019" s="322">
        <v>2008.0</v>
      </c>
      <c r="B2019" s="323">
        <v>46139.0</v>
      </c>
      <c r="C2019" s="76"/>
      <c r="D2019" s="324" t="s">
        <v>2721</v>
      </c>
      <c r="E2019" s="564" t="s">
        <v>2722</v>
      </c>
      <c r="F2019" s="324" t="s">
        <v>1415</v>
      </c>
      <c r="G2019" s="322" t="s">
        <v>64</v>
      </c>
      <c r="H2019" s="322" t="s">
        <v>41</v>
      </c>
      <c r="I2019" s="322" t="s">
        <v>643</v>
      </c>
      <c r="J2019" s="75"/>
      <c r="K2019" s="327">
        <v>1.0</v>
      </c>
      <c r="L2019" s="75"/>
      <c r="M2019" s="75"/>
      <c r="N2019" s="75"/>
      <c r="O2019" s="75"/>
      <c r="P2019" s="565"/>
      <c r="Q2019" s="76"/>
      <c r="R2019" s="76"/>
      <c r="S2019" s="564" t="s">
        <v>65</v>
      </c>
      <c r="T2019" s="322" t="s">
        <v>66</v>
      </c>
      <c r="U2019" s="322" t="s">
        <v>99</v>
      </c>
      <c r="V2019" s="322" t="s">
        <v>1984</v>
      </c>
      <c r="W2019" s="77"/>
      <c r="X2019" s="77"/>
      <c r="Y2019" s="77"/>
      <c r="Z2019" s="77"/>
      <c r="AA2019" s="325">
        <v>129000.0</v>
      </c>
      <c r="AB2019" s="325">
        <v>483750.0</v>
      </c>
      <c r="AC2019" s="567" t="s">
        <v>5148</v>
      </c>
      <c r="AD2019" s="322">
        <v>23944.0</v>
      </c>
      <c r="AE2019" s="76"/>
      <c r="AF2019" s="322" t="str">
        <f t="shared" si="19"/>
        <v>Buenos Aires, Argentina</v>
      </c>
      <c r="AG2019" s="564">
        <f t="shared" si="20"/>
        <v>1</v>
      </c>
      <c r="AH2019" s="325">
        <f t="shared" si="21"/>
        <v>0</v>
      </c>
      <c r="AI2019" s="325">
        <f t="shared" si="22"/>
        <v>0</v>
      </c>
      <c r="AJ2019" s="325">
        <f t="shared" si="23"/>
        <v>612750</v>
      </c>
      <c r="AK2019" s="325">
        <f t="shared" si="24"/>
        <v>612750</v>
      </c>
      <c r="AL2019" s="80"/>
      <c r="AM2019" s="80"/>
    </row>
    <row r="2020">
      <c r="A2020" s="322">
        <v>2009.0</v>
      </c>
      <c r="B2020" s="323">
        <v>46140.0</v>
      </c>
      <c r="C2020" s="76"/>
      <c r="D2020" s="324" t="s">
        <v>5133</v>
      </c>
      <c r="E2020" s="564" t="s">
        <v>5134</v>
      </c>
      <c r="F2020" s="324" t="s">
        <v>1412</v>
      </c>
      <c r="G2020" s="322" t="s">
        <v>64</v>
      </c>
      <c r="H2020" s="322" t="s">
        <v>41</v>
      </c>
      <c r="I2020" s="322" t="s">
        <v>643</v>
      </c>
      <c r="J2020" s="74">
        <v>2.0</v>
      </c>
      <c r="K2020" s="75"/>
      <c r="L2020" s="75"/>
      <c r="M2020" s="75"/>
      <c r="N2020" s="75"/>
      <c r="O2020" s="75"/>
      <c r="P2020" s="565"/>
      <c r="Q2020" s="76"/>
      <c r="R2020" s="76"/>
      <c r="S2020" s="564" t="s">
        <v>72</v>
      </c>
      <c r="T2020" s="322" t="s">
        <v>66</v>
      </c>
      <c r="U2020" s="322" t="s">
        <v>99</v>
      </c>
      <c r="V2020" s="322" t="s">
        <v>1984</v>
      </c>
      <c r="W2020" s="77"/>
      <c r="X2020" s="77"/>
      <c r="Y2020" s="77"/>
      <c r="Z2020" s="77"/>
      <c r="AA2020" s="325">
        <v>344000.0</v>
      </c>
      <c r="AB2020" s="325">
        <v>1290000.0</v>
      </c>
      <c r="AC2020" s="566" t="s">
        <v>5149</v>
      </c>
      <c r="AD2020" s="322">
        <v>24036.0</v>
      </c>
      <c r="AE2020" s="76"/>
      <c r="AF2020" s="322" t="str">
        <f t="shared" si="19"/>
        <v>Buenos Aires, Argentina</v>
      </c>
      <c r="AG2020" s="564">
        <f t="shared" si="20"/>
        <v>2</v>
      </c>
      <c r="AH2020" s="325">
        <f t="shared" si="21"/>
        <v>0</v>
      </c>
      <c r="AI2020" s="325">
        <f t="shared" si="22"/>
        <v>0</v>
      </c>
      <c r="AJ2020" s="325">
        <f t="shared" si="23"/>
        <v>1634000</v>
      </c>
      <c r="AK2020" s="325">
        <f t="shared" si="24"/>
        <v>1634000</v>
      </c>
      <c r="AL2020" s="80"/>
      <c r="AM2020" s="80"/>
    </row>
    <row r="2021">
      <c r="A2021" s="322">
        <v>2010.0</v>
      </c>
      <c r="B2021" s="323">
        <v>46140.0</v>
      </c>
      <c r="C2021" s="76"/>
      <c r="D2021" s="324" t="s">
        <v>4875</v>
      </c>
      <c r="E2021" s="564" t="s">
        <v>4061</v>
      </c>
      <c r="F2021" s="324" t="s">
        <v>5150</v>
      </c>
      <c r="G2021" s="322" t="s">
        <v>64</v>
      </c>
      <c r="H2021" s="322" t="s">
        <v>41</v>
      </c>
      <c r="I2021" s="322" t="s">
        <v>643</v>
      </c>
      <c r="J2021" s="75"/>
      <c r="K2021" s="327">
        <v>1.0</v>
      </c>
      <c r="L2021" s="75"/>
      <c r="M2021" s="75"/>
      <c r="N2021" s="75"/>
      <c r="O2021" s="75"/>
      <c r="P2021" s="565"/>
      <c r="Q2021" s="76"/>
      <c r="R2021" s="76"/>
      <c r="S2021" s="564" t="s">
        <v>98</v>
      </c>
      <c r="T2021" s="322" t="s">
        <v>66</v>
      </c>
      <c r="U2021" s="322" t="s">
        <v>99</v>
      </c>
      <c r="V2021" s="322" t="s">
        <v>1984</v>
      </c>
      <c r="W2021" s="77"/>
      <c r="X2021" s="77"/>
      <c r="Y2021" s="77"/>
      <c r="Z2021" s="77"/>
      <c r="AA2021" s="325">
        <v>129000.0</v>
      </c>
      <c r="AB2021" s="325">
        <v>645000.0</v>
      </c>
      <c r="AC2021" s="566" t="s">
        <v>5151</v>
      </c>
      <c r="AD2021" s="322">
        <v>23494.0</v>
      </c>
      <c r="AE2021" s="76"/>
      <c r="AF2021" s="322" t="str">
        <f t="shared" si="19"/>
        <v>Buenos Aires, Argentina</v>
      </c>
      <c r="AG2021" s="564">
        <f t="shared" si="20"/>
        <v>1</v>
      </c>
      <c r="AH2021" s="325">
        <f t="shared" si="21"/>
        <v>0</v>
      </c>
      <c r="AI2021" s="325">
        <f t="shared" si="22"/>
        <v>0</v>
      </c>
      <c r="AJ2021" s="325">
        <f t="shared" si="23"/>
        <v>774000</v>
      </c>
      <c r="AK2021" s="325">
        <f t="shared" si="24"/>
        <v>774000</v>
      </c>
      <c r="AL2021" s="80"/>
      <c r="AM2021" s="80"/>
    </row>
    <row r="2022">
      <c r="A2022" s="322">
        <v>2011.0</v>
      </c>
      <c r="B2022" s="323">
        <v>46141.0</v>
      </c>
      <c r="C2022" s="76"/>
      <c r="D2022" s="324" t="s">
        <v>5055</v>
      </c>
      <c r="E2022" s="564" t="s">
        <v>5056</v>
      </c>
      <c r="F2022" s="324" t="s">
        <v>1423</v>
      </c>
      <c r="G2022" s="322" t="s">
        <v>64</v>
      </c>
      <c r="H2022" s="322" t="s">
        <v>41</v>
      </c>
      <c r="I2022" s="322" t="s">
        <v>643</v>
      </c>
      <c r="J2022" s="74">
        <v>1.0</v>
      </c>
      <c r="K2022" s="75"/>
      <c r="L2022" s="75"/>
      <c r="M2022" s="75"/>
      <c r="N2022" s="75"/>
      <c r="O2022" s="75"/>
      <c r="P2022" s="565"/>
      <c r="Q2022" s="76"/>
      <c r="R2022" s="76"/>
      <c r="S2022" s="564" t="s">
        <v>189</v>
      </c>
      <c r="T2022" s="322" t="s">
        <v>66</v>
      </c>
      <c r="U2022" s="322" t="s">
        <v>99</v>
      </c>
      <c r="V2022" s="322" t="s">
        <v>1984</v>
      </c>
      <c r="W2022" s="77"/>
      <c r="X2022" s="77"/>
      <c r="Y2022" s="77"/>
      <c r="Z2022" s="77"/>
      <c r="AA2022" s="325">
        <v>172000.0</v>
      </c>
      <c r="AB2022" s="325">
        <v>645000.0</v>
      </c>
      <c r="AC2022" s="566" t="s">
        <v>5152</v>
      </c>
      <c r="AD2022" s="322">
        <v>24040.0</v>
      </c>
      <c r="AE2022" s="76"/>
      <c r="AF2022" s="322" t="str">
        <f t="shared" si="19"/>
        <v>Buenos Aires, Argentina</v>
      </c>
      <c r="AG2022" s="564">
        <f t="shared" si="20"/>
        <v>1</v>
      </c>
      <c r="AH2022" s="325">
        <f t="shared" si="21"/>
        <v>0</v>
      </c>
      <c r="AI2022" s="325">
        <f t="shared" si="22"/>
        <v>0</v>
      </c>
      <c r="AJ2022" s="325">
        <f t="shared" si="23"/>
        <v>817000</v>
      </c>
      <c r="AK2022" s="325">
        <f t="shared" si="24"/>
        <v>817000</v>
      </c>
      <c r="AL2022" s="80"/>
      <c r="AM2022" s="80"/>
    </row>
    <row r="2023">
      <c r="A2023" s="322">
        <v>2012.0</v>
      </c>
      <c r="B2023" s="323">
        <v>46142.0</v>
      </c>
      <c r="C2023" s="76"/>
      <c r="D2023" s="324" t="s">
        <v>5153</v>
      </c>
      <c r="E2023" s="564" t="s">
        <v>4720</v>
      </c>
      <c r="F2023" s="324" t="s">
        <v>1412</v>
      </c>
      <c r="G2023" s="322" t="s">
        <v>64</v>
      </c>
      <c r="H2023" s="322" t="s">
        <v>41</v>
      </c>
      <c r="I2023" s="322" t="s">
        <v>643</v>
      </c>
      <c r="J2023" s="74">
        <v>2.0</v>
      </c>
      <c r="K2023" s="75"/>
      <c r="L2023" s="75"/>
      <c r="M2023" s="75"/>
      <c r="N2023" s="75"/>
      <c r="O2023" s="75"/>
      <c r="P2023" s="565"/>
      <c r="Q2023" s="76"/>
      <c r="R2023" s="76"/>
      <c r="S2023" s="564" t="s">
        <v>89</v>
      </c>
      <c r="T2023" s="322" t="s">
        <v>66</v>
      </c>
      <c r="U2023" s="322" t="s">
        <v>99</v>
      </c>
      <c r="V2023" s="322" t="s">
        <v>1984</v>
      </c>
      <c r="W2023" s="77"/>
      <c r="X2023" s="77"/>
      <c r="Y2023" s="77"/>
      <c r="Z2023" s="77"/>
      <c r="AA2023" s="325">
        <v>344000.0</v>
      </c>
      <c r="AB2023" s="325">
        <v>1290000.0</v>
      </c>
      <c r="AC2023" s="566" t="s">
        <v>5154</v>
      </c>
      <c r="AD2023" s="322">
        <v>24084.0</v>
      </c>
      <c r="AE2023" s="76"/>
      <c r="AF2023" s="322" t="str">
        <f t="shared" si="19"/>
        <v>Buenos Aires, Argentina</v>
      </c>
      <c r="AG2023" s="564">
        <f t="shared" si="20"/>
        <v>2</v>
      </c>
      <c r="AH2023" s="325">
        <f t="shared" si="21"/>
        <v>0</v>
      </c>
      <c r="AI2023" s="325">
        <f t="shared" si="22"/>
        <v>0</v>
      </c>
      <c r="AJ2023" s="325">
        <f t="shared" si="23"/>
        <v>1634000</v>
      </c>
      <c r="AK2023" s="325">
        <f t="shared" si="24"/>
        <v>1634000</v>
      </c>
      <c r="AL2023" s="80"/>
      <c r="AM2023" s="80"/>
    </row>
    <row r="2024">
      <c r="A2024" s="322">
        <v>2013.0</v>
      </c>
      <c r="B2024" s="323">
        <v>46142.0</v>
      </c>
      <c r="C2024" s="76"/>
      <c r="D2024" s="324" t="s">
        <v>5155</v>
      </c>
      <c r="E2024" s="564" t="s">
        <v>5156</v>
      </c>
      <c r="F2024" s="324" t="s">
        <v>1423</v>
      </c>
      <c r="G2024" s="322" t="s">
        <v>64</v>
      </c>
      <c r="H2024" s="322" t="s">
        <v>41</v>
      </c>
      <c r="I2024" s="322" t="s">
        <v>643</v>
      </c>
      <c r="J2024" s="74">
        <v>1.0</v>
      </c>
      <c r="K2024" s="75"/>
      <c r="L2024" s="75"/>
      <c r="M2024" s="75"/>
      <c r="N2024" s="75"/>
      <c r="O2024" s="75"/>
      <c r="P2024" s="565"/>
      <c r="Q2024" s="76"/>
      <c r="R2024" s="76"/>
      <c r="S2024" s="564" t="s">
        <v>114</v>
      </c>
      <c r="T2024" s="322" t="s">
        <v>58</v>
      </c>
      <c r="U2024" s="322" t="s">
        <v>99</v>
      </c>
      <c r="V2024" s="322" t="s">
        <v>1984</v>
      </c>
      <c r="W2024" s="77"/>
      <c r="X2024" s="77"/>
      <c r="Y2024" s="77"/>
      <c r="Z2024" s="77"/>
      <c r="AA2024" s="325">
        <v>172000.0</v>
      </c>
      <c r="AB2024" s="325">
        <v>645000.0</v>
      </c>
      <c r="AC2024" s="566" t="s">
        <v>5157</v>
      </c>
      <c r="AD2024" s="322">
        <v>23946.0</v>
      </c>
      <c r="AE2024" s="76"/>
      <c r="AF2024" s="322" t="str">
        <f t="shared" si="19"/>
        <v>Córdoba, Argentina</v>
      </c>
      <c r="AG2024" s="564">
        <f t="shared" si="20"/>
        <v>1</v>
      </c>
      <c r="AH2024" s="325">
        <f t="shared" si="21"/>
        <v>0</v>
      </c>
      <c r="AI2024" s="325">
        <f t="shared" si="22"/>
        <v>0</v>
      </c>
      <c r="AJ2024" s="325">
        <f t="shared" si="23"/>
        <v>817000</v>
      </c>
      <c r="AK2024" s="325">
        <f t="shared" si="24"/>
        <v>817000</v>
      </c>
      <c r="AL2024" s="80"/>
      <c r="AM2024" s="80"/>
    </row>
    <row r="2025">
      <c r="A2025" s="322">
        <v>2014.0</v>
      </c>
      <c r="B2025" s="323">
        <v>46142.0</v>
      </c>
      <c r="C2025" s="76"/>
      <c r="D2025" s="324" t="s">
        <v>5158</v>
      </c>
      <c r="E2025" s="564" t="s">
        <v>4367</v>
      </c>
      <c r="F2025" s="324" t="s">
        <v>1423</v>
      </c>
      <c r="G2025" s="322" t="s">
        <v>64</v>
      </c>
      <c r="H2025" s="322" t="s">
        <v>41</v>
      </c>
      <c r="I2025" s="322" t="s">
        <v>643</v>
      </c>
      <c r="J2025" s="74">
        <v>1.0</v>
      </c>
      <c r="K2025" s="75"/>
      <c r="L2025" s="75"/>
      <c r="M2025" s="75"/>
      <c r="N2025" s="75"/>
      <c r="O2025" s="75"/>
      <c r="P2025" s="565"/>
      <c r="Q2025" s="76"/>
      <c r="R2025" s="76"/>
      <c r="S2025" s="564" t="s">
        <v>65</v>
      </c>
      <c r="T2025" s="322" t="s">
        <v>66</v>
      </c>
      <c r="U2025" s="322" t="s">
        <v>99</v>
      </c>
      <c r="V2025" s="322" t="s">
        <v>1984</v>
      </c>
      <c r="W2025" s="77"/>
      <c r="X2025" s="77"/>
      <c r="Y2025" s="77"/>
      <c r="Z2025" s="77"/>
      <c r="AA2025" s="325">
        <v>172000.0</v>
      </c>
      <c r="AB2025" s="325">
        <v>645000.0</v>
      </c>
      <c r="AC2025" s="566" t="s">
        <v>5159</v>
      </c>
      <c r="AD2025" s="322">
        <v>24090.0</v>
      </c>
      <c r="AE2025" s="76"/>
      <c r="AF2025" s="322" t="str">
        <f t="shared" si="19"/>
        <v>Buenos Aires, Argentina</v>
      </c>
      <c r="AG2025" s="564">
        <f t="shared" si="20"/>
        <v>1</v>
      </c>
      <c r="AH2025" s="325">
        <f t="shared" si="21"/>
        <v>0</v>
      </c>
      <c r="AI2025" s="325">
        <f t="shared" si="22"/>
        <v>0</v>
      </c>
      <c r="AJ2025" s="325">
        <f t="shared" si="23"/>
        <v>817000</v>
      </c>
      <c r="AK2025" s="325">
        <f t="shared" si="24"/>
        <v>817000</v>
      </c>
      <c r="AL2025" s="80"/>
      <c r="AM2025" s="80"/>
    </row>
    <row r="2026">
      <c r="A2026" s="322">
        <v>2015.0</v>
      </c>
      <c r="B2026" s="323">
        <v>46142.0</v>
      </c>
      <c r="C2026" s="76"/>
      <c r="D2026" s="324" t="s">
        <v>5160</v>
      </c>
      <c r="E2026" s="564" t="s">
        <v>4038</v>
      </c>
      <c r="F2026" s="324" t="s">
        <v>1412</v>
      </c>
      <c r="G2026" s="322" t="s">
        <v>64</v>
      </c>
      <c r="H2026" s="322" t="s">
        <v>41</v>
      </c>
      <c r="I2026" s="322" t="s">
        <v>643</v>
      </c>
      <c r="J2026" s="74">
        <v>2.0</v>
      </c>
      <c r="K2026" s="75"/>
      <c r="L2026" s="75"/>
      <c r="M2026" s="75"/>
      <c r="N2026" s="75"/>
      <c r="O2026" s="75"/>
      <c r="P2026" s="565"/>
      <c r="Q2026" s="76"/>
      <c r="R2026" s="76"/>
      <c r="S2026" s="564" t="s">
        <v>137</v>
      </c>
      <c r="T2026" s="322" t="s">
        <v>66</v>
      </c>
      <c r="U2026" s="322" t="s">
        <v>99</v>
      </c>
      <c r="V2026" s="322" t="s">
        <v>1984</v>
      </c>
      <c r="W2026" s="77"/>
      <c r="X2026" s="77"/>
      <c r="Y2026" s="77"/>
      <c r="Z2026" s="77"/>
      <c r="AA2026" s="325">
        <v>344000.0</v>
      </c>
      <c r="AB2026" s="325">
        <v>1720000.0</v>
      </c>
      <c r="AC2026" s="566" t="s">
        <v>5161</v>
      </c>
      <c r="AD2026" s="322">
        <v>23910.0</v>
      </c>
      <c r="AE2026" s="76"/>
      <c r="AF2026" s="322" t="str">
        <f t="shared" si="19"/>
        <v>Buenos Aires, Argentina</v>
      </c>
      <c r="AG2026" s="564">
        <f t="shared" si="20"/>
        <v>2</v>
      </c>
      <c r="AH2026" s="325">
        <f t="shared" si="21"/>
        <v>0</v>
      </c>
      <c r="AI2026" s="325">
        <f t="shared" si="22"/>
        <v>0</v>
      </c>
      <c r="AJ2026" s="325">
        <f t="shared" si="23"/>
        <v>2064000</v>
      </c>
      <c r="AK2026" s="325">
        <f t="shared" si="24"/>
        <v>2064000</v>
      </c>
      <c r="AL2026" s="80"/>
      <c r="AM2026" s="80"/>
    </row>
    <row r="2027">
      <c r="A2027" s="322">
        <v>2016.0</v>
      </c>
      <c r="B2027" s="323">
        <v>46142.0</v>
      </c>
      <c r="C2027" s="76"/>
      <c r="D2027" s="324" t="s">
        <v>2709</v>
      </c>
      <c r="E2027" s="564" t="s">
        <v>2710</v>
      </c>
      <c r="F2027" s="324" t="s">
        <v>1427</v>
      </c>
      <c r="G2027" s="322" t="s">
        <v>64</v>
      </c>
      <c r="H2027" s="322" t="s">
        <v>41</v>
      </c>
      <c r="I2027" s="322" t="s">
        <v>643</v>
      </c>
      <c r="J2027" s="75"/>
      <c r="K2027" s="327">
        <v>2.0</v>
      </c>
      <c r="L2027" s="75"/>
      <c r="M2027" s="75"/>
      <c r="N2027" s="75"/>
      <c r="O2027" s="75"/>
      <c r="P2027" s="565"/>
      <c r="Q2027" s="76"/>
      <c r="R2027" s="76"/>
      <c r="S2027" s="564" t="s">
        <v>137</v>
      </c>
      <c r="T2027" s="322" t="s">
        <v>58</v>
      </c>
      <c r="U2027" s="322" t="s">
        <v>99</v>
      </c>
      <c r="V2027" s="322" t="s">
        <v>1984</v>
      </c>
      <c r="W2027" s="77"/>
      <c r="X2027" s="77"/>
      <c r="Y2027" s="77"/>
      <c r="Z2027" s="77"/>
      <c r="AA2027" s="325">
        <v>258000.0</v>
      </c>
      <c r="AB2027" s="325">
        <v>967500.0</v>
      </c>
      <c r="AC2027" s="566" t="s">
        <v>5162</v>
      </c>
      <c r="AD2027" s="322">
        <v>23958.0</v>
      </c>
      <c r="AE2027" s="76"/>
      <c r="AF2027" s="322" t="str">
        <f t="shared" si="19"/>
        <v>Córdoba, Argentina</v>
      </c>
      <c r="AG2027" s="564">
        <f t="shared" si="20"/>
        <v>2</v>
      </c>
      <c r="AH2027" s="325">
        <f t="shared" si="21"/>
        <v>0</v>
      </c>
      <c r="AI2027" s="325">
        <f t="shared" si="22"/>
        <v>0</v>
      </c>
      <c r="AJ2027" s="325">
        <f t="shared" si="23"/>
        <v>1225500</v>
      </c>
      <c r="AK2027" s="325">
        <f t="shared" si="24"/>
        <v>1225500</v>
      </c>
      <c r="AL2027" s="80"/>
      <c r="AM2027" s="80"/>
    </row>
    <row r="2028">
      <c r="A2028" s="322">
        <v>2017.0</v>
      </c>
      <c r="B2028" s="323">
        <v>46142.0</v>
      </c>
      <c r="C2028" s="76"/>
      <c r="D2028" s="324" t="s">
        <v>5163</v>
      </c>
      <c r="E2028" s="564" t="s">
        <v>4578</v>
      </c>
      <c r="F2028" s="324" t="s">
        <v>1415</v>
      </c>
      <c r="G2028" s="322" t="s">
        <v>64</v>
      </c>
      <c r="H2028" s="322" t="s">
        <v>41</v>
      </c>
      <c r="I2028" s="322" t="s">
        <v>643</v>
      </c>
      <c r="J2028" s="75"/>
      <c r="K2028" s="327">
        <v>1.0</v>
      </c>
      <c r="L2028" s="75"/>
      <c r="M2028" s="75"/>
      <c r="N2028" s="75"/>
      <c r="O2028" s="75"/>
      <c r="P2028" s="565"/>
      <c r="Q2028" s="76"/>
      <c r="R2028" s="76"/>
      <c r="S2028" s="564" t="s">
        <v>98</v>
      </c>
      <c r="T2028" s="322" t="s">
        <v>66</v>
      </c>
      <c r="U2028" s="322" t="s">
        <v>99</v>
      </c>
      <c r="V2028" s="322" t="s">
        <v>1984</v>
      </c>
      <c r="W2028" s="77"/>
      <c r="X2028" s="77"/>
      <c r="Y2028" s="77"/>
      <c r="Z2028" s="77"/>
      <c r="AA2028" s="325">
        <v>129000.0</v>
      </c>
      <c r="AB2028" s="325">
        <v>483750.0</v>
      </c>
      <c r="AC2028" s="566" t="s">
        <v>5164</v>
      </c>
      <c r="AD2028" s="322">
        <v>23970.0</v>
      </c>
      <c r="AE2028" s="76"/>
      <c r="AF2028" s="322" t="str">
        <f t="shared" si="19"/>
        <v>Buenos Aires, Argentina</v>
      </c>
      <c r="AG2028" s="564">
        <f t="shared" si="20"/>
        <v>1</v>
      </c>
      <c r="AH2028" s="325">
        <f t="shared" si="21"/>
        <v>0</v>
      </c>
      <c r="AI2028" s="325">
        <f t="shared" si="22"/>
        <v>0</v>
      </c>
      <c r="AJ2028" s="325">
        <f t="shared" si="23"/>
        <v>612750</v>
      </c>
      <c r="AK2028" s="325">
        <f t="shared" si="24"/>
        <v>612750</v>
      </c>
      <c r="AL2028" s="80"/>
      <c r="AM2028" s="80"/>
    </row>
    <row r="2029">
      <c r="A2029" s="322">
        <v>2018.0</v>
      </c>
      <c r="B2029" s="323">
        <v>46142.0</v>
      </c>
      <c r="C2029" s="76"/>
      <c r="D2029" s="324" t="s">
        <v>5165</v>
      </c>
      <c r="E2029" s="564" t="s">
        <v>5166</v>
      </c>
      <c r="F2029" s="324" t="s">
        <v>5167</v>
      </c>
      <c r="G2029" s="322" t="s">
        <v>40</v>
      </c>
      <c r="H2029" s="322" t="s">
        <v>41</v>
      </c>
      <c r="I2029" s="322" t="s">
        <v>42</v>
      </c>
      <c r="J2029" s="74">
        <v>3.0</v>
      </c>
      <c r="K2029" s="327">
        <v>4.0</v>
      </c>
      <c r="L2029" s="75"/>
      <c r="M2029" s="327">
        <v>1.0</v>
      </c>
      <c r="N2029" s="75"/>
      <c r="O2029" s="75"/>
      <c r="P2029" s="565"/>
      <c r="Q2029" s="76"/>
      <c r="R2029" s="76"/>
      <c r="S2029" s="564" t="s">
        <v>89</v>
      </c>
      <c r="T2029" s="322" t="s">
        <v>66</v>
      </c>
      <c r="U2029" s="322" t="s">
        <v>45</v>
      </c>
      <c r="V2029" s="322" t="s">
        <v>2922</v>
      </c>
      <c r="W2029" s="77"/>
      <c r="X2029" s="77"/>
      <c r="Y2029" s="77"/>
      <c r="Z2029" s="77"/>
      <c r="AA2029" s="325">
        <v>892500.0</v>
      </c>
      <c r="AB2029" s="325">
        <v>3346875.0</v>
      </c>
      <c r="AC2029" s="566" t="s">
        <v>5168</v>
      </c>
      <c r="AD2029" s="322">
        <v>24042.0</v>
      </c>
      <c r="AE2029" s="76"/>
      <c r="AF2029" s="322" t="str">
        <f t="shared" si="19"/>
        <v>Buenos Aires, Argentina</v>
      </c>
      <c r="AG2029" s="564">
        <f t="shared" si="20"/>
        <v>8</v>
      </c>
      <c r="AH2029" s="325">
        <f t="shared" si="21"/>
        <v>0</v>
      </c>
      <c r="AI2029" s="325">
        <f t="shared" si="22"/>
        <v>0</v>
      </c>
      <c r="AJ2029" s="325">
        <f t="shared" si="23"/>
        <v>4239375</v>
      </c>
      <c r="AK2029" s="325">
        <f t="shared" si="24"/>
        <v>4239375</v>
      </c>
      <c r="AL2029" s="80"/>
      <c r="AM2029" s="80"/>
    </row>
    <row r="2030">
      <c r="A2030" s="322">
        <v>2019.0</v>
      </c>
      <c r="B2030" s="323">
        <v>46142.0</v>
      </c>
      <c r="C2030" s="76"/>
      <c r="D2030" s="324" t="s">
        <v>5169</v>
      </c>
      <c r="E2030" s="564" t="s">
        <v>4764</v>
      </c>
      <c r="F2030" s="324" t="s">
        <v>1415</v>
      </c>
      <c r="G2030" s="322" t="s">
        <v>64</v>
      </c>
      <c r="H2030" s="322" t="s">
        <v>227</v>
      </c>
      <c r="I2030" s="322" t="s">
        <v>643</v>
      </c>
      <c r="J2030" s="75"/>
      <c r="K2030" s="327">
        <v>1.0</v>
      </c>
      <c r="L2030" s="75"/>
      <c r="M2030" s="75"/>
      <c r="N2030" s="75"/>
      <c r="O2030" s="75"/>
      <c r="P2030" s="565"/>
      <c r="Q2030" s="76"/>
      <c r="R2030" s="76"/>
      <c r="S2030" s="564" t="s">
        <v>98</v>
      </c>
      <c r="T2030" s="322" t="s">
        <v>83</v>
      </c>
      <c r="U2030" s="322" t="s">
        <v>99</v>
      </c>
      <c r="V2030" s="322" t="s">
        <v>1984</v>
      </c>
      <c r="W2030" s="77"/>
      <c r="X2030" s="77"/>
      <c r="Y2030" s="77"/>
      <c r="Z2030" s="77"/>
      <c r="AA2030" s="325">
        <v>167700.0</v>
      </c>
      <c r="AB2030" s="325">
        <v>628875.0</v>
      </c>
      <c r="AC2030" s="566" t="s">
        <v>5170</v>
      </c>
      <c r="AD2030" s="322">
        <v>24142.0</v>
      </c>
      <c r="AE2030" s="76"/>
      <c r="AF2030" s="322" t="str">
        <f t="shared" si="19"/>
        <v>Capital Federal, Argentina</v>
      </c>
      <c r="AG2030" s="564">
        <f t="shared" si="20"/>
        <v>1</v>
      </c>
      <c r="AH2030" s="325">
        <f t="shared" si="21"/>
        <v>0</v>
      </c>
      <c r="AI2030" s="325">
        <f t="shared" si="22"/>
        <v>0</v>
      </c>
      <c r="AJ2030" s="325">
        <f t="shared" si="23"/>
        <v>796575</v>
      </c>
      <c r="AK2030" s="325">
        <f t="shared" si="24"/>
        <v>796575</v>
      </c>
      <c r="AL2030" s="80"/>
      <c r="AM2030" s="80"/>
    </row>
    <row r="2031">
      <c r="A2031" s="322">
        <v>2020.0</v>
      </c>
      <c r="B2031" s="323">
        <v>46142.0</v>
      </c>
      <c r="C2031" s="76"/>
      <c r="D2031" s="324" t="s">
        <v>5171</v>
      </c>
      <c r="E2031" s="564" t="s">
        <v>3452</v>
      </c>
      <c r="F2031" s="324" t="s">
        <v>1878</v>
      </c>
      <c r="G2031" s="322" t="s">
        <v>64</v>
      </c>
      <c r="H2031" s="322" t="s">
        <v>41</v>
      </c>
      <c r="I2031" s="322" t="s">
        <v>643</v>
      </c>
      <c r="J2031" s="75"/>
      <c r="K2031" s="75"/>
      <c r="L2031" s="75"/>
      <c r="M2031" s="75"/>
      <c r="N2031" s="327">
        <v>1.0</v>
      </c>
      <c r="O2031" s="75"/>
      <c r="P2031" s="565"/>
      <c r="Q2031" s="76"/>
      <c r="R2031" s="76"/>
      <c r="S2031" s="564" t="s">
        <v>105</v>
      </c>
      <c r="T2031" s="322" t="s">
        <v>73</v>
      </c>
      <c r="U2031" s="322" t="s">
        <v>99</v>
      </c>
      <c r="V2031" s="322" t="s">
        <v>1984</v>
      </c>
      <c r="W2031" s="77"/>
      <c r="X2031" s="77"/>
      <c r="Y2031" s="77"/>
      <c r="Z2031" s="77"/>
      <c r="AA2031" s="325">
        <v>172000.0</v>
      </c>
      <c r="AB2031" s="325">
        <v>559000.0</v>
      </c>
      <c r="AC2031" s="566" t="s">
        <v>5172</v>
      </c>
      <c r="AD2031" s="322">
        <v>23940.0</v>
      </c>
      <c r="AE2031" s="76"/>
      <c r="AF2031" s="322" t="str">
        <f t="shared" si="19"/>
        <v>Tierra de Fuego, Argentina</v>
      </c>
      <c r="AG2031" s="564">
        <f t="shared" si="20"/>
        <v>1</v>
      </c>
      <c r="AH2031" s="325">
        <f t="shared" si="21"/>
        <v>0</v>
      </c>
      <c r="AI2031" s="325">
        <f t="shared" si="22"/>
        <v>0</v>
      </c>
      <c r="AJ2031" s="325">
        <f t="shared" si="23"/>
        <v>731000</v>
      </c>
      <c r="AK2031" s="325">
        <f t="shared" si="24"/>
        <v>731000</v>
      </c>
      <c r="AL2031" s="80"/>
      <c r="AM2031" s="80"/>
    </row>
    <row r="2032">
      <c r="A2032" s="322">
        <v>2021.0</v>
      </c>
      <c r="B2032" s="323">
        <v>46142.0</v>
      </c>
      <c r="C2032" s="76"/>
      <c r="D2032" s="324" t="s">
        <v>4078</v>
      </c>
      <c r="E2032" s="564" t="s">
        <v>2707</v>
      </c>
      <c r="F2032" s="324" t="s">
        <v>5173</v>
      </c>
      <c r="G2032" s="322" t="s">
        <v>64</v>
      </c>
      <c r="H2032" s="322" t="s">
        <v>41</v>
      </c>
      <c r="I2032" s="322" t="s">
        <v>643</v>
      </c>
      <c r="J2032" s="74">
        <v>1.0</v>
      </c>
      <c r="K2032" s="75"/>
      <c r="L2032" s="75"/>
      <c r="M2032" s="75"/>
      <c r="N2032" s="75"/>
      <c r="O2032" s="75"/>
      <c r="P2032" s="75"/>
      <c r="Q2032" s="76"/>
      <c r="R2032" s="76"/>
      <c r="S2032" s="564" t="s">
        <v>105</v>
      </c>
      <c r="T2032" s="322" t="s">
        <v>73</v>
      </c>
      <c r="U2032" s="322" t="s">
        <v>99</v>
      </c>
      <c r="V2032" s="322" t="s">
        <v>1984</v>
      </c>
      <c r="W2032" s="77"/>
      <c r="X2032" s="77"/>
      <c r="Y2032" s="77"/>
      <c r="Z2032" s="77"/>
      <c r="AA2032" s="325">
        <v>172000.0</v>
      </c>
      <c r="AB2032" s="325">
        <v>774000.0</v>
      </c>
      <c r="AC2032" s="566" t="s">
        <v>5174</v>
      </c>
      <c r="AD2032" s="322">
        <v>23434.0</v>
      </c>
      <c r="AE2032" s="76"/>
      <c r="AF2032" s="322" t="str">
        <f t="shared" si="19"/>
        <v>Tierra de Fuego, Argentina</v>
      </c>
      <c r="AG2032" s="564">
        <f t="shared" si="20"/>
        <v>1</v>
      </c>
      <c r="AH2032" s="325">
        <f t="shared" si="21"/>
        <v>0</v>
      </c>
      <c r="AI2032" s="325">
        <f t="shared" si="22"/>
        <v>0</v>
      </c>
      <c r="AJ2032" s="325">
        <f t="shared" si="23"/>
        <v>946000</v>
      </c>
      <c r="AK2032" s="325">
        <f t="shared" si="24"/>
        <v>946000</v>
      </c>
      <c r="AL2032" s="80"/>
      <c r="AM2032" s="80"/>
    </row>
    <row r="2033">
      <c r="A2033" s="322">
        <v>2022.0</v>
      </c>
      <c r="B2033" s="323">
        <v>46142.0</v>
      </c>
      <c r="C2033" s="76"/>
      <c r="D2033" s="324" t="s">
        <v>4078</v>
      </c>
      <c r="E2033" s="564" t="s">
        <v>2707</v>
      </c>
      <c r="F2033" s="324" t="s">
        <v>3079</v>
      </c>
      <c r="G2033" s="322" t="s">
        <v>64</v>
      </c>
      <c r="H2033" s="322" t="s">
        <v>41</v>
      </c>
      <c r="I2033" s="322" t="s">
        <v>643</v>
      </c>
      <c r="J2033" s="75"/>
      <c r="K2033" s="75"/>
      <c r="L2033" s="75"/>
      <c r="M2033" s="75"/>
      <c r="N2033" s="75"/>
      <c r="O2033" s="75"/>
      <c r="P2033" s="565"/>
      <c r="Q2033" s="76"/>
      <c r="R2033" s="76"/>
      <c r="S2033" s="564" t="s">
        <v>105</v>
      </c>
      <c r="T2033" s="322" t="s">
        <v>73</v>
      </c>
      <c r="U2033" s="322" t="s">
        <v>99</v>
      </c>
      <c r="V2033" s="322" t="s">
        <v>1984</v>
      </c>
      <c r="W2033" s="77"/>
      <c r="X2033" s="77"/>
      <c r="Y2033" s="77"/>
      <c r="Z2033" s="77"/>
      <c r="AA2033" s="325">
        <v>0.0</v>
      </c>
      <c r="AB2033" s="325">
        <v>6520500.0</v>
      </c>
      <c r="AC2033" s="566" t="s">
        <v>5174</v>
      </c>
      <c r="AD2033" s="322">
        <v>23434.0</v>
      </c>
      <c r="AE2033" s="76"/>
      <c r="AF2033" s="322" t="str">
        <f t="shared" si="19"/>
        <v>Tierra de Fuego, Argentina</v>
      </c>
      <c r="AG2033" s="564">
        <f t="shared" si="20"/>
        <v>0</v>
      </c>
      <c r="AH2033" s="325">
        <f t="shared" si="21"/>
        <v>0</v>
      </c>
      <c r="AI2033" s="325">
        <f t="shared" si="22"/>
        <v>0</v>
      </c>
      <c r="AJ2033" s="325">
        <f t="shared" si="23"/>
        <v>6520500</v>
      </c>
      <c r="AK2033" s="325">
        <f t="shared" si="24"/>
        <v>6520500</v>
      </c>
      <c r="AL2033" s="80"/>
      <c r="AM2033" s="80"/>
    </row>
    <row r="2034">
      <c r="A2034" s="322">
        <v>2023.0</v>
      </c>
      <c r="B2034" s="323">
        <v>46142.0</v>
      </c>
      <c r="C2034" s="76"/>
      <c r="D2034" s="324" t="s">
        <v>3387</v>
      </c>
      <c r="E2034" s="564" t="s">
        <v>2767</v>
      </c>
      <c r="F2034" s="324" t="s">
        <v>2114</v>
      </c>
      <c r="G2034" s="322" t="s">
        <v>64</v>
      </c>
      <c r="H2034" s="322" t="s">
        <v>41</v>
      </c>
      <c r="I2034" s="322" t="s">
        <v>643</v>
      </c>
      <c r="J2034" s="75"/>
      <c r="K2034" s="75"/>
      <c r="L2034" s="75"/>
      <c r="M2034" s="75"/>
      <c r="N2034" s="75"/>
      <c r="O2034" s="75"/>
      <c r="P2034" s="565"/>
      <c r="Q2034" s="76"/>
      <c r="R2034" s="76"/>
      <c r="S2034" s="564" t="s">
        <v>276</v>
      </c>
      <c r="T2034" s="322" t="s">
        <v>83</v>
      </c>
      <c r="U2034" s="322" t="s">
        <v>99</v>
      </c>
      <c r="V2034" s="322" t="s">
        <v>1984</v>
      </c>
      <c r="W2034" s="77"/>
      <c r="X2034" s="77"/>
      <c r="Y2034" s="77"/>
      <c r="Z2034" s="77"/>
      <c r="AA2034" s="325">
        <v>0.0</v>
      </c>
      <c r="AB2034" s="325">
        <v>262500.0</v>
      </c>
      <c r="AC2034" s="566" t="s">
        <v>5175</v>
      </c>
      <c r="AD2034" s="322">
        <v>24300.0</v>
      </c>
      <c r="AE2034" s="76"/>
      <c r="AF2034" s="322" t="str">
        <f t="shared" si="19"/>
        <v>Capital Federal, Argentina</v>
      </c>
      <c r="AG2034" s="564">
        <f t="shared" si="20"/>
        <v>0</v>
      </c>
      <c r="AH2034" s="325">
        <f t="shared" si="21"/>
        <v>0</v>
      </c>
      <c r="AI2034" s="325">
        <f t="shared" si="22"/>
        <v>0</v>
      </c>
      <c r="AJ2034" s="325">
        <f t="shared" si="23"/>
        <v>262500</v>
      </c>
      <c r="AK2034" s="325">
        <f t="shared" si="24"/>
        <v>262500</v>
      </c>
      <c r="AL2034" s="80"/>
      <c r="AM2034" s="80"/>
    </row>
    <row r="2035">
      <c r="A2035" s="322">
        <v>2024.0</v>
      </c>
      <c r="B2035" s="323">
        <v>46142.0</v>
      </c>
      <c r="C2035" s="76"/>
      <c r="D2035" s="324" t="s">
        <v>1328</v>
      </c>
      <c r="E2035" s="564" t="s">
        <v>1962</v>
      </c>
      <c r="F2035" s="324" t="s">
        <v>5176</v>
      </c>
      <c r="G2035" s="322" t="s">
        <v>64</v>
      </c>
      <c r="H2035" s="322" t="s">
        <v>227</v>
      </c>
      <c r="I2035" s="322" t="s">
        <v>643</v>
      </c>
      <c r="J2035" s="75"/>
      <c r="K2035" s="75"/>
      <c r="L2035" s="75"/>
      <c r="M2035" s="75"/>
      <c r="N2035" s="75"/>
      <c r="O2035" s="75"/>
      <c r="P2035" s="565"/>
      <c r="Q2035" s="76"/>
      <c r="R2035" s="76"/>
      <c r="S2035" s="564" t="s">
        <v>105</v>
      </c>
      <c r="T2035" s="322" t="s">
        <v>83</v>
      </c>
      <c r="U2035" s="322" t="s">
        <v>99</v>
      </c>
      <c r="V2035" s="322" t="s">
        <v>1984</v>
      </c>
      <c r="W2035" s="325">
        <v>1200000.0</v>
      </c>
      <c r="X2035" s="78">
        <v>1.248E7</v>
      </c>
      <c r="Y2035" s="77"/>
      <c r="Z2035" s="77"/>
      <c r="AA2035" s="325">
        <v>0.0</v>
      </c>
      <c r="AB2035" s="325">
        <v>0.0</v>
      </c>
      <c r="AC2035" s="566" t="s">
        <v>5177</v>
      </c>
      <c r="AD2035" s="322">
        <v>24128.0</v>
      </c>
      <c r="AE2035" s="76"/>
      <c r="AF2035" s="322" t="str">
        <f t="shared" si="19"/>
        <v>Capital Federal, Argentina</v>
      </c>
      <c r="AG2035" s="564">
        <f t="shared" si="20"/>
        <v>0</v>
      </c>
      <c r="AH2035" s="325">
        <f t="shared" si="21"/>
        <v>13680000</v>
      </c>
      <c r="AI2035" s="325">
        <f t="shared" si="22"/>
        <v>0</v>
      </c>
      <c r="AJ2035" s="325">
        <f t="shared" si="23"/>
        <v>0</v>
      </c>
      <c r="AK2035" s="325">
        <f t="shared" si="24"/>
        <v>13680000</v>
      </c>
      <c r="AL2035" s="80"/>
      <c r="AM2035" s="80"/>
    </row>
    <row r="2036">
      <c r="A2036" s="290">
        <v>2025.0</v>
      </c>
      <c r="B2036" s="291">
        <v>46154.0</v>
      </c>
      <c r="C2036" s="99"/>
      <c r="D2036" s="292" t="s">
        <v>4299</v>
      </c>
      <c r="E2036" s="525" t="s">
        <v>2195</v>
      </c>
      <c r="F2036" s="292" t="s">
        <v>1592</v>
      </c>
      <c r="G2036" s="290" t="s">
        <v>64</v>
      </c>
      <c r="H2036" s="290" t="s">
        <v>227</v>
      </c>
      <c r="I2036" s="290" t="s">
        <v>643</v>
      </c>
      <c r="J2036" s="97">
        <v>1.0</v>
      </c>
      <c r="K2036" s="293">
        <v>1.0</v>
      </c>
      <c r="L2036" s="98"/>
      <c r="M2036" s="98"/>
      <c r="N2036" s="98"/>
      <c r="O2036" s="98"/>
      <c r="P2036" s="527"/>
      <c r="Q2036" s="99"/>
      <c r="R2036" s="99"/>
      <c r="S2036" s="525" t="s">
        <v>65</v>
      </c>
      <c r="T2036" s="290" t="s">
        <v>66</v>
      </c>
      <c r="U2036" s="290" t="s">
        <v>99</v>
      </c>
      <c r="V2036" s="290" t="s">
        <v>1984</v>
      </c>
      <c r="W2036" s="100"/>
      <c r="X2036" s="100"/>
      <c r="Y2036" s="100"/>
      <c r="Z2036" s="100"/>
      <c r="AA2036" s="294">
        <v>358313.0</v>
      </c>
      <c r="AB2036" s="294">
        <v>1293906.0</v>
      </c>
      <c r="AC2036" s="530" t="s">
        <v>5178</v>
      </c>
      <c r="AD2036" s="290">
        <v>24322.0</v>
      </c>
      <c r="AE2036" s="99"/>
      <c r="AF2036" s="290" t="str">
        <f t="shared" si="19"/>
        <v>Buenos Aires, Argentina</v>
      </c>
      <c r="AG2036" s="525">
        <f t="shared" si="20"/>
        <v>2</v>
      </c>
      <c r="AH2036" s="294">
        <f t="shared" si="21"/>
        <v>0</v>
      </c>
      <c r="AI2036" s="294">
        <f t="shared" si="22"/>
        <v>0</v>
      </c>
      <c r="AJ2036" s="294">
        <f t="shared" si="23"/>
        <v>1652219</v>
      </c>
      <c r="AK2036" s="294">
        <f t="shared" si="24"/>
        <v>1652219</v>
      </c>
      <c r="AL2036" s="103"/>
      <c r="AM2036" s="103"/>
    </row>
    <row r="2037">
      <c r="A2037" s="290">
        <v>2026.0</v>
      </c>
      <c r="B2037" s="291">
        <v>46154.0</v>
      </c>
      <c r="C2037" s="99"/>
      <c r="D2037" s="292" t="s">
        <v>5179</v>
      </c>
      <c r="E2037" s="525" t="s">
        <v>3568</v>
      </c>
      <c r="F2037" s="292" t="s">
        <v>1415</v>
      </c>
      <c r="G2037" s="290" t="s">
        <v>64</v>
      </c>
      <c r="H2037" s="290" t="s">
        <v>41</v>
      </c>
      <c r="I2037" s="290" t="s">
        <v>643</v>
      </c>
      <c r="J2037" s="98"/>
      <c r="K2037" s="293">
        <v>1.0</v>
      </c>
      <c r="L2037" s="98"/>
      <c r="M2037" s="98"/>
      <c r="N2037" s="98"/>
      <c r="O2037" s="98"/>
      <c r="P2037" s="527"/>
      <c r="Q2037" s="99"/>
      <c r="R2037" s="99"/>
      <c r="S2037" s="525" t="s">
        <v>98</v>
      </c>
      <c r="T2037" s="290" t="s">
        <v>66</v>
      </c>
      <c r="U2037" s="290" t="s">
        <v>99</v>
      </c>
      <c r="V2037" s="290" t="s">
        <v>1984</v>
      </c>
      <c r="W2037" s="100"/>
      <c r="X2037" s="100"/>
      <c r="Y2037" s="100"/>
      <c r="Z2037" s="100"/>
      <c r="AA2037" s="294">
        <v>131250.0</v>
      </c>
      <c r="AB2037" s="294">
        <v>492188.0</v>
      </c>
      <c r="AC2037" s="530" t="s">
        <v>5180</v>
      </c>
      <c r="AD2037" s="290">
        <v>24348.0</v>
      </c>
      <c r="AE2037" s="99"/>
      <c r="AF2037" s="290" t="str">
        <f t="shared" si="19"/>
        <v>Buenos Aires, Argentina</v>
      </c>
      <c r="AG2037" s="525">
        <f t="shared" si="20"/>
        <v>1</v>
      </c>
      <c r="AH2037" s="294">
        <f t="shared" si="21"/>
        <v>0</v>
      </c>
      <c r="AI2037" s="294">
        <f t="shared" si="22"/>
        <v>0</v>
      </c>
      <c r="AJ2037" s="294">
        <f t="shared" si="23"/>
        <v>623438</v>
      </c>
      <c r="AK2037" s="294">
        <f t="shared" si="24"/>
        <v>623438</v>
      </c>
      <c r="AL2037" s="103"/>
      <c r="AM2037" s="103"/>
    </row>
    <row r="2038">
      <c r="A2038" s="290">
        <v>2027.0</v>
      </c>
      <c r="B2038" s="291">
        <v>46170.0</v>
      </c>
      <c r="C2038" s="99"/>
      <c r="D2038" s="292" t="s">
        <v>5181</v>
      </c>
      <c r="E2038" s="525" t="s">
        <v>5182</v>
      </c>
      <c r="F2038" s="292" t="s">
        <v>1423</v>
      </c>
      <c r="G2038" s="290" t="s">
        <v>64</v>
      </c>
      <c r="H2038" s="290" t="s">
        <v>41</v>
      </c>
      <c r="I2038" s="290" t="s">
        <v>643</v>
      </c>
      <c r="J2038" s="97">
        <v>1.0</v>
      </c>
      <c r="K2038" s="98"/>
      <c r="L2038" s="98"/>
      <c r="M2038" s="98"/>
      <c r="N2038" s="98"/>
      <c r="O2038" s="98"/>
      <c r="P2038" s="527"/>
      <c r="Q2038" s="99"/>
      <c r="R2038" s="99"/>
      <c r="S2038" s="525" t="s">
        <v>51</v>
      </c>
      <c r="T2038" s="290" t="s">
        <v>83</v>
      </c>
      <c r="U2038" s="290" t="s">
        <v>99</v>
      </c>
      <c r="V2038" s="290" t="s">
        <v>1984</v>
      </c>
      <c r="W2038" s="100"/>
      <c r="X2038" s="100"/>
      <c r="Y2038" s="100"/>
      <c r="Z2038" s="100"/>
      <c r="AA2038" s="294">
        <v>175000.0</v>
      </c>
      <c r="AB2038" s="294">
        <v>700000.0</v>
      </c>
      <c r="AC2038" s="530" t="s">
        <v>5183</v>
      </c>
      <c r="AD2038" s="290">
        <v>24366.0</v>
      </c>
      <c r="AE2038" s="99"/>
      <c r="AF2038" s="290" t="str">
        <f t="shared" si="19"/>
        <v>Capital Federal, Argentina</v>
      </c>
      <c r="AG2038" s="525">
        <f t="shared" si="20"/>
        <v>1</v>
      </c>
      <c r="AH2038" s="294">
        <f t="shared" si="21"/>
        <v>0</v>
      </c>
      <c r="AI2038" s="294">
        <f t="shared" si="22"/>
        <v>0</v>
      </c>
      <c r="AJ2038" s="294">
        <f t="shared" si="23"/>
        <v>875000</v>
      </c>
      <c r="AK2038" s="294">
        <f t="shared" si="24"/>
        <v>875000</v>
      </c>
      <c r="AL2038" s="103"/>
      <c r="AM2038" s="103"/>
    </row>
    <row r="2039">
      <c r="A2039" s="290">
        <v>2028.0</v>
      </c>
      <c r="B2039" s="568">
        <v>46170.0</v>
      </c>
      <c r="C2039" s="99"/>
      <c r="D2039" s="292" t="s">
        <v>5184</v>
      </c>
      <c r="E2039" s="525" t="s">
        <v>5185</v>
      </c>
      <c r="F2039" s="292" t="s">
        <v>2559</v>
      </c>
      <c r="G2039" s="290" t="s">
        <v>64</v>
      </c>
      <c r="H2039" s="290" t="s">
        <v>41</v>
      </c>
      <c r="I2039" s="290" t="s">
        <v>643</v>
      </c>
      <c r="J2039" s="98"/>
      <c r="K2039" s="98"/>
      <c r="L2039" s="98"/>
      <c r="M2039" s="98"/>
      <c r="N2039" s="98"/>
      <c r="O2039" s="98"/>
      <c r="P2039" s="527"/>
      <c r="Q2039" s="99"/>
      <c r="R2039" s="99"/>
      <c r="S2039" s="525" t="s">
        <v>51</v>
      </c>
      <c r="T2039" s="290" t="s">
        <v>83</v>
      </c>
      <c r="U2039" s="290" t="s">
        <v>99</v>
      </c>
      <c r="V2039" s="290" t="s">
        <v>1984</v>
      </c>
      <c r="W2039" s="100"/>
      <c r="X2039" s="100"/>
      <c r="Y2039" s="100"/>
      <c r="Z2039" s="100"/>
      <c r="AA2039" s="294">
        <v>0.0</v>
      </c>
      <c r="AB2039" s="294">
        <v>140000.0</v>
      </c>
      <c r="AC2039" s="530" t="s">
        <v>5186</v>
      </c>
      <c r="AD2039" s="290">
        <v>24366.0</v>
      </c>
      <c r="AE2039" s="99"/>
      <c r="AF2039" s="290" t="str">
        <f t="shared" si="19"/>
        <v>Capital Federal, Argentina</v>
      </c>
      <c r="AG2039" s="525">
        <f t="shared" si="20"/>
        <v>0</v>
      </c>
      <c r="AH2039" s="294">
        <f t="shared" si="21"/>
        <v>0</v>
      </c>
      <c r="AI2039" s="294">
        <f t="shared" si="22"/>
        <v>0</v>
      </c>
      <c r="AJ2039" s="294">
        <f t="shared" si="23"/>
        <v>140000</v>
      </c>
      <c r="AK2039" s="294">
        <f t="shared" si="24"/>
        <v>140000</v>
      </c>
      <c r="AL2039" s="103"/>
      <c r="AM2039" s="103"/>
    </row>
    <row r="2040">
      <c r="A2040" s="290">
        <v>2029.0</v>
      </c>
      <c r="B2040" s="291">
        <v>46170.0</v>
      </c>
      <c r="C2040" s="99"/>
      <c r="D2040" s="292" t="s">
        <v>5163</v>
      </c>
      <c r="E2040" s="525" t="s">
        <v>4578</v>
      </c>
      <c r="F2040" s="292" t="s">
        <v>1415</v>
      </c>
      <c r="G2040" s="290" t="s">
        <v>64</v>
      </c>
      <c r="H2040" s="290" t="s">
        <v>41</v>
      </c>
      <c r="I2040" s="290" t="s">
        <v>643</v>
      </c>
      <c r="J2040" s="98"/>
      <c r="K2040" s="293">
        <v>1.0</v>
      </c>
      <c r="L2040" s="98"/>
      <c r="M2040" s="98"/>
      <c r="N2040" s="98"/>
      <c r="O2040" s="98"/>
      <c r="P2040" s="527"/>
      <c r="Q2040" s="99"/>
      <c r="R2040" s="99"/>
      <c r="S2040" s="525" t="s">
        <v>98</v>
      </c>
      <c r="T2040" s="290" t="s">
        <v>66</v>
      </c>
      <c r="U2040" s="290" t="s">
        <v>99</v>
      </c>
      <c r="V2040" s="290" t="s">
        <v>1984</v>
      </c>
      <c r="W2040" s="100"/>
      <c r="X2040" s="100"/>
      <c r="Y2040" s="100"/>
      <c r="Z2040" s="100"/>
      <c r="AA2040" s="294">
        <v>131250.0</v>
      </c>
      <c r="AB2040" s="294">
        <v>426562.5</v>
      </c>
      <c r="AC2040" s="530" t="s">
        <v>5187</v>
      </c>
      <c r="AD2040" s="290">
        <v>24422.0</v>
      </c>
      <c r="AE2040" s="99"/>
      <c r="AF2040" s="290" t="str">
        <f t="shared" si="19"/>
        <v>Buenos Aires, Argentina</v>
      </c>
      <c r="AG2040" s="525">
        <f t="shared" si="20"/>
        <v>1</v>
      </c>
      <c r="AH2040" s="294">
        <f t="shared" si="21"/>
        <v>0</v>
      </c>
      <c r="AI2040" s="294">
        <f t="shared" si="22"/>
        <v>0</v>
      </c>
      <c r="AJ2040" s="294">
        <f t="shared" si="23"/>
        <v>557812.5</v>
      </c>
      <c r="AK2040" s="294">
        <f t="shared" si="24"/>
        <v>557812.5</v>
      </c>
      <c r="AL2040" s="103"/>
      <c r="AM2040" s="103"/>
    </row>
    <row r="2041">
      <c r="A2041" s="290">
        <v>2030.0</v>
      </c>
      <c r="B2041" s="291">
        <v>46170.0</v>
      </c>
      <c r="C2041" s="99"/>
      <c r="D2041" s="292" t="s">
        <v>5188</v>
      </c>
      <c r="E2041" s="525" t="s">
        <v>3064</v>
      </c>
      <c r="F2041" s="292" t="s">
        <v>5189</v>
      </c>
      <c r="G2041" s="290" t="s">
        <v>64</v>
      </c>
      <c r="H2041" s="290" t="s">
        <v>41</v>
      </c>
      <c r="I2041" s="290" t="s">
        <v>643</v>
      </c>
      <c r="J2041" s="98"/>
      <c r="K2041" s="98"/>
      <c r="L2041" s="98"/>
      <c r="M2041" s="98"/>
      <c r="N2041" s="98"/>
      <c r="O2041" s="98"/>
      <c r="P2041" s="527"/>
      <c r="Q2041" s="99"/>
      <c r="R2041" s="99"/>
      <c r="S2041" s="525" t="s">
        <v>65</v>
      </c>
      <c r="T2041" s="290" t="s">
        <v>972</v>
      </c>
      <c r="U2041" s="290" t="s">
        <v>99</v>
      </c>
      <c r="V2041" s="290" t="s">
        <v>1984</v>
      </c>
      <c r="W2041" s="100"/>
      <c r="X2041" s="100"/>
      <c r="Y2041" s="100"/>
      <c r="Z2041" s="100"/>
      <c r="AA2041" s="294">
        <v>0.0</v>
      </c>
      <c r="AB2041" s="294">
        <v>420000.0</v>
      </c>
      <c r="AC2041" s="530" t="s">
        <v>5190</v>
      </c>
      <c r="AD2041" s="290">
        <v>24204.0</v>
      </c>
      <c r="AE2041" s="99"/>
      <c r="AF2041" s="290" t="str">
        <f t="shared" si="19"/>
        <v>Río Negro, Argentina</v>
      </c>
      <c r="AG2041" s="525">
        <f t="shared" si="20"/>
        <v>0</v>
      </c>
      <c r="AH2041" s="294">
        <f t="shared" si="21"/>
        <v>0</v>
      </c>
      <c r="AI2041" s="294">
        <f t="shared" si="22"/>
        <v>0</v>
      </c>
      <c r="AJ2041" s="294">
        <f t="shared" si="23"/>
        <v>420000</v>
      </c>
      <c r="AK2041" s="294">
        <f t="shared" si="24"/>
        <v>420000</v>
      </c>
      <c r="AL2041" s="103"/>
      <c r="AM2041" s="103"/>
    </row>
    <row r="2042">
      <c r="A2042" s="290">
        <v>2031.0</v>
      </c>
      <c r="B2042" s="291">
        <v>46170.0</v>
      </c>
      <c r="C2042" s="99"/>
      <c r="D2042" s="292" t="s">
        <v>5191</v>
      </c>
      <c r="E2042" s="525" t="s">
        <v>5192</v>
      </c>
      <c r="F2042" s="292" t="s">
        <v>1415</v>
      </c>
      <c r="G2042" s="290" t="s">
        <v>64</v>
      </c>
      <c r="H2042" s="290" t="s">
        <v>41</v>
      </c>
      <c r="I2042" s="290" t="s">
        <v>643</v>
      </c>
      <c r="J2042" s="98"/>
      <c r="K2042" s="293">
        <v>1.0</v>
      </c>
      <c r="L2042" s="98"/>
      <c r="M2042" s="98"/>
      <c r="N2042" s="98"/>
      <c r="O2042" s="98"/>
      <c r="P2042" s="527"/>
      <c r="Q2042" s="99"/>
      <c r="R2042" s="99"/>
      <c r="S2042" s="525" t="s">
        <v>98</v>
      </c>
      <c r="T2042" s="290" t="s">
        <v>83</v>
      </c>
      <c r="U2042" s="290" t="s">
        <v>99</v>
      </c>
      <c r="V2042" s="290" t="s">
        <v>1984</v>
      </c>
      <c r="W2042" s="100"/>
      <c r="X2042" s="100"/>
      <c r="Y2042" s="100"/>
      <c r="Z2042" s="100"/>
      <c r="AA2042" s="294">
        <v>131250.0</v>
      </c>
      <c r="AB2042" s="294">
        <v>426562.5</v>
      </c>
      <c r="AC2042" s="530" t="s">
        <v>5193</v>
      </c>
      <c r="AD2042" s="290">
        <v>24420.0</v>
      </c>
      <c r="AE2042" s="99"/>
      <c r="AF2042" s="290" t="str">
        <f t="shared" si="19"/>
        <v>Capital Federal, Argentina</v>
      </c>
      <c r="AG2042" s="525">
        <f t="shared" si="20"/>
        <v>1</v>
      </c>
      <c r="AH2042" s="294">
        <f t="shared" si="21"/>
        <v>0</v>
      </c>
      <c r="AI2042" s="294">
        <f t="shared" si="22"/>
        <v>0</v>
      </c>
      <c r="AJ2042" s="294">
        <f t="shared" si="23"/>
        <v>557812.5</v>
      </c>
      <c r="AK2042" s="294">
        <f t="shared" si="24"/>
        <v>557812.5</v>
      </c>
      <c r="AL2042" s="103"/>
      <c r="AM2042" s="103"/>
    </row>
    <row r="2043">
      <c r="A2043" s="290">
        <v>2032.0</v>
      </c>
      <c r="B2043" s="291">
        <v>46171.0</v>
      </c>
      <c r="C2043" s="99"/>
      <c r="D2043" s="292" t="s">
        <v>795</v>
      </c>
      <c r="E2043" s="525" t="s">
        <v>796</v>
      </c>
      <c r="F2043" s="292" t="s">
        <v>1423</v>
      </c>
      <c r="G2043" s="290" t="s">
        <v>64</v>
      </c>
      <c r="H2043" s="290" t="s">
        <v>41</v>
      </c>
      <c r="I2043" s="290" t="s">
        <v>643</v>
      </c>
      <c r="J2043" s="97">
        <v>1.0</v>
      </c>
      <c r="K2043" s="98"/>
      <c r="L2043" s="98"/>
      <c r="M2043" s="98"/>
      <c r="N2043" s="98"/>
      <c r="O2043" s="98"/>
      <c r="P2043" s="527"/>
      <c r="Q2043" s="99"/>
      <c r="R2043" s="99"/>
      <c r="S2043" s="525" t="s">
        <v>98</v>
      </c>
      <c r="T2043" s="290" t="s">
        <v>66</v>
      </c>
      <c r="U2043" s="290" t="s">
        <v>99</v>
      </c>
      <c r="V2043" s="290" t="s">
        <v>1984</v>
      </c>
      <c r="W2043" s="100"/>
      <c r="X2043" s="100"/>
      <c r="Y2043" s="100"/>
      <c r="Z2043" s="100"/>
      <c r="AA2043" s="294">
        <v>175000.0</v>
      </c>
      <c r="AB2043" s="294">
        <v>568750.0</v>
      </c>
      <c r="AC2043" s="530" t="s">
        <v>5194</v>
      </c>
      <c r="AD2043" s="290">
        <v>24454.0</v>
      </c>
      <c r="AE2043" s="99"/>
      <c r="AF2043" s="290" t="str">
        <f t="shared" si="19"/>
        <v>Buenos Aires, Argentina</v>
      </c>
      <c r="AG2043" s="525">
        <f t="shared" si="20"/>
        <v>1</v>
      </c>
      <c r="AH2043" s="294">
        <f t="shared" si="21"/>
        <v>0</v>
      </c>
      <c r="AI2043" s="294">
        <f t="shared" si="22"/>
        <v>0</v>
      </c>
      <c r="AJ2043" s="294">
        <f t="shared" si="23"/>
        <v>743750</v>
      </c>
      <c r="AK2043" s="294">
        <f t="shared" si="24"/>
        <v>743750</v>
      </c>
      <c r="AL2043" s="103"/>
      <c r="AM2043" s="103"/>
    </row>
    <row r="2044">
      <c r="A2044" s="290">
        <v>2033.0</v>
      </c>
      <c r="B2044" s="291">
        <v>46171.0</v>
      </c>
      <c r="C2044" s="99"/>
      <c r="D2044" s="292" t="s">
        <v>4544</v>
      </c>
      <c r="E2044" s="525" t="s">
        <v>4367</v>
      </c>
      <c r="F2044" s="292" t="s">
        <v>5189</v>
      </c>
      <c r="G2044" s="290" t="s">
        <v>64</v>
      </c>
      <c r="H2044" s="290" t="s">
        <v>41</v>
      </c>
      <c r="I2044" s="290" t="s">
        <v>643</v>
      </c>
      <c r="J2044" s="98"/>
      <c r="K2044" s="98"/>
      <c r="L2044" s="98"/>
      <c r="M2044" s="98"/>
      <c r="N2044" s="98"/>
      <c r="O2044" s="98"/>
      <c r="P2044" s="527"/>
      <c r="Q2044" s="99"/>
      <c r="R2044" s="99"/>
      <c r="S2044" s="525" t="s">
        <v>65</v>
      </c>
      <c r="T2044" s="290" t="s">
        <v>66</v>
      </c>
      <c r="U2044" s="290" t="s">
        <v>99</v>
      </c>
      <c r="V2044" s="290" t="s">
        <v>1984</v>
      </c>
      <c r="W2044" s="100"/>
      <c r="X2044" s="100"/>
      <c r="Y2044" s="100"/>
      <c r="Z2044" s="100"/>
      <c r="AA2044" s="294">
        <v>0.0</v>
      </c>
      <c r="AB2044" s="294">
        <v>420000.0</v>
      </c>
      <c r="AC2044" s="530" t="s">
        <v>5195</v>
      </c>
      <c r="AD2044" s="290">
        <v>24196.0</v>
      </c>
      <c r="AE2044" s="99"/>
      <c r="AF2044" s="290" t="str">
        <f t="shared" si="19"/>
        <v>Buenos Aires, Argentina</v>
      </c>
      <c r="AG2044" s="525">
        <f t="shared" si="20"/>
        <v>0</v>
      </c>
      <c r="AH2044" s="294">
        <f t="shared" si="21"/>
        <v>0</v>
      </c>
      <c r="AI2044" s="294">
        <f t="shared" si="22"/>
        <v>0</v>
      </c>
      <c r="AJ2044" s="294">
        <f t="shared" si="23"/>
        <v>420000</v>
      </c>
      <c r="AK2044" s="294">
        <f t="shared" si="24"/>
        <v>420000</v>
      </c>
      <c r="AL2044" s="103"/>
      <c r="AM2044" s="103"/>
    </row>
    <row r="2045">
      <c r="A2045" s="290">
        <v>2034.0</v>
      </c>
      <c r="B2045" s="291">
        <v>46173.0</v>
      </c>
      <c r="C2045" s="99"/>
      <c r="D2045" s="292" t="s">
        <v>5196</v>
      </c>
      <c r="E2045" s="525" t="s">
        <v>4338</v>
      </c>
      <c r="F2045" s="292" t="s">
        <v>3490</v>
      </c>
      <c r="G2045" s="290" t="s">
        <v>64</v>
      </c>
      <c r="H2045" s="290" t="s">
        <v>41</v>
      </c>
      <c r="I2045" s="290" t="s">
        <v>643</v>
      </c>
      <c r="J2045" s="98"/>
      <c r="K2045" s="98"/>
      <c r="L2045" s="98"/>
      <c r="M2045" s="98"/>
      <c r="N2045" s="98"/>
      <c r="O2045" s="98"/>
      <c r="P2045" s="293">
        <v>1.0</v>
      </c>
      <c r="Q2045" s="99"/>
      <c r="R2045" s="99"/>
      <c r="S2045" s="525" t="s">
        <v>43</v>
      </c>
      <c r="T2045" s="290" t="s">
        <v>497</v>
      </c>
      <c r="U2045" s="290" t="s">
        <v>99</v>
      </c>
      <c r="V2045" s="290" t="s">
        <v>1984</v>
      </c>
      <c r="W2045" s="100"/>
      <c r="X2045" s="100"/>
      <c r="Y2045" s="100"/>
      <c r="Z2045" s="100"/>
      <c r="AA2045" s="294">
        <v>175000.0</v>
      </c>
      <c r="AB2045" s="294">
        <v>794063.0</v>
      </c>
      <c r="AC2045" s="530" t="s">
        <v>5197</v>
      </c>
      <c r="AD2045" s="290">
        <v>24004.0</v>
      </c>
      <c r="AE2045" s="99"/>
      <c r="AF2045" s="290" t="str">
        <f t="shared" si="19"/>
        <v>Tucumán, Argentina</v>
      </c>
      <c r="AG2045" s="525">
        <f t="shared" si="20"/>
        <v>1</v>
      </c>
      <c r="AH2045" s="294">
        <f t="shared" si="21"/>
        <v>0</v>
      </c>
      <c r="AI2045" s="294">
        <f t="shared" si="22"/>
        <v>0</v>
      </c>
      <c r="AJ2045" s="294">
        <f t="shared" si="23"/>
        <v>969063</v>
      </c>
      <c r="AK2045" s="294">
        <f t="shared" si="24"/>
        <v>969063</v>
      </c>
      <c r="AL2045" s="103"/>
      <c r="AM2045" s="103"/>
    </row>
    <row r="2046">
      <c r="A2046" s="290">
        <v>2035.0</v>
      </c>
      <c r="B2046" s="291">
        <v>46173.0</v>
      </c>
      <c r="C2046" s="99"/>
      <c r="D2046" s="292" t="s">
        <v>5196</v>
      </c>
      <c r="E2046" s="525" t="s">
        <v>4338</v>
      </c>
      <c r="F2046" s="292" t="s">
        <v>5198</v>
      </c>
      <c r="G2046" s="290" t="s">
        <v>64</v>
      </c>
      <c r="H2046" s="290" t="s">
        <v>41</v>
      </c>
      <c r="I2046" s="290" t="s">
        <v>643</v>
      </c>
      <c r="J2046" s="98"/>
      <c r="K2046" s="98"/>
      <c r="L2046" s="98"/>
      <c r="M2046" s="98"/>
      <c r="N2046" s="98"/>
      <c r="O2046" s="98"/>
      <c r="P2046" s="527"/>
      <c r="Q2046" s="99"/>
      <c r="R2046" s="99"/>
      <c r="S2046" s="525" t="s">
        <v>43</v>
      </c>
      <c r="T2046" s="290" t="s">
        <v>497</v>
      </c>
      <c r="U2046" s="290" t="s">
        <v>99</v>
      </c>
      <c r="V2046" s="290" t="s">
        <v>1984</v>
      </c>
      <c r="W2046" s="294">
        <v>318881.0</v>
      </c>
      <c r="X2046" s="101">
        <v>1195804.0</v>
      </c>
      <c r="Y2046" s="100"/>
      <c r="Z2046" s="100"/>
      <c r="AA2046" s="294">
        <v>0.0</v>
      </c>
      <c r="AB2046" s="294">
        <v>0.0</v>
      </c>
      <c r="AC2046" s="530" t="s">
        <v>5197</v>
      </c>
      <c r="AD2046" s="290">
        <v>24004.0</v>
      </c>
      <c r="AE2046" s="99"/>
      <c r="AF2046" s="290" t="str">
        <f t="shared" si="19"/>
        <v>Tucumán, Argentina</v>
      </c>
      <c r="AG2046" s="525">
        <f t="shared" si="20"/>
        <v>0</v>
      </c>
      <c r="AH2046" s="294">
        <f t="shared" si="21"/>
        <v>1514685</v>
      </c>
      <c r="AI2046" s="294">
        <f t="shared" si="22"/>
        <v>0</v>
      </c>
      <c r="AJ2046" s="294">
        <f t="shared" si="23"/>
        <v>0</v>
      </c>
      <c r="AK2046" s="294">
        <f t="shared" si="24"/>
        <v>1514685</v>
      </c>
      <c r="AL2046" s="103"/>
      <c r="AM2046" s="103"/>
    </row>
    <row r="2047">
      <c r="A2047" s="290">
        <v>2036.0</v>
      </c>
      <c r="B2047" s="291">
        <v>46173.0</v>
      </c>
      <c r="C2047" s="99"/>
      <c r="D2047" s="292" t="s">
        <v>4514</v>
      </c>
      <c r="E2047" s="525" t="s">
        <v>4515</v>
      </c>
      <c r="F2047" s="292" t="s">
        <v>3490</v>
      </c>
      <c r="G2047" s="290" t="s">
        <v>64</v>
      </c>
      <c r="H2047" s="290" t="s">
        <v>41</v>
      </c>
      <c r="I2047" s="290" t="s">
        <v>643</v>
      </c>
      <c r="J2047" s="98"/>
      <c r="K2047" s="98"/>
      <c r="L2047" s="98"/>
      <c r="M2047" s="98"/>
      <c r="N2047" s="98"/>
      <c r="O2047" s="98"/>
      <c r="P2047" s="293">
        <v>1.0</v>
      </c>
      <c r="Q2047" s="99"/>
      <c r="R2047" s="99"/>
      <c r="S2047" s="525" t="s">
        <v>137</v>
      </c>
      <c r="T2047" s="290" t="s">
        <v>66</v>
      </c>
      <c r="U2047" s="290" t="s">
        <v>99</v>
      </c>
      <c r="V2047" s="290" t="s">
        <v>1984</v>
      </c>
      <c r="W2047" s="100"/>
      <c r="X2047" s="100"/>
      <c r="Y2047" s="100"/>
      <c r="Z2047" s="100"/>
      <c r="AA2047" s="294">
        <v>175000.0</v>
      </c>
      <c r="AB2047" s="294">
        <v>568750.0</v>
      </c>
      <c r="AC2047" s="530" t="s">
        <v>5199</v>
      </c>
      <c r="AD2047" s="290">
        <v>24472.0</v>
      </c>
      <c r="AE2047" s="99"/>
      <c r="AF2047" s="290" t="str">
        <f t="shared" si="19"/>
        <v>Buenos Aires, Argentina</v>
      </c>
      <c r="AG2047" s="525">
        <f t="shared" si="20"/>
        <v>1</v>
      </c>
      <c r="AH2047" s="294">
        <f t="shared" si="21"/>
        <v>0</v>
      </c>
      <c r="AI2047" s="294">
        <f t="shared" si="22"/>
        <v>0</v>
      </c>
      <c r="AJ2047" s="294">
        <f t="shared" si="23"/>
        <v>743750</v>
      </c>
      <c r="AK2047" s="294">
        <f t="shared" si="24"/>
        <v>743750</v>
      </c>
      <c r="AL2047" s="103"/>
      <c r="AM2047" s="103"/>
    </row>
    <row r="2048">
      <c r="A2048" s="290">
        <v>2037.0</v>
      </c>
      <c r="B2048" s="291">
        <v>46173.0</v>
      </c>
      <c r="C2048" s="99"/>
      <c r="D2048" s="292" t="s">
        <v>4514</v>
      </c>
      <c r="E2048" s="525" t="s">
        <v>4515</v>
      </c>
      <c r="F2048" s="292" t="s">
        <v>5200</v>
      </c>
      <c r="G2048" s="290" t="s">
        <v>64</v>
      </c>
      <c r="H2048" s="290" t="s">
        <v>41</v>
      </c>
      <c r="I2048" s="290" t="s">
        <v>643</v>
      </c>
      <c r="J2048" s="98"/>
      <c r="K2048" s="98"/>
      <c r="L2048" s="98"/>
      <c r="M2048" s="98"/>
      <c r="N2048" s="98"/>
      <c r="O2048" s="98"/>
      <c r="P2048" s="527"/>
      <c r="Q2048" s="99"/>
      <c r="R2048" s="99"/>
      <c r="S2048" s="525" t="s">
        <v>137</v>
      </c>
      <c r="T2048" s="290" t="s">
        <v>66</v>
      </c>
      <c r="U2048" s="290" t="s">
        <v>99</v>
      </c>
      <c r="V2048" s="290" t="s">
        <v>1984</v>
      </c>
      <c r="W2048" s="294">
        <v>204999.0</v>
      </c>
      <c r="X2048" s="101">
        <v>799496.0</v>
      </c>
      <c r="Y2048" s="100"/>
      <c r="Z2048" s="100"/>
      <c r="AA2048" s="294">
        <v>0.0</v>
      </c>
      <c r="AB2048" s="294">
        <v>0.0</v>
      </c>
      <c r="AC2048" s="530" t="s">
        <v>5199</v>
      </c>
      <c r="AD2048" s="290">
        <v>24472.0</v>
      </c>
      <c r="AE2048" s="99"/>
      <c r="AF2048" s="290" t="str">
        <f t="shared" si="19"/>
        <v>Buenos Aires, Argentina</v>
      </c>
      <c r="AG2048" s="525">
        <f t="shared" si="20"/>
        <v>0</v>
      </c>
      <c r="AH2048" s="294">
        <f t="shared" si="21"/>
        <v>1004495</v>
      </c>
      <c r="AI2048" s="294">
        <f t="shared" si="22"/>
        <v>0</v>
      </c>
      <c r="AJ2048" s="294">
        <f t="shared" si="23"/>
        <v>0</v>
      </c>
      <c r="AK2048" s="294">
        <f t="shared" si="24"/>
        <v>1004495</v>
      </c>
      <c r="AL2048" s="103"/>
      <c r="AM2048" s="103"/>
    </row>
    <row r="2049">
      <c r="A2049" s="290">
        <v>2038.0</v>
      </c>
      <c r="B2049" s="291">
        <v>46173.0</v>
      </c>
      <c r="C2049" s="99"/>
      <c r="D2049" s="292" t="s">
        <v>5201</v>
      </c>
      <c r="E2049" s="525" t="s">
        <v>5202</v>
      </c>
      <c r="F2049" s="292" t="s">
        <v>5203</v>
      </c>
      <c r="G2049" s="290" t="s">
        <v>40</v>
      </c>
      <c r="H2049" s="290" t="s">
        <v>547</v>
      </c>
      <c r="I2049" s="290" t="s">
        <v>643</v>
      </c>
      <c r="J2049" s="97">
        <v>1.0</v>
      </c>
      <c r="K2049" s="293">
        <v>1.0</v>
      </c>
      <c r="L2049" s="98"/>
      <c r="M2049" s="293">
        <v>1.0</v>
      </c>
      <c r="N2049" s="98"/>
      <c r="O2049" s="98"/>
      <c r="P2049" s="527"/>
      <c r="Q2049" s="99"/>
      <c r="R2049" s="99"/>
      <c r="S2049" s="525" t="s">
        <v>114</v>
      </c>
      <c r="T2049" s="290" t="s">
        <v>66</v>
      </c>
      <c r="U2049" s="290" t="s">
        <v>99</v>
      </c>
      <c r="V2049" s="290" t="s">
        <v>1984</v>
      </c>
      <c r="W2049" s="100"/>
      <c r="X2049" s="100"/>
      <c r="Y2049" s="100"/>
      <c r="Z2049" s="100"/>
      <c r="AA2049" s="294">
        <v>0.0</v>
      </c>
      <c r="AB2049" s="294">
        <v>0.0</v>
      </c>
      <c r="AC2049" s="530" t="s">
        <v>5204</v>
      </c>
      <c r="AD2049" s="290">
        <v>24842.0</v>
      </c>
      <c r="AE2049" s="99"/>
      <c r="AF2049" s="290" t="str">
        <f t="shared" si="19"/>
        <v>Buenos Aires, Argentina</v>
      </c>
      <c r="AG2049" s="525">
        <f t="shared" si="20"/>
        <v>3</v>
      </c>
      <c r="AH2049" s="294">
        <f t="shared" si="21"/>
        <v>0</v>
      </c>
      <c r="AI2049" s="294">
        <f t="shared" si="22"/>
        <v>0</v>
      </c>
      <c r="AJ2049" s="294">
        <f t="shared" si="23"/>
        <v>0</v>
      </c>
      <c r="AK2049" s="294">
        <f t="shared" si="24"/>
        <v>0</v>
      </c>
      <c r="AL2049" s="103"/>
      <c r="AM2049" s="103"/>
    </row>
    <row r="2050">
      <c r="A2050" s="290">
        <v>2039.0</v>
      </c>
      <c r="B2050" s="568">
        <v>46173.0</v>
      </c>
      <c r="C2050" s="99"/>
      <c r="D2050" s="292" t="s">
        <v>4037</v>
      </c>
      <c r="E2050" s="525" t="s">
        <v>4038</v>
      </c>
      <c r="F2050" s="292" t="s">
        <v>5205</v>
      </c>
      <c r="G2050" s="290" t="s">
        <v>64</v>
      </c>
      <c r="H2050" s="290" t="s">
        <v>41</v>
      </c>
      <c r="I2050" s="290" t="s">
        <v>643</v>
      </c>
      <c r="J2050" s="97">
        <v>1.0</v>
      </c>
      <c r="K2050" s="98"/>
      <c r="L2050" s="98"/>
      <c r="M2050" s="98"/>
      <c r="N2050" s="98"/>
      <c r="O2050" s="98"/>
      <c r="P2050" s="527"/>
      <c r="Q2050" s="99"/>
      <c r="R2050" s="99"/>
      <c r="S2050" s="525" t="s">
        <v>137</v>
      </c>
      <c r="T2050" s="290" t="s">
        <v>66</v>
      </c>
      <c r="U2050" s="290" t="s">
        <v>99</v>
      </c>
      <c r="V2050" s="290" t="s">
        <v>1984</v>
      </c>
      <c r="W2050" s="100"/>
      <c r="X2050" s="100"/>
      <c r="Y2050" s="100"/>
      <c r="Z2050" s="100"/>
      <c r="AA2050" s="294">
        <v>175000.0</v>
      </c>
      <c r="AB2050" s="294">
        <v>875000.0</v>
      </c>
      <c r="AC2050" s="530" t="s">
        <v>5206</v>
      </c>
      <c r="AD2050" s="290">
        <v>24388.0</v>
      </c>
      <c r="AE2050" s="99"/>
      <c r="AF2050" s="290" t="str">
        <f t="shared" si="19"/>
        <v>Buenos Aires, Argentina</v>
      </c>
      <c r="AG2050" s="525">
        <f t="shared" si="20"/>
        <v>1</v>
      </c>
      <c r="AH2050" s="294">
        <f t="shared" si="21"/>
        <v>0</v>
      </c>
      <c r="AI2050" s="294">
        <f t="shared" si="22"/>
        <v>0</v>
      </c>
      <c r="AJ2050" s="294">
        <f t="shared" si="23"/>
        <v>1050000</v>
      </c>
      <c r="AK2050" s="294">
        <f t="shared" si="24"/>
        <v>1050000</v>
      </c>
      <c r="AL2050" s="103"/>
      <c r="AM2050" s="103"/>
    </row>
    <row r="2051">
      <c r="A2051" s="290">
        <v>2040.0</v>
      </c>
      <c r="B2051" s="568">
        <v>46173.0</v>
      </c>
      <c r="C2051" s="99"/>
      <c r="D2051" s="292" t="s">
        <v>4078</v>
      </c>
      <c r="E2051" s="525" t="s">
        <v>2707</v>
      </c>
      <c r="F2051" s="292" t="s">
        <v>3079</v>
      </c>
      <c r="G2051" s="290" t="s">
        <v>64</v>
      </c>
      <c r="H2051" s="290" t="s">
        <v>41</v>
      </c>
      <c r="I2051" s="290" t="s">
        <v>643</v>
      </c>
      <c r="J2051" s="98"/>
      <c r="K2051" s="98"/>
      <c r="L2051" s="98"/>
      <c r="M2051" s="98"/>
      <c r="N2051" s="98"/>
      <c r="O2051" s="98"/>
      <c r="P2051" s="527"/>
      <c r="Q2051" s="99"/>
      <c r="R2051" s="99"/>
      <c r="S2051" s="525" t="s">
        <v>105</v>
      </c>
      <c r="T2051" s="290" t="s">
        <v>73</v>
      </c>
      <c r="U2051" s="290" t="s">
        <v>99</v>
      </c>
      <c r="V2051" s="290" t="s">
        <v>1984</v>
      </c>
      <c r="W2051" s="100"/>
      <c r="X2051" s="100"/>
      <c r="Y2051" s="100"/>
      <c r="Z2051" s="100"/>
      <c r="AA2051" s="294">
        <v>0.0</v>
      </c>
      <c r="AB2051" s="294">
        <v>1718220.0</v>
      </c>
      <c r="AC2051" s="530" t="s">
        <v>5207</v>
      </c>
      <c r="AD2051" s="290">
        <v>23434.0</v>
      </c>
      <c r="AE2051" s="99"/>
      <c r="AF2051" s="290" t="str">
        <f t="shared" si="19"/>
        <v>Tierra de Fuego, Argentina</v>
      </c>
      <c r="AG2051" s="525">
        <f t="shared" si="20"/>
        <v>0</v>
      </c>
      <c r="AH2051" s="294">
        <f t="shared" si="21"/>
        <v>0</v>
      </c>
      <c r="AI2051" s="294">
        <f t="shared" si="22"/>
        <v>0</v>
      </c>
      <c r="AJ2051" s="294">
        <f t="shared" si="23"/>
        <v>1718220</v>
      </c>
      <c r="AK2051" s="294">
        <f t="shared" si="24"/>
        <v>1718220</v>
      </c>
      <c r="AL2051" s="103"/>
      <c r="AM2051" s="103"/>
    </row>
    <row r="2052">
      <c r="A2052" s="290">
        <v>2041.0</v>
      </c>
      <c r="B2052" s="291">
        <v>46173.0</v>
      </c>
      <c r="C2052" s="99"/>
      <c r="D2052" s="292" t="s">
        <v>5208</v>
      </c>
      <c r="E2052" s="525" t="s">
        <v>4822</v>
      </c>
      <c r="F2052" s="292" t="s">
        <v>1423</v>
      </c>
      <c r="G2052" s="290" t="s">
        <v>64</v>
      </c>
      <c r="H2052" s="290" t="s">
        <v>41</v>
      </c>
      <c r="I2052" s="290" t="s">
        <v>643</v>
      </c>
      <c r="J2052" s="97">
        <v>1.0</v>
      </c>
      <c r="K2052" s="98"/>
      <c r="L2052" s="98"/>
      <c r="M2052" s="98"/>
      <c r="N2052" s="98"/>
      <c r="O2052" s="98"/>
      <c r="P2052" s="527"/>
      <c r="Q2052" s="99"/>
      <c r="R2052" s="99"/>
      <c r="S2052" s="525" t="s">
        <v>89</v>
      </c>
      <c r="T2052" s="290" t="s">
        <v>66</v>
      </c>
      <c r="U2052" s="290" t="s">
        <v>99</v>
      </c>
      <c r="V2052" s="290" t="s">
        <v>1984</v>
      </c>
      <c r="W2052" s="100"/>
      <c r="X2052" s="100"/>
      <c r="Y2052" s="100"/>
      <c r="Z2052" s="100"/>
      <c r="AA2052" s="294">
        <v>175000.0</v>
      </c>
      <c r="AB2052" s="294">
        <v>0.0</v>
      </c>
      <c r="AC2052" s="530" t="s">
        <v>5209</v>
      </c>
      <c r="AD2052" s="290">
        <v>24964.0</v>
      </c>
      <c r="AE2052" s="99"/>
      <c r="AF2052" s="290" t="str">
        <f t="shared" si="19"/>
        <v>Buenos Aires, Argentina</v>
      </c>
      <c r="AG2052" s="525">
        <f t="shared" si="20"/>
        <v>1</v>
      </c>
      <c r="AH2052" s="294">
        <f t="shared" si="21"/>
        <v>0</v>
      </c>
      <c r="AI2052" s="294">
        <f t="shared" si="22"/>
        <v>0</v>
      </c>
      <c r="AJ2052" s="294">
        <f t="shared" si="23"/>
        <v>175000</v>
      </c>
      <c r="AK2052" s="294">
        <f t="shared" si="24"/>
        <v>175000</v>
      </c>
      <c r="AL2052" s="103"/>
      <c r="AM2052" s="103"/>
    </row>
    <row r="2053">
      <c r="A2053" s="290">
        <v>2042.0</v>
      </c>
      <c r="B2053" s="291">
        <v>46173.0</v>
      </c>
      <c r="C2053" s="99"/>
      <c r="D2053" s="292" t="s">
        <v>2098</v>
      </c>
      <c r="E2053" s="525" t="s">
        <v>2099</v>
      </c>
      <c r="F2053" s="292" t="s">
        <v>1563</v>
      </c>
      <c r="G2053" s="290" t="s">
        <v>64</v>
      </c>
      <c r="H2053" s="290" t="s">
        <v>41</v>
      </c>
      <c r="I2053" s="290" t="s">
        <v>643</v>
      </c>
      <c r="J2053" s="97">
        <v>5.0</v>
      </c>
      <c r="K2053" s="98"/>
      <c r="L2053" s="98"/>
      <c r="M2053" s="98"/>
      <c r="N2053" s="98"/>
      <c r="O2053" s="98"/>
      <c r="P2053" s="527"/>
      <c r="Q2053" s="99"/>
      <c r="R2053" s="99"/>
      <c r="S2053" s="525" t="s">
        <v>89</v>
      </c>
      <c r="T2053" s="290" t="s">
        <v>66</v>
      </c>
      <c r="U2053" s="290" t="s">
        <v>99</v>
      </c>
      <c r="V2053" s="290" t="s">
        <v>1984</v>
      </c>
      <c r="W2053" s="100"/>
      <c r="X2053" s="100"/>
      <c r="Y2053" s="100"/>
      <c r="Z2053" s="100"/>
      <c r="AA2053" s="294">
        <v>875000.0</v>
      </c>
      <c r="AB2053" s="294">
        <v>4375000.0</v>
      </c>
      <c r="AC2053" s="530" t="s">
        <v>5210</v>
      </c>
      <c r="AD2053" s="290">
        <v>25074.0</v>
      </c>
      <c r="AE2053" s="99"/>
      <c r="AF2053" s="290" t="str">
        <f t="shared" si="19"/>
        <v>Buenos Aires, Argentina</v>
      </c>
      <c r="AG2053" s="525">
        <f t="shared" si="20"/>
        <v>5</v>
      </c>
      <c r="AH2053" s="294">
        <f t="shared" si="21"/>
        <v>0</v>
      </c>
      <c r="AI2053" s="294">
        <f t="shared" si="22"/>
        <v>0</v>
      </c>
      <c r="AJ2053" s="294">
        <f t="shared" si="23"/>
        <v>5250000</v>
      </c>
      <c r="AK2053" s="294">
        <f t="shared" si="24"/>
        <v>5250000</v>
      </c>
      <c r="AL2053" s="103"/>
      <c r="AM2053" s="103"/>
    </row>
    <row r="2054">
      <c r="A2054" s="290">
        <v>2042.0</v>
      </c>
      <c r="B2054" s="291">
        <v>46173.0</v>
      </c>
      <c r="C2054" s="99"/>
      <c r="D2054" s="292" t="s">
        <v>2260</v>
      </c>
      <c r="E2054" s="525" t="s">
        <v>3131</v>
      </c>
      <c r="F2054" s="292" t="s">
        <v>5211</v>
      </c>
      <c r="G2054" s="290" t="s">
        <v>64</v>
      </c>
      <c r="H2054" s="290" t="s">
        <v>41</v>
      </c>
      <c r="I2054" s="290" t="s">
        <v>643</v>
      </c>
      <c r="J2054" s="97">
        <v>1.0</v>
      </c>
      <c r="K2054" s="293">
        <v>1.0</v>
      </c>
      <c r="L2054" s="98"/>
      <c r="M2054" s="98"/>
      <c r="N2054" s="98"/>
      <c r="O2054" s="98"/>
      <c r="P2054" s="527"/>
      <c r="Q2054" s="99"/>
      <c r="R2054" s="99"/>
      <c r="S2054" s="525" t="s">
        <v>141</v>
      </c>
      <c r="T2054" s="290" t="s">
        <v>66</v>
      </c>
      <c r="U2054" s="290" t="s">
        <v>99</v>
      </c>
      <c r="V2054" s="290" t="s">
        <v>1984</v>
      </c>
      <c r="W2054" s="100"/>
      <c r="X2054" s="100"/>
      <c r="Y2054" s="100"/>
      <c r="Z2054" s="100"/>
      <c r="AA2054" s="294">
        <v>306250.0</v>
      </c>
      <c r="AB2054" s="294">
        <v>995313.0</v>
      </c>
      <c r="AC2054" s="530" t="s">
        <v>5212</v>
      </c>
      <c r="AD2054" s="290">
        <v>24690.0</v>
      </c>
      <c r="AE2054" s="99"/>
      <c r="AF2054" s="290" t="str">
        <f t="shared" si="19"/>
        <v>Buenos Aires, Argentina</v>
      </c>
      <c r="AG2054" s="525">
        <f t="shared" si="20"/>
        <v>2</v>
      </c>
      <c r="AH2054" s="294">
        <f t="shared" si="21"/>
        <v>0</v>
      </c>
      <c r="AI2054" s="294">
        <f t="shared" si="22"/>
        <v>0</v>
      </c>
      <c r="AJ2054" s="294">
        <f t="shared" si="23"/>
        <v>1301563</v>
      </c>
      <c r="AK2054" s="294">
        <f t="shared" si="24"/>
        <v>1301563</v>
      </c>
      <c r="AL2054" s="103"/>
      <c r="AM2054" s="103"/>
    </row>
    <row r="2055">
      <c r="A2055" s="290">
        <v>2043.0</v>
      </c>
      <c r="B2055" s="291">
        <v>46173.0</v>
      </c>
      <c r="C2055" s="99"/>
      <c r="D2055" s="292" t="s">
        <v>795</v>
      </c>
      <c r="E2055" s="525" t="s">
        <v>796</v>
      </c>
      <c r="F2055" s="292" t="s">
        <v>1427</v>
      </c>
      <c r="G2055" s="290" t="s">
        <v>64</v>
      </c>
      <c r="H2055" s="290" t="s">
        <v>41</v>
      </c>
      <c r="I2055" s="290" t="s">
        <v>643</v>
      </c>
      <c r="J2055" s="98"/>
      <c r="K2055" s="293">
        <v>2.0</v>
      </c>
      <c r="L2055" s="98"/>
      <c r="M2055" s="98"/>
      <c r="N2055" s="98"/>
      <c r="O2055" s="98"/>
      <c r="P2055" s="527"/>
      <c r="Q2055" s="99"/>
      <c r="R2055" s="99"/>
      <c r="S2055" s="525" t="s">
        <v>98</v>
      </c>
      <c r="T2055" s="290" t="s">
        <v>83</v>
      </c>
      <c r="U2055" s="290" t="s">
        <v>99</v>
      </c>
      <c r="V2055" s="290" t="s">
        <v>1984</v>
      </c>
      <c r="W2055" s="100"/>
      <c r="X2055" s="100"/>
      <c r="Y2055" s="100"/>
      <c r="Z2055" s="100"/>
      <c r="AA2055" s="294">
        <v>262500.0</v>
      </c>
      <c r="AB2055" s="294">
        <v>853125.0</v>
      </c>
      <c r="AC2055" s="530" t="s">
        <v>5213</v>
      </c>
      <c r="AD2055" s="290">
        <v>25246.0</v>
      </c>
      <c r="AE2055" s="99"/>
      <c r="AF2055" s="290" t="str">
        <f t="shared" si="19"/>
        <v>Capital Federal, Argentina</v>
      </c>
      <c r="AG2055" s="525">
        <f t="shared" si="20"/>
        <v>2</v>
      </c>
      <c r="AH2055" s="294">
        <f t="shared" si="21"/>
        <v>0</v>
      </c>
      <c r="AI2055" s="294">
        <f t="shared" si="22"/>
        <v>0</v>
      </c>
      <c r="AJ2055" s="294">
        <f t="shared" si="23"/>
        <v>1115625</v>
      </c>
      <c r="AK2055" s="294">
        <f t="shared" si="24"/>
        <v>1115625</v>
      </c>
      <c r="AL2055" s="103"/>
      <c r="AM2055" s="103"/>
    </row>
    <row r="2056">
      <c r="A2056" s="290">
        <v>2044.0</v>
      </c>
      <c r="B2056" s="291">
        <v>46173.0</v>
      </c>
      <c r="C2056" s="99"/>
      <c r="D2056" s="292" t="s">
        <v>5191</v>
      </c>
      <c r="E2056" s="525" t="s">
        <v>5192</v>
      </c>
      <c r="F2056" s="292" t="s">
        <v>1415</v>
      </c>
      <c r="G2056" s="290" t="s">
        <v>64</v>
      </c>
      <c r="H2056" s="290" t="s">
        <v>41</v>
      </c>
      <c r="I2056" s="290" t="s">
        <v>643</v>
      </c>
      <c r="J2056" s="98"/>
      <c r="K2056" s="293">
        <v>1.0</v>
      </c>
      <c r="L2056" s="98"/>
      <c r="M2056" s="98"/>
      <c r="N2056" s="98"/>
      <c r="O2056" s="98"/>
      <c r="P2056" s="527"/>
      <c r="Q2056" s="99"/>
      <c r="R2056" s="99"/>
      <c r="S2056" s="525" t="s">
        <v>98</v>
      </c>
      <c r="T2056" s="290" t="s">
        <v>83</v>
      </c>
      <c r="U2056" s="290" t="s">
        <v>99</v>
      </c>
      <c r="V2056" s="290" t="s">
        <v>1984</v>
      </c>
      <c r="W2056" s="100"/>
      <c r="X2056" s="100"/>
      <c r="Y2056" s="100"/>
      <c r="Z2056" s="100"/>
      <c r="AA2056" s="294">
        <v>131250.0</v>
      </c>
      <c r="AB2056" s="294">
        <v>426562.0</v>
      </c>
      <c r="AC2056" s="530" t="s">
        <v>5214</v>
      </c>
      <c r="AD2056" s="290">
        <v>25250.0</v>
      </c>
      <c r="AE2056" s="99"/>
      <c r="AF2056" s="290" t="str">
        <f t="shared" si="19"/>
        <v>Capital Federal, Argentina</v>
      </c>
      <c r="AG2056" s="525">
        <f t="shared" si="20"/>
        <v>1</v>
      </c>
      <c r="AH2056" s="294">
        <f t="shared" si="21"/>
        <v>0</v>
      </c>
      <c r="AI2056" s="294">
        <f t="shared" si="22"/>
        <v>0</v>
      </c>
      <c r="AJ2056" s="294">
        <f t="shared" si="23"/>
        <v>557812</v>
      </c>
      <c r="AK2056" s="294">
        <f t="shared" si="24"/>
        <v>557812</v>
      </c>
      <c r="AL2056" s="103"/>
      <c r="AM2056" s="103"/>
    </row>
    <row r="2057">
      <c r="A2057" s="290">
        <v>2045.0</v>
      </c>
      <c r="B2057" s="291">
        <v>46173.0</v>
      </c>
      <c r="C2057" s="99"/>
      <c r="D2057" s="292" t="s">
        <v>4972</v>
      </c>
      <c r="E2057" s="525" t="s">
        <v>2265</v>
      </c>
      <c r="F2057" s="292" t="s">
        <v>5215</v>
      </c>
      <c r="G2057" s="290" t="s">
        <v>64</v>
      </c>
      <c r="H2057" s="290" t="s">
        <v>41</v>
      </c>
      <c r="I2057" s="290" t="s">
        <v>643</v>
      </c>
      <c r="J2057" s="98"/>
      <c r="K2057" s="98"/>
      <c r="L2057" s="98"/>
      <c r="M2057" s="98"/>
      <c r="N2057" s="98"/>
      <c r="O2057" s="98"/>
      <c r="P2057" s="527"/>
      <c r="Q2057" s="99"/>
      <c r="R2057" s="99"/>
      <c r="S2057" s="525" t="s">
        <v>65</v>
      </c>
      <c r="T2057" s="290" t="s">
        <v>58</v>
      </c>
      <c r="U2057" s="290" t="s">
        <v>99</v>
      </c>
      <c r="V2057" s="290" t="s">
        <v>1984</v>
      </c>
      <c r="W2057" s="294">
        <v>311220.0</v>
      </c>
      <c r="X2057" s="101">
        <v>630800.0</v>
      </c>
      <c r="Y2057" s="100"/>
      <c r="Z2057" s="100"/>
      <c r="AA2057" s="294">
        <v>0.0</v>
      </c>
      <c r="AB2057" s="294">
        <v>0.0</v>
      </c>
      <c r="AC2057" s="530" t="s">
        <v>5216</v>
      </c>
      <c r="AD2057" s="290">
        <v>25320.0</v>
      </c>
      <c r="AE2057" s="99"/>
      <c r="AF2057" s="290" t="str">
        <f t="shared" si="19"/>
        <v>Córdoba, Argentina</v>
      </c>
      <c r="AG2057" s="525">
        <f t="shared" si="20"/>
        <v>0</v>
      </c>
      <c r="AH2057" s="294">
        <f t="shared" si="21"/>
        <v>942020</v>
      </c>
      <c r="AI2057" s="294">
        <f t="shared" si="22"/>
        <v>0</v>
      </c>
      <c r="AJ2057" s="294">
        <f t="shared" si="23"/>
        <v>0</v>
      </c>
      <c r="AK2057" s="294">
        <f t="shared" si="24"/>
        <v>942020</v>
      </c>
      <c r="AL2057" s="103"/>
      <c r="AM2057" s="103"/>
    </row>
    <row r="2058">
      <c r="A2058" s="290">
        <v>2046.0</v>
      </c>
      <c r="B2058" s="291">
        <v>46173.0</v>
      </c>
      <c r="C2058" s="99"/>
      <c r="D2058" s="292" t="s">
        <v>1757</v>
      </c>
      <c r="E2058" s="525" t="s">
        <v>1758</v>
      </c>
      <c r="F2058" s="292" t="s">
        <v>5217</v>
      </c>
      <c r="G2058" s="290" t="s">
        <v>64</v>
      </c>
      <c r="H2058" s="290" t="s">
        <v>41</v>
      </c>
      <c r="I2058" s="290" t="s">
        <v>643</v>
      </c>
      <c r="J2058" s="98"/>
      <c r="K2058" s="98"/>
      <c r="L2058" s="98"/>
      <c r="M2058" s="98"/>
      <c r="N2058" s="98"/>
      <c r="O2058" s="98"/>
      <c r="P2058" s="527"/>
      <c r="Q2058" s="99"/>
      <c r="R2058" s="99"/>
      <c r="S2058" s="525" t="s">
        <v>204</v>
      </c>
      <c r="T2058" s="290" t="s">
        <v>539</v>
      </c>
      <c r="U2058" s="290" t="s">
        <v>99</v>
      </c>
      <c r="V2058" s="290" t="s">
        <v>1984</v>
      </c>
      <c r="W2058" s="294">
        <v>135173.0</v>
      </c>
      <c r="X2058" s="101" t="s">
        <v>5218</v>
      </c>
      <c r="Y2058" s="100"/>
      <c r="Z2058" s="100"/>
      <c r="AA2058" s="294">
        <v>0.0</v>
      </c>
      <c r="AB2058" s="294">
        <v>0.0</v>
      </c>
      <c r="AC2058" s="530" t="s">
        <v>5219</v>
      </c>
      <c r="AD2058" s="290">
        <v>25072.0</v>
      </c>
      <c r="AE2058" s="99"/>
      <c r="AF2058" s="290" t="str">
        <f t="shared" si="19"/>
        <v>Misiones, Argentina</v>
      </c>
      <c r="AG2058" s="525">
        <f t="shared" si="20"/>
        <v>0</v>
      </c>
      <c r="AH2058" s="294">
        <f t="shared" si="21"/>
        <v>135173</v>
      </c>
      <c r="AI2058" s="294">
        <f t="shared" si="22"/>
        <v>0</v>
      </c>
      <c r="AJ2058" s="294">
        <f t="shared" si="23"/>
        <v>0</v>
      </c>
      <c r="AK2058" s="294">
        <f t="shared" si="24"/>
        <v>135173</v>
      </c>
      <c r="AL2058" s="103"/>
      <c r="AM2058" s="103"/>
    </row>
    <row r="2059">
      <c r="A2059" s="290">
        <v>2047.0</v>
      </c>
      <c r="B2059" s="291">
        <v>46173.0</v>
      </c>
      <c r="C2059" s="99"/>
      <c r="D2059" s="292" t="s">
        <v>4897</v>
      </c>
      <c r="E2059" s="525" t="s">
        <v>4898</v>
      </c>
      <c r="F2059" s="292" t="s">
        <v>2304</v>
      </c>
      <c r="G2059" s="290" t="s">
        <v>64</v>
      </c>
      <c r="H2059" s="290" t="s">
        <v>41</v>
      </c>
      <c r="I2059" s="290" t="s">
        <v>643</v>
      </c>
      <c r="J2059" s="97">
        <v>1.0</v>
      </c>
      <c r="K2059" s="98"/>
      <c r="L2059" s="98"/>
      <c r="M2059" s="98"/>
      <c r="N2059" s="98"/>
      <c r="O2059" s="98"/>
      <c r="P2059" s="527"/>
      <c r="Q2059" s="99"/>
      <c r="R2059" s="99"/>
      <c r="S2059" s="525" t="s">
        <v>189</v>
      </c>
      <c r="T2059" s="290" t="s">
        <v>66</v>
      </c>
      <c r="U2059" s="290" t="s">
        <v>99</v>
      </c>
      <c r="V2059" s="290" t="s">
        <v>1984</v>
      </c>
      <c r="W2059" s="100"/>
      <c r="X2059" s="100"/>
      <c r="Y2059" s="100"/>
      <c r="Z2059" s="100"/>
      <c r="AA2059" s="294">
        <v>175000.0</v>
      </c>
      <c r="AB2059" s="294">
        <v>270156.0</v>
      </c>
      <c r="AC2059" s="530" t="s">
        <v>5220</v>
      </c>
      <c r="AD2059" s="290">
        <v>25314.0</v>
      </c>
      <c r="AE2059" s="99"/>
      <c r="AF2059" s="290" t="str">
        <f t="shared" si="19"/>
        <v>Buenos Aires, Argentina</v>
      </c>
      <c r="AG2059" s="525">
        <f t="shared" si="20"/>
        <v>1</v>
      </c>
      <c r="AH2059" s="294">
        <f t="shared" si="21"/>
        <v>0</v>
      </c>
      <c r="AI2059" s="294">
        <f t="shared" si="22"/>
        <v>0</v>
      </c>
      <c r="AJ2059" s="294">
        <f t="shared" si="23"/>
        <v>445156</v>
      </c>
      <c r="AK2059" s="294">
        <f t="shared" si="24"/>
        <v>445156</v>
      </c>
      <c r="AL2059" s="103"/>
      <c r="AM2059" s="103"/>
    </row>
    <row r="2060">
      <c r="A2060" s="310">
        <v>2048.0</v>
      </c>
      <c r="B2060" s="311">
        <v>46202.0</v>
      </c>
      <c r="C2060" s="140"/>
      <c r="D2060" s="312" t="s">
        <v>4897</v>
      </c>
      <c r="E2060" s="433" t="s">
        <v>4898</v>
      </c>
      <c r="F2060" s="312" t="s">
        <v>5221</v>
      </c>
      <c r="G2060" s="310" t="s">
        <v>64</v>
      </c>
      <c r="H2060" s="310" t="s">
        <v>41</v>
      </c>
      <c r="I2060" s="310" t="s">
        <v>643</v>
      </c>
      <c r="J2060" s="138"/>
      <c r="K2060" s="138"/>
      <c r="L2060" s="138"/>
      <c r="M2060" s="315">
        <v>1.0</v>
      </c>
      <c r="N2060" s="138"/>
      <c r="O2060" s="138"/>
      <c r="P2060" s="438"/>
      <c r="Q2060" s="140"/>
      <c r="R2060" s="140"/>
      <c r="S2060" s="433" t="s">
        <v>189</v>
      </c>
      <c r="T2060" s="310" t="s">
        <v>66</v>
      </c>
      <c r="U2060" s="310" t="s">
        <v>99</v>
      </c>
      <c r="V2060" s="310" t="s">
        <v>1984</v>
      </c>
      <c r="W2060" s="141"/>
      <c r="X2060" s="141"/>
      <c r="Y2060" s="141"/>
      <c r="Z2060" s="141"/>
      <c r="AA2060" s="313">
        <v>178000.0</v>
      </c>
      <c r="AB2060" s="313">
        <v>418031.0</v>
      </c>
      <c r="AC2060" s="562" t="s">
        <v>5222</v>
      </c>
      <c r="AD2060" s="310">
        <v>25488.0</v>
      </c>
      <c r="AE2060" s="140"/>
      <c r="AF2060" s="310" t="str">
        <f t="shared" si="19"/>
        <v>Buenos Aires, Argentina</v>
      </c>
      <c r="AG2060" s="433">
        <f t="shared" si="20"/>
        <v>1</v>
      </c>
      <c r="AH2060" s="313">
        <f t="shared" si="21"/>
        <v>0</v>
      </c>
      <c r="AI2060" s="313">
        <f t="shared" si="22"/>
        <v>0</v>
      </c>
      <c r="AJ2060" s="313">
        <f t="shared" si="23"/>
        <v>596031</v>
      </c>
      <c r="AK2060" s="313">
        <f t="shared" si="24"/>
        <v>596031</v>
      </c>
      <c r="AL2060" s="144"/>
      <c r="AM2060" s="144"/>
    </row>
    <row r="2061">
      <c r="A2061" s="310">
        <v>2049.0</v>
      </c>
      <c r="B2061" s="311">
        <v>46202.0</v>
      </c>
      <c r="C2061" s="140"/>
      <c r="D2061" s="312" t="s">
        <v>5223</v>
      </c>
      <c r="E2061" s="433" t="s">
        <v>2908</v>
      </c>
      <c r="F2061" s="312" t="s">
        <v>1878</v>
      </c>
      <c r="G2061" s="310" t="s">
        <v>64</v>
      </c>
      <c r="H2061" s="310" t="s">
        <v>41</v>
      </c>
      <c r="I2061" s="310" t="s">
        <v>643</v>
      </c>
      <c r="J2061" s="138"/>
      <c r="K2061" s="138"/>
      <c r="L2061" s="138"/>
      <c r="M2061" s="138"/>
      <c r="N2061" s="315">
        <v>1.0</v>
      </c>
      <c r="O2061" s="138"/>
      <c r="P2061" s="438"/>
      <c r="Q2061" s="140"/>
      <c r="R2061" s="140"/>
      <c r="S2061" s="433" t="s">
        <v>189</v>
      </c>
      <c r="T2061" s="310" t="s">
        <v>66</v>
      </c>
      <c r="U2061" s="310" t="s">
        <v>99</v>
      </c>
      <c r="V2061" s="310" t="s">
        <v>1984</v>
      </c>
      <c r="W2061" s="141"/>
      <c r="X2061" s="141"/>
      <c r="Y2061" s="141"/>
      <c r="Z2061" s="141"/>
      <c r="AA2061" s="313">
        <v>178000.0</v>
      </c>
      <c r="AB2061" s="313">
        <v>578500.0</v>
      </c>
      <c r="AC2061" s="562" t="s">
        <v>5224</v>
      </c>
      <c r="AD2061" s="310">
        <v>25412.0</v>
      </c>
      <c r="AE2061" s="140"/>
      <c r="AF2061" s="310" t="str">
        <f t="shared" si="19"/>
        <v>Buenos Aires, Argentina</v>
      </c>
      <c r="AG2061" s="433">
        <f t="shared" si="20"/>
        <v>1</v>
      </c>
      <c r="AH2061" s="313">
        <f t="shared" si="21"/>
        <v>0</v>
      </c>
      <c r="AI2061" s="313">
        <f t="shared" si="22"/>
        <v>0</v>
      </c>
      <c r="AJ2061" s="313">
        <f t="shared" si="23"/>
        <v>756500</v>
      </c>
      <c r="AK2061" s="313">
        <f t="shared" si="24"/>
        <v>756500</v>
      </c>
      <c r="AL2061" s="144"/>
      <c r="AM2061" s="144"/>
    </row>
    <row r="2062">
      <c r="A2062" s="310">
        <v>2050.0</v>
      </c>
      <c r="B2062" s="311">
        <v>46202.0</v>
      </c>
      <c r="C2062" s="140"/>
      <c r="D2062" s="312" t="s">
        <v>5225</v>
      </c>
      <c r="E2062" s="433" t="s">
        <v>4415</v>
      </c>
      <c r="F2062" s="312" t="s">
        <v>2559</v>
      </c>
      <c r="G2062" s="310" t="s">
        <v>64</v>
      </c>
      <c r="H2062" s="310" t="s">
        <v>41</v>
      </c>
      <c r="I2062" s="310" t="s">
        <v>643</v>
      </c>
      <c r="J2062" s="138"/>
      <c r="K2062" s="138"/>
      <c r="L2062" s="138"/>
      <c r="M2062" s="138"/>
      <c r="N2062" s="138"/>
      <c r="O2062" s="138"/>
      <c r="P2062" s="438"/>
      <c r="Q2062" s="140"/>
      <c r="R2062" s="140"/>
      <c r="S2062" s="433" t="s">
        <v>204</v>
      </c>
      <c r="T2062" s="310" t="s">
        <v>66</v>
      </c>
      <c r="U2062" s="310" t="s">
        <v>99</v>
      </c>
      <c r="V2062" s="310" t="s">
        <v>1984</v>
      </c>
      <c r="W2062" s="141"/>
      <c r="X2062" s="141"/>
      <c r="Y2062" s="141"/>
      <c r="Z2062" s="141"/>
      <c r="AA2062" s="313">
        <v>0.0</v>
      </c>
      <c r="AB2062" s="313">
        <v>89089.0</v>
      </c>
      <c r="AC2062" s="562" t="s">
        <v>5226</v>
      </c>
      <c r="AD2062" s="310">
        <v>25284.0</v>
      </c>
      <c r="AE2062" s="140"/>
      <c r="AF2062" s="310" t="str">
        <f t="shared" si="19"/>
        <v>Buenos Aires, Argentina</v>
      </c>
      <c r="AG2062" s="433">
        <f t="shared" si="20"/>
        <v>0</v>
      </c>
      <c r="AH2062" s="313">
        <f t="shared" si="21"/>
        <v>0</v>
      </c>
      <c r="AI2062" s="313">
        <f t="shared" si="22"/>
        <v>0</v>
      </c>
      <c r="AJ2062" s="313">
        <f t="shared" si="23"/>
        <v>89089</v>
      </c>
      <c r="AK2062" s="313">
        <f t="shared" si="24"/>
        <v>89089</v>
      </c>
      <c r="AL2062" s="144"/>
      <c r="AM2062" s="144"/>
    </row>
    <row r="2063">
      <c r="A2063" s="310">
        <v>2051.0</v>
      </c>
      <c r="B2063" s="311">
        <v>46203.0</v>
      </c>
      <c r="C2063" s="140"/>
      <c r="D2063" s="312" t="s">
        <v>5227</v>
      </c>
      <c r="E2063" s="433" t="s">
        <v>5228</v>
      </c>
      <c r="F2063" s="312" t="s">
        <v>1423</v>
      </c>
      <c r="G2063" s="310" t="s">
        <v>64</v>
      </c>
      <c r="H2063" s="310" t="s">
        <v>41</v>
      </c>
      <c r="I2063" s="310" t="s">
        <v>643</v>
      </c>
      <c r="J2063" s="139">
        <v>1.0</v>
      </c>
      <c r="K2063" s="138"/>
      <c r="L2063" s="138"/>
      <c r="M2063" s="138"/>
      <c r="N2063" s="138"/>
      <c r="O2063" s="138"/>
      <c r="P2063" s="438"/>
      <c r="Q2063" s="140"/>
      <c r="R2063" s="140"/>
      <c r="S2063" s="433" t="s">
        <v>89</v>
      </c>
      <c r="T2063" s="310" t="s">
        <v>83</v>
      </c>
      <c r="U2063" s="310" t="s">
        <v>99</v>
      </c>
      <c r="V2063" s="310" t="s">
        <v>1984</v>
      </c>
      <c r="W2063" s="141"/>
      <c r="X2063" s="141"/>
      <c r="Y2063" s="141"/>
      <c r="Z2063" s="141"/>
      <c r="AA2063" s="313">
        <v>137060.0</v>
      </c>
      <c r="AB2063" s="313">
        <v>376915.0</v>
      </c>
      <c r="AC2063" s="562" t="s">
        <v>5229</v>
      </c>
      <c r="AD2063" s="310">
        <v>25440.0</v>
      </c>
      <c r="AE2063" s="140"/>
      <c r="AF2063" s="310" t="str">
        <f t="shared" si="19"/>
        <v>Capital Federal, Argentina</v>
      </c>
      <c r="AG2063" s="433">
        <f t="shared" si="20"/>
        <v>1</v>
      </c>
      <c r="AH2063" s="313">
        <f t="shared" si="21"/>
        <v>0</v>
      </c>
      <c r="AI2063" s="313">
        <f t="shared" si="22"/>
        <v>0</v>
      </c>
      <c r="AJ2063" s="313">
        <f t="shared" si="23"/>
        <v>513975</v>
      </c>
      <c r="AK2063" s="313">
        <f t="shared" si="24"/>
        <v>513975</v>
      </c>
      <c r="AL2063" s="144"/>
      <c r="AM2063" s="144"/>
    </row>
    <row r="2064">
      <c r="A2064" s="310">
        <v>2052.0</v>
      </c>
      <c r="B2064" s="311">
        <v>46203.0</v>
      </c>
      <c r="C2064" s="140"/>
      <c r="D2064" s="312" t="s">
        <v>5160</v>
      </c>
      <c r="E2064" s="433" t="s">
        <v>4038</v>
      </c>
      <c r="F2064" s="312" t="s">
        <v>1423</v>
      </c>
      <c r="G2064" s="310" t="s">
        <v>64</v>
      </c>
      <c r="H2064" s="310" t="s">
        <v>41</v>
      </c>
      <c r="I2064" s="310" t="s">
        <v>643</v>
      </c>
      <c r="J2064" s="139">
        <v>1.0</v>
      </c>
      <c r="K2064" s="138"/>
      <c r="L2064" s="138"/>
      <c r="M2064" s="138"/>
      <c r="N2064" s="138"/>
      <c r="O2064" s="138"/>
      <c r="P2064" s="438"/>
      <c r="Q2064" s="140"/>
      <c r="R2064" s="140"/>
      <c r="S2064" s="433" t="s">
        <v>137</v>
      </c>
      <c r="T2064" s="310" t="s">
        <v>66</v>
      </c>
      <c r="U2064" s="310" t="s">
        <v>99</v>
      </c>
      <c r="V2064" s="310" t="s">
        <v>1984</v>
      </c>
      <c r="W2064" s="141"/>
      <c r="X2064" s="141"/>
      <c r="Y2064" s="141"/>
      <c r="Z2064" s="141"/>
      <c r="AA2064" s="313">
        <v>178000.0</v>
      </c>
      <c r="AB2064" s="313">
        <v>890000.0</v>
      </c>
      <c r="AC2064" s="562" t="s">
        <v>5230</v>
      </c>
      <c r="AD2064" s="310">
        <v>24952.0</v>
      </c>
      <c r="AE2064" s="140"/>
      <c r="AF2064" s="310" t="str">
        <f t="shared" si="19"/>
        <v>Buenos Aires, Argentina</v>
      </c>
      <c r="AG2064" s="433">
        <f t="shared" si="20"/>
        <v>1</v>
      </c>
      <c r="AH2064" s="313">
        <f t="shared" si="21"/>
        <v>0</v>
      </c>
      <c r="AI2064" s="313">
        <f t="shared" si="22"/>
        <v>0</v>
      </c>
      <c r="AJ2064" s="313">
        <f t="shared" si="23"/>
        <v>1068000</v>
      </c>
      <c r="AK2064" s="313">
        <f t="shared" si="24"/>
        <v>1068000</v>
      </c>
      <c r="AL2064" s="144"/>
      <c r="AM2064" s="144"/>
    </row>
    <row r="2065">
      <c r="A2065" s="310">
        <v>2053.0</v>
      </c>
      <c r="B2065" s="311">
        <v>46203.0</v>
      </c>
      <c r="C2065" s="140"/>
      <c r="D2065" s="312" t="s">
        <v>5160</v>
      </c>
      <c r="E2065" s="433" t="s">
        <v>4038</v>
      </c>
      <c r="F2065" s="312" t="s">
        <v>5231</v>
      </c>
      <c r="G2065" s="310" t="s">
        <v>64</v>
      </c>
      <c r="H2065" s="310" t="s">
        <v>41</v>
      </c>
      <c r="I2065" s="310" t="s">
        <v>643</v>
      </c>
      <c r="J2065" s="138"/>
      <c r="K2065" s="138"/>
      <c r="L2065" s="138"/>
      <c r="M2065" s="138"/>
      <c r="N2065" s="138"/>
      <c r="O2065" s="138"/>
      <c r="P2065" s="438"/>
      <c r="Q2065" s="140"/>
      <c r="R2065" s="140"/>
      <c r="S2065" s="433" t="s">
        <v>137</v>
      </c>
      <c r="T2065" s="310" t="s">
        <v>66</v>
      </c>
      <c r="U2065" s="310" t="s">
        <v>99</v>
      </c>
      <c r="V2065" s="310" t="s">
        <v>1984</v>
      </c>
      <c r="W2065" s="141"/>
      <c r="X2065" s="141"/>
      <c r="Y2065" s="141"/>
      <c r="Z2065" s="141"/>
      <c r="AA2065" s="313">
        <v>0.0</v>
      </c>
      <c r="AB2065" s="313">
        <v>1068000.0</v>
      </c>
      <c r="AC2065" s="562" t="s">
        <v>5230</v>
      </c>
      <c r="AD2065" s="310">
        <v>24952.0</v>
      </c>
      <c r="AE2065" s="140"/>
      <c r="AF2065" s="310" t="str">
        <f t="shared" si="19"/>
        <v>Buenos Aires, Argentina</v>
      </c>
      <c r="AG2065" s="433">
        <v>0.0</v>
      </c>
      <c r="AH2065" s="313">
        <f t="shared" si="21"/>
        <v>0</v>
      </c>
      <c r="AI2065" s="313">
        <f t="shared" si="22"/>
        <v>0</v>
      </c>
      <c r="AJ2065" s="313">
        <f t="shared" si="23"/>
        <v>1068000</v>
      </c>
      <c r="AK2065" s="313">
        <f t="shared" si="24"/>
        <v>1068000</v>
      </c>
      <c r="AL2065" s="144"/>
      <c r="AM2065" s="144"/>
    </row>
    <row r="2066">
      <c r="A2066" s="310">
        <v>2054.0</v>
      </c>
      <c r="B2066" s="311">
        <v>46203.0</v>
      </c>
      <c r="C2066" s="140"/>
      <c r="D2066" s="312" t="s">
        <v>3025</v>
      </c>
      <c r="E2066" s="433" t="s">
        <v>3026</v>
      </c>
      <c r="F2066" s="312" t="s">
        <v>1415</v>
      </c>
      <c r="G2066" s="310" t="s">
        <v>64</v>
      </c>
      <c r="H2066" s="310" t="s">
        <v>41</v>
      </c>
      <c r="I2066" s="310" t="s">
        <v>643</v>
      </c>
      <c r="J2066" s="138"/>
      <c r="K2066" s="315">
        <v>1.0</v>
      </c>
      <c r="L2066" s="138"/>
      <c r="M2066" s="138"/>
      <c r="N2066" s="138"/>
      <c r="O2066" s="138"/>
      <c r="P2066" s="438"/>
      <c r="Q2066" s="140"/>
      <c r="R2066" s="140"/>
      <c r="S2066" s="433" t="s">
        <v>65</v>
      </c>
      <c r="T2066" s="310" t="s">
        <v>66</v>
      </c>
      <c r="U2066" s="310" t="s">
        <v>99</v>
      </c>
      <c r="V2066" s="310" t="s">
        <v>1984</v>
      </c>
      <c r="W2066" s="141"/>
      <c r="X2066" s="141"/>
      <c r="Y2066" s="141"/>
      <c r="Z2066" s="141"/>
      <c r="AA2066" s="313">
        <v>120150.0</v>
      </c>
      <c r="AB2066" s="313">
        <v>367125.0</v>
      </c>
      <c r="AC2066" s="562" t="s">
        <v>5232</v>
      </c>
      <c r="AD2066" s="310">
        <v>25478.0</v>
      </c>
      <c r="AE2066" s="140"/>
      <c r="AF2066" s="310" t="str">
        <f t="shared" si="19"/>
        <v>Buenos Aires, Argentina</v>
      </c>
      <c r="AG2066" s="433">
        <f t="shared" ref="AG2066:AG2067" si="25">SUM(J2066:P2066)</f>
        <v>1</v>
      </c>
      <c r="AH2066" s="313">
        <f t="shared" si="21"/>
        <v>0</v>
      </c>
      <c r="AI2066" s="313">
        <f t="shared" si="22"/>
        <v>0</v>
      </c>
      <c r="AJ2066" s="313">
        <f t="shared" si="23"/>
        <v>487275</v>
      </c>
      <c r="AK2066" s="313">
        <f t="shared" si="24"/>
        <v>487275</v>
      </c>
      <c r="AL2066" s="144"/>
      <c r="AM2066" s="144"/>
    </row>
    <row r="2067">
      <c r="A2067" s="310">
        <v>2055.0</v>
      </c>
      <c r="B2067" s="311">
        <v>46203.0</v>
      </c>
      <c r="C2067" s="140"/>
      <c r="D2067" s="312" t="s">
        <v>5171</v>
      </c>
      <c r="E2067" s="433" t="s">
        <v>3452</v>
      </c>
      <c r="F2067" s="312" t="s">
        <v>5233</v>
      </c>
      <c r="G2067" s="310" t="s">
        <v>64</v>
      </c>
      <c r="H2067" s="310" t="s">
        <v>41</v>
      </c>
      <c r="I2067" s="310" t="s">
        <v>643</v>
      </c>
      <c r="J2067" s="138"/>
      <c r="K2067" s="315">
        <v>1.0</v>
      </c>
      <c r="L2067" s="138"/>
      <c r="M2067" s="138"/>
      <c r="N2067" s="138"/>
      <c r="O2067" s="315">
        <v>2.0</v>
      </c>
      <c r="P2067" s="438"/>
      <c r="Q2067" s="140"/>
      <c r="R2067" s="140"/>
      <c r="S2067" s="433" t="s">
        <v>105</v>
      </c>
      <c r="T2067" s="310" t="s">
        <v>73</v>
      </c>
      <c r="U2067" s="310" t="s">
        <v>99</v>
      </c>
      <c r="V2067" s="310" t="s">
        <v>1984</v>
      </c>
      <c r="W2067" s="141"/>
      <c r="X2067" s="141"/>
      <c r="Y2067" s="141"/>
      <c r="Z2067" s="141"/>
      <c r="AA2067" s="313">
        <v>195800.0</v>
      </c>
      <c r="AB2067" s="313">
        <v>538450.0</v>
      </c>
      <c r="AC2067" s="562" t="s">
        <v>5234</v>
      </c>
      <c r="AD2067" s="310">
        <v>25434.0</v>
      </c>
      <c r="AE2067" s="140"/>
      <c r="AF2067" s="310" t="str">
        <f t="shared" si="19"/>
        <v>Tierra de Fuego, Argentina</v>
      </c>
      <c r="AG2067" s="433">
        <f t="shared" si="25"/>
        <v>3</v>
      </c>
      <c r="AH2067" s="313">
        <f t="shared" si="21"/>
        <v>0</v>
      </c>
      <c r="AI2067" s="313">
        <f t="shared" si="22"/>
        <v>0</v>
      </c>
      <c r="AJ2067" s="313">
        <f t="shared" si="23"/>
        <v>734250</v>
      </c>
      <c r="AK2067" s="313">
        <f t="shared" si="24"/>
        <v>734250</v>
      </c>
      <c r="AL2067" s="144"/>
      <c r="AM2067" s="144"/>
    </row>
    <row r="2068">
      <c r="A2068" s="310">
        <v>2056.0</v>
      </c>
      <c r="B2068" s="311">
        <v>46203.0</v>
      </c>
      <c r="C2068" s="140"/>
      <c r="D2068" s="312" t="s">
        <v>2213</v>
      </c>
      <c r="E2068" s="433" t="s">
        <v>2214</v>
      </c>
      <c r="F2068" s="312" t="s">
        <v>1423</v>
      </c>
      <c r="G2068" s="310" t="s">
        <v>64</v>
      </c>
      <c r="H2068" s="310" t="s">
        <v>41</v>
      </c>
      <c r="I2068" s="310" t="s">
        <v>643</v>
      </c>
      <c r="J2068" s="139">
        <v>1.0</v>
      </c>
      <c r="K2068" s="138"/>
      <c r="L2068" s="138"/>
      <c r="M2068" s="138"/>
      <c r="N2068" s="138"/>
      <c r="O2068" s="138"/>
      <c r="P2068" s="438"/>
      <c r="Q2068" s="140"/>
      <c r="R2068" s="140"/>
      <c r="S2068" s="433" t="s">
        <v>72</v>
      </c>
      <c r="T2068" s="310" t="s">
        <v>66</v>
      </c>
      <c r="U2068" s="310" t="s">
        <v>99</v>
      </c>
      <c r="V2068" s="310" t="s">
        <v>1984</v>
      </c>
      <c r="W2068" s="141"/>
      <c r="X2068" s="141"/>
      <c r="Y2068" s="141"/>
      <c r="Z2068" s="141"/>
      <c r="AA2068" s="313">
        <v>178000.0</v>
      </c>
      <c r="AB2068" s="313">
        <v>489500.0</v>
      </c>
      <c r="AC2068" s="562" t="s">
        <v>5235</v>
      </c>
      <c r="AD2068" s="310">
        <v>25472.0</v>
      </c>
      <c r="AE2068" s="140"/>
      <c r="AF2068" s="310" t="s">
        <v>5236</v>
      </c>
      <c r="AG2068" s="433">
        <v>1.0</v>
      </c>
      <c r="AH2068" s="313">
        <f t="shared" si="21"/>
        <v>0</v>
      </c>
      <c r="AI2068" s="313">
        <f t="shared" si="22"/>
        <v>0</v>
      </c>
      <c r="AJ2068" s="313">
        <f t="shared" si="23"/>
        <v>667500</v>
      </c>
      <c r="AK2068" s="313">
        <f t="shared" si="24"/>
        <v>667500</v>
      </c>
      <c r="AL2068" s="144"/>
      <c r="AM2068" s="144"/>
    </row>
    <row r="2069">
      <c r="A2069" s="310">
        <v>2057.0</v>
      </c>
      <c r="B2069" s="311">
        <v>46203.0</v>
      </c>
      <c r="C2069" s="140"/>
      <c r="D2069" s="312" t="s">
        <v>4897</v>
      </c>
      <c r="E2069" s="433" t="s">
        <v>4898</v>
      </c>
      <c r="F2069" s="312" t="s">
        <v>1412</v>
      </c>
      <c r="G2069" s="310" t="s">
        <v>64</v>
      </c>
      <c r="H2069" s="310" t="s">
        <v>41</v>
      </c>
      <c r="I2069" s="310" t="s">
        <v>643</v>
      </c>
      <c r="J2069" s="139">
        <v>2.0</v>
      </c>
      <c r="K2069" s="138"/>
      <c r="L2069" s="138"/>
      <c r="M2069" s="138"/>
      <c r="N2069" s="138"/>
      <c r="O2069" s="138"/>
      <c r="P2069" s="438"/>
      <c r="Q2069" s="140"/>
      <c r="R2069" s="140"/>
      <c r="S2069" s="433" t="s">
        <v>189</v>
      </c>
      <c r="T2069" s="310" t="s">
        <v>66</v>
      </c>
      <c r="U2069" s="310" t="s">
        <v>99</v>
      </c>
      <c r="V2069" s="310" t="s">
        <v>1984</v>
      </c>
      <c r="W2069" s="141"/>
      <c r="X2069" s="141"/>
      <c r="Y2069" s="141"/>
      <c r="Z2069" s="141"/>
      <c r="AA2069" s="313">
        <v>356000.0</v>
      </c>
      <c r="AB2069" s="313">
        <v>726343.0</v>
      </c>
      <c r="AC2069" s="562" t="s">
        <v>5237</v>
      </c>
      <c r="AD2069" s="310">
        <v>25616.0</v>
      </c>
      <c r="AE2069" s="140"/>
      <c r="AF2069" s="310" t="s">
        <v>5236</v>
      </c>
      <c r="AG2069" s="433">
        <v>2.0</v>
      </c>
      <c r="AH2069" s="313">
        <f t="shared" si="21"/>
        <v>0</v>
      </c>
      <c r="AI2069" s="313">
        <f t="shared" si="22"/>
        <v>0</v>
      </c>
      <c r="AJ2069" s="313">
        <f t="shared" si="23"/>
        <v>1082343</v>
      </c>
      <c r="AK2069" s="313">
        <f t="shared" si="24"/>
        <v>1082343</v>
      </c>
      <c r="AL2069" s="144"/>
      <c r="AM2069" s="144"/>
    </row>
    <row r="2070">
      <c r="A2070" s="310">
        <v>2058.0</v>
      </c>
      <c r="B2070" s="311">
        <v>46203.0</v>
      </c>
      <c r="C2070" s="140"/>
      <c r="D2070" s="312" t="s">
        <v>5191</v>
      </c>
      <c r="E2070" s="433" t="s">
        <v>5192</v>
      </c>
      <c r="F2070" s="312" t="s">
        <v>1415</v>
      </c>
      <c r="G2070" s="310" t="s">
        <v>64</v>
      </c>
      <c r="H2070" s="310" t="s">
        <v>41</v>
      </c>
      <c r="I2070" s="310" t="s">
        <v>643</v>
      </c>
      <c r="J2070" s="138"/>
      <c r="K2070" s="315">
        <v>1.0</v>
      </c>
      <c r="L2070" s="138"/>
      <c r="M2070" s="138"/>
      <c r="N2070" s="138"/>
      <c r="O2070" s="138"/>
      <c r="P2070" s="438"/>
      <c r="Q2070" s="140"/>
      <c r="R2070" s="140"/>
      <c r="S2070" s="433" t="s">
        <v>98</v>
      </c>
      <c r="T2070" s="310" t="s">
        <v>66</v>
      </c>
      <c r="U2070" s="310" t="s">
        <v>99</v>
      </c>
      <c r="V2070" s="310" t="s">
        <v>1984</v>
      </c>
      <c r="W2070" s="141"/>
      <c r="X2070" s="141"/>
      <c r="Y2070" s="141"/>
      <c r="Z2070" s="141"/>
      <c r="AA2070" s="313">
        <v>133500.0</v>
      </c>
      <c r="AB2070" s="313">
        <v>267000.0</v>
      </c>
      <c r="AC2070" s="562" t="s">
        <v>5238</v>
      </c>
      <c r="AD2070" s="310">
        <v>25660.0</v>
      </c>
      <c r="AE2070" s="140"/>
      <c r="AF2070" s="310" t="s">
        <v>5236</v>
      </c>
      <c r="AG2070" s="433">
        <v>1.0</v>
      </c>
      <c r="AH2070" s="313">
        <f t="shared" si="21"/>
        <v>0</v>
      </c>
      <c r="AI2070" s="313">
        <f t="shared" si="22"/>
        <v>0</v>
      </c>
      <c r="AJ2070" s="313">
        <f t="shared" si="23"/>
        <v>400500</v>
      </c>
      <c r="AK2070" s="313">
        <f t="shared" si="24"/>
        <v>400500</v>
      </c>
      <c r="AL2070" s="144"/>
      <c r="AM2070" s="144"/>
    </row>
    <row r="2071">
      <c r="A2071" s="310">
        <v>2059.0</v>
      </c>
      <c r="B2071" s="311">
        <v>46203.0</v>
      </c>
      <c r="C2071" s="140"/>
      <c r="D2071" s="312" t="s">
        <v>5239</v>
      </c>
      <c r="E2071" s="433" t="s">
        <v>5240</v>
      </c>
      <c r="F2071" s="312" t="s">
        <v>5241</v>
      </c>
      <c r="G2071" s="310" t="s">
        <v>40</v>
      </c>
      <c r="H2071" s="310" t="s">
        <v>41</v>
      </c>
      <c r="I2071" s="310" t="s">
        <v>42</v>
      </c>
      <c r="J2071" s="139">
        <v>2.0</v>
      </c>
      <c r="K2071" s="315">
        <v>1.0</v>
      </c>
      <c r="L2071" s="138"/>
      <c r="M2071" s="315">
        <v>1.0</v>
      </c>
      <c r="N2071" s="315">
        <v>1.0</v>
      </c>
      <c r="O2071" s="315">
        <v>3.0</v>
      </c>
      <c r="P2071" s="315">
        <v>1.0</v>
      </c>
      <c r="Q2071" s="140"/>
      <c r="R2071" s="140"/>
      <c r="S2071" s="433" t="s">
        <v>43</v>
      </c>
      <c r="T2071" s="310" t="s">
        <v>83</v>
      </c>
      <c r="U2071" s="310" t="s">
        <v>53</v>
      </c>
      <c r="V2071" s="310" t="s">
        <v>4626</v>
      </c>
      <c r="W2071" s="141"/>
      <c r="X2071" s="141"/>
      <c r="Y2071" s="141"/>
      <c r="Z2071" s="141"/>
      <c r="AA2071" s="313">
        <v>754275.0</v>
      </c>
      <c r="AB2071" s="313">
        <v>3017100.0</v>
      </c>
      <c r="AC2071" s="562" t="s">
        <v>5242</v>
      </c>
      <c r="AD2071" s="310">
        <v>25062.0</v>
      </c>
      <c r="AE2071" s="140"/>
      <c r="AF2071" s="310" t="s">
        <v>5243</v>
      </c>
      <c r="AG2071" s="433">
        <v>8.0</v>
      </c>
      <c r="AH2071" s="313">
        <f t="shared" si="21"/>
        <v>0</v>
      </c>
      <c r="AI2071" s="313">
        <f t="shared" si="22"/>
        <v>0</v>
      </c>
      <c r="AJ2071" s="313">
        <f t="shared" si="23"/>
        <v>3771375</v>
      </c>
      <c r="AK2071" s="313">
        <f t="shared" si="24"/>
        <v>3771375</v>
      </c>
      <c r="AL2071" s="144"/>
      <c r="AM2071" s="144"/>
    </row>
    <row r="2072">
      <c r="A2072" s="310">
        <v>2060.0</v>
      </c>
      <c r="B2072" s="311">
        <v>46203.0</v>
      </c>
      <c r="C2072" s="140"/>
      <c r="D2072" s="312" t="s">
        <v>5244</v>
      </c>
      <c r="E2072" s="433" t="s">
        <v>5245</v>
      </c>
      <c r="F2072" s="312" t="s">
        <v>5246</v>
      </c>
      <c r="G2072" s="310" t="s">
        <v>40</v>
      </c>
      <c r="H2072" s="310" t="s">
        <v>41</v>
      </c>
      <c r="I2072" s="310" t="s">
        <v>42</v>
      </c>
      <c r="J2072" s="139">
        <v>3.0</v>
      </c>
      <c r="K2072" s="315">
        <v>3.0</v>
      </c>
      <c r="L2072" s="138"/>
      <c r="M2072" s="315">
        <v>1.0</v>
      </c>
      <c r="N2072" s="138"/>
      <c r="O2072" s="315">
        <v>1.0</v>
      </c>
      <c r="P2072" s="438"/>
      <c r="Q2072" s="140"/>
      <c r="R2072" s="140"/>
      <c r="S2072" s="433" t="s">
        <v>167</v>
      </c>
      <c r="T2072" s="310" t="s">
        <v>73</v>
      </c>
      <c r="U2072" s="310" t="s">
        <v>53</v>
      </c>
      <c r="V2072" s="310" t="s">
        <v>2922</v>
      </c>
      <c r="W2072" s="141"/>
      <c r="X2072" s="141"/>
      <c r="Y2072" s="141"/>
      <c r="Z2072" s="141"/>
      <c r="AA2072" s="313">
        <v>681750.0</v>
      </c>
      <c r="AB2072" s="313">
        <v>2045250.0</v>
      </c>
      <c r="AC2072" s="562" t="s">
        <v>5247</v>
      </c>
      <c r="AD2072" s="310">
        <v>23478.0</v>
      </c>
      <c r="AE2072" s="140"/>
      <c r="AF2072" s="310" t="s">
        <v>5248</v>
      </c>
      <c r="AG2072" s="433">
        <v>7.0</v>
      </c>
      <c r="AH2072" s="313">
        <f t="shared" si="21"/>
        <v>0</v>
      </c>
      <c r="AI2072" s="313">
        <f t="shared" si="22"/>
        <v>0</v>
      </c>
      <c r="AJ2072" s="313">
        <f t="shared" si="23"/>
        <v>2727000</v>
      </c>
      <c r="AK2072" s="313">
        <f t="shared" si="24"/>
        <v>2727000</v>
      </c>
      <c r="AL2072" s="144"/>
      <c r="AM2072" s="144"/>
    </row>
    <row r="2073">
      <c r="A2073" s="310">
        <v>2061.0</v>
      </c>
      <c r="B2073" s="311">
        <v>46203.0</v>
      </c>
      <c r="C2073" s="140"/>
      <c r="D2073" s="312" t="s">
        <v>4897</v>
      </c>
      <c r="E2073" s="433" t="s">
        <v>4898</v>
      </c>
      <c r="F2073" s="312" t="s">
        <v>5249</v>
      </c>
      <c r="G2073" s="310" t="s">
        <v>40</v>
      </c>
      <c r="H2073" s="310" t="s">
        <v>41</v>
      </c>
      <c r="I2073" s="310" t="s">
        <v>643</v>
      </c>
      <c r="J2073" s="139">
        <v>1.0</v>
      </c>
      <c r="K2073" s="138"/>
      <c r="L2073" s="138"/>
      <c r="M2073" s="315">
        <v>1.0</v>
      </c>
      <c r="N2073" s="138"/>
      <c r="O2073" s="138"/>
      <c r="P2073" s="438"/>
      <c r="Q2073" s="140"/>
      <c r="R2073" s="140"/>
      <c r="S2073" s="433" t="s">
        <v>189</v>
      </c>
      <c r="T2073" s="310" t="s">
        <v>66</v>
      </c>
      <c r="U2073" s="310" t="s">
        <v>99</v>
      </c>
      <c r="V2073" s="310" t="s">
        <v>1984</v>
      </c>
      <c r="W2073" s="141"/>
      <c r="X2073" s="141"/>
      <c r="Y2073" s="141"/>
      <c r="Z2073" s="141"/>
      <c r="AA2073" s="313">
        <v>160200.0</v>
      </c>
      <c r="AB2073" s="313">
        <v>489500.0</v>
      </c>
      <c r="AC2073" s="562" t="s">
        <v>5250</v>
      </c>
      <c r="AD2073" s="310">
        <v>25550.0</v>
      </c>
      <c r="AE2073" s="140"/>
      <c r="AF2073" s="310" t="s">
        <v>5236</v>
      </c>
      <c r="AG2073" s="140"/>
      <c r="AH2073" s="313">
        <f t="shared" si="21"/>
        <v>0</v>
      </c>
      <c r="AI2073" s="313">
        <f t="shared" si="22"/>
        <v>0</v>
      </c>
      <c r="AJ2073" s="313">
        <f t="shared" si="23"/>
        <v>649700</v>
      </c>
      <c r="AK2073" s="313">
        <f t="shared" si="24"/>
        <v>649700</v>
      </c>
      <c r="AL2073" s="144"/>
      <c r="AM2073" s="144"/>
    </row>
    <row r="2074">
      <c r="A2074" s="310">
        <v>2062.0</v>
      </c>
      <c r="B2074" s="311">
        <v>46203.0</v>
      </c>
      <c r="C2074" s="140"/>
      <c r="D2074" s="312" t="s">
        <v>5201</v>
      </c>
      <c r="E2074" s="433" t="s">
        <v>5202</v>
      </c>
      <c r="F2074" s="312" t="s">
        <v>5251</v>
      </c>
      <c r="G2074" s="310" t="s">
        <v>64</v>
      </c>
      <c r="H2074" s="310" t="s">
        <v>547</v>
      </c>
      <c r="I2074" s="310" t="s">
        <v>643</v>
      </c>
      <c r="J2074" s="138"/>
      <c r="K2074" s="315">
        <v>1.0</v>
      </c>
      <c r="L2074" s="138"/>
      <c r="M2074" s="138"/>
      <c r="N2074" s="138"/>
      <c r="O2074" s="138"/>
      <c r="P2074" s="438"/>
      <c r="Q2074" s="140"/>
      <c r="R2074" s="140"/>
      <c r="S2074" s="433" t="s">
        <v>114</v>
      </c>
      <c r="T2074" s="310" t="s">
        <v>66</v>
      </c>
      <c r="U2074" s="310" t="s">
        <v>99</v>
      </c>
      <c r="V2074" s="310" t="s">
        <v>1984</v>
      </c>
      <c r="W2074" s="141"/>
      <c r="X2074" s="141"/>
      <c r="Y2074" s="141"/>
      <c r="Z2074" s="141"/>
      <c r="AA2074" s="313">
        <v>0.0</v>
      </c>
      <c r="AB2074" s="313">
        <v>0.0</v>
      </c>
      <c r="AC2074" s="562" t="s">
        <v>5252</v>
      </c>
      <c r="AD2074" s="310">
        <v>25678.0</v>
      </c>
      <c r="AE2074" s="140"/>
      <c r="AF2074" s="310" t="s">
        <v>5236</v>
      </c>
      <c r="AG2074" s="140"/>
      <c r="AH2074" s="313">
        <f t="shared" si="21"/>
        <v>0</v>
      </c>
      <c r="AI2074" s="313">
        <f t="shared" si="22"/>
        <v>0</v>
      </c>
      <c r="AJ2074" s="313">
        <f t="shared" si="23"/>
        <v>0</v>
      </c>
      <c r="AK2074" s="313">
        <f t="shared" si="24"/>
        <v>0</v>
      </c>
      <c r="AL2074" s="144"/>
      <c r="AM2074" s="144"/>
    </row>
    <row r="2075">
      <c r="A2075" s="310">
        <v>2063.0</v>
      </c>
      <c r="B2075" s="311">
        <v>46203.0</v>
      </c>
      <c r="C2075" s="140"/>
      <c r="D2075" s="312" t="s">
        <v>3046</v>
      </c>
      <c r="E2075" s="433" t="s">
        <v>3047</v>
      </c>
      <c r="F2075" s="312" t="s">
        <v>1423</v>
      </c>
      <c r="G2075" s="310" t="s">
        <v>64</v>
      </c>
      <c r="H2075" s="310" t="s">
        <v>41</v>
      </c>
      <c r="I2075" s="310" t="s">
        <v>643</v>
      </c>
      <c r="J2075" s="139">
        <v>1.0</v>
      </c>
      <c r="K2075" s="138"/>
      <c r="L2075" s="138"/>
      <c r="M2075" s="138"/>
      <c r="N2075" s="138"/>
      <c r="O2075" s="138"/>
      <c r="P2075" s="438"/>
      <c r="Q2075" s="140"/>
      <c r="R2075" s="140"/>
      <c r="S2075" s="433" t="s">
        <v>65</v>
      </c>
      <c r="T2075" s="310" t="s">
        <v>83</v>
      </c>
      <c r="U2075" s="310" t="s">
        <v>99</v>
      </c>
      <c r="V2075" s="310" t="s">
        <v>1984</v>
      </c>
      <c r="W2075" s="141"/>
      <c r="X2075" s="141"/>
      <c r="Y2075" s="141"/>
      <c r="Z2075" s="141"/>
      <c r="AA2075" s="313">
        <v>178000.0</v>
      </c>
      <c r="AB2075" s="313">
        <v>356000.0</v>
      </c>
      <c r="AC2075" s="562" t="s">
        <v>5253</v>
      </c>
      <c r="AD2075" s="310">
        <v>25636.0</v>
      </c>
      <c r="AE2075" s="140"/>
      <c r="AF2075" s="310" t="s">
        <v>5243</v>
      </c>
      <c r="AG2075" s="433">
        <v>1.0</v>
      </c>
      <c r="AH2075" s="313">
        <f t="shared" si="21"/>
        <v>0</v>
      </c>
      <c r="AI2075" s="313">
        <f t="shared" si="22"/>
        <v>0</v>
      </c>
      <c r="AJ2075" s="313">
        <f t="shared" si="23"/>
        <v>534000</v>
      </c>
      <c r="AK2075" s="313">
        <f t="shared" si="24"/>
        <v>534000</v>
      </c>
      <c r="AL2075" s="144"/>
      <c r="AM2075" s="144"/>
    </row>
    <row r="2076">
      <c r="A2076" s="310">
        <v>2064.0</v>
      </c>
      <c r="B2076" s="311">
        <v>46203.0</v>
      </c>
      <c r="C2076" s="140"/>
      <c r="D2076" s="312" t="s">
        <v>3359</v>
      </c>
      <c r="E2076" s="433" t="s">
        <v>3360</v>
      </c>
      <c r="F2076" s="312" t="s">
        <v>1463</v>
      </c>
      <c r="G2076" s="310" t="s">
        <v>64</v>
      </c>
      <c r="H2076" s="310" t="s">
        <v>41</v>
      </c>
      <c r="I2076" s="310" t="s">
        <v>643</v>
      </c>
      <c r="J2076" s="139">
        <v>1.0</v>
      </c>
      <c r="K2076" s="315">
        <v>2.0</v>
      </c>
      <c r="L2076" s="138"/>
      <c r="M2076" s="138"/>
      <c r="N2076" s="138"/>
      <c r="O2076" s="138"/>
      <c r="P2076" s="438"/>
      <c r="Q2076" s="140"/>
      <c r="R2076" s="140"/>
      <c r="S2076" s="433" t="s">
        <v>276</v>
      </c>
      <c r="T2076" s="310" t="s">
        <v>66</v>
      </c>
      <c r="U2076" s="310" t="s">
        <v>99</v>
      </c>
      <c r="V2076" s="310" t="s">
        <v>1984</v>
      </c>
      <c r="W2076" s="141"/>
      <c r="X2076" s="141"/>
      <c r="Y2076" s="141"/>
      <c r="Z2076" s="141"/>
      <c r="AA2076" s="313">
        <v>445000.0</v>
      </c>
      <c r="AB2076" s="313">
        <v>890000.0</v>
      </c>
      <c r="AC2076" s="562" t="s">
        <v>5254</v>
      </c>
      <c r="AD2076" s="310">
        <v>25624.0</v>
      </c>
      <c r="AE2076" s="140"/>
      <c r="AF2076" s="310" t="s">
        <v>5236</v>
      </c>
      <c r="AG2076" s="433">
        <v>3.0</v>
      </c>
      <c r="AH2076" s="313">
        <f t="shared" si="21"/>
        <v>0</v>
      </c>
      <c r="AI2076" s="313">
        <f t="shared" si="22"/>
        <v>0</v>
      </c>
      <c r="AJ2076" s="313">
        <f t="shared" si="23"/>
        <v>1335000</v>
      </c>
      <c r="AK2076" s="313">
        <f t="shared" si="24"/>
        <v>1335000</v>
      </c>
      <c r="AL2076" s="144"/>
      <c r="AM2076" s="144"/>
    </row>
    <row r="2077">
      <c r="A2077" s="310">
        <v>2065.0</v>
      </c>
      <c r="B2077" s="311">
        <v>46203.0</v>
      </c>
      <c r="C2077" s="140"/>
      <c r="D2077" s="312" t="s">
        <v>3359</v>
      </c>
      <c r="E2077" s="433" t="s">
        <v>3360</v>
      </c>
      <c r="F2077" s="312" t="s">
        <v>5255</v>
      </c>
      <c r="G2077" s="310" t="s">
        <v>64</v>
      </c>
      <c r="H2077" s="310" t="s">
        <v>41</v>
      </c>
      <c r="I2077" s="310" t="s">
        <v>643</v>
      </c>
      <c r="J2077" s="138"/>
      <c r="K2077" s="138"/>
      <c r="L2077" s="138"/>
      <c r="M2077" s="138"/>
      <c r="N2077" s="138"/>
      <c r="O2077" s="138"/>
      <c r="P2077" s="438"/>
      <c r="Q2077" s="140"/>
      <c r="R2077" s="140"/>
      <c r="S2077" s="433" t="s">
        <v>276</v>
      </c>
      <c r="T2077" s="310" t="s">
        <v>66</v>
      </c>
      <c r="U2077" s="310" t="s">
        <v>99</v>
      </c>
      <c r="V2077" s="310" t="s">
        <v>1984</v>
      </c>
      <c r="W2077" s="141"/>
      <c r="X2077" s="141"/>
      <c r="Y2077" s="141"/>
      <c r="Z2077" s="141"/>
      <c r="AA2077" s="313">
        <v>0.0</v>
      </c>
      <c r="AB2077" s="313">
        <v>71200.0</v>
      </c>
      <c r="AC2077" s="562" t="s">
        <v>5254</v>
      </c>
      <c r="AD2077" s="310">
        <v>25624.0</v>
      </c>
      <c r="AE2077" s="140"/>
      <c r="AF2077" s="310" t="s">
        <v>5236</v>
      </c>
      <c r="AG2077" s="140"/>
      <c r="AH2077" s="313">
        <f t="shared" si="21"/>
        <v>0</v>
      </c>
      <c r="AI2077" s="313">
        <f t="shared" si="22"/>
        <v>0</v>
      </c>
      <c r="AJ2077" s="313">
        <f t="shared" si="23"/>
        <v>71200</v>
      </c>
      <c r="AK2077" s="313">
        <f t="shared" si="24"/>
        <v>71200</v>
      </c>
      <c r="AL2077" s="144"/>
      <c r="AM2077" s="144"/>
    </row>
    <row r="2078">
      <c r="A2078" s="256">
        <v>2066.0</v>
      </c>
      <c r="B2078" s="257">
        <v>46225.0</v>
      </c>
      <c r="C2078" s="261"/>
      <c r="D2078" s="258" t="s">
        <v>3855</v>
      </c>
      <c r="E2078" s="569" t="s">
        <v>2360</v>
      </c>
      <c r="F2078" s="258" t="s">
        <v>3490</v>
      </c>
      <c r="G2078" s="256" t="s">
        <v>64</v>
      </c>
      <c r="H2078" s="256" t="s">
        <v>41</v>
      </c>
      <c r="I2078" s="256" t="s">
        <v>643</v>
      </c>
      <c r="J2078" s="260"/>
      <c r="K2078" s="260"/>
      <c r="L2078" s="260"/>
      <c r="M2078" s="260"/>
      <c r="N2078" s="260"/>
      <c r="O2078" s="260"/>
      <c r="P2078" s="259">
        <v>1.0</v>
      </c>
      <c r="Q2078" s="261"/>
      <c r="R2078" s="261"/>
      <c r="S2078" s="569" t="s">
        <v>65</v>
      </c>
      <c r="T2078" s="256" t="s">
        <v>66</v>
      </c>
      <c r="U2078" s="256" t="s">
        <v>99</v>
      </c>
      <c r="V2078" s="256" t="s">
        <v>1984</v>
      </c>
      <c r="W2078" s="262"/>
      <c r="X2078" s="262"/>
      <c r="Y2078" s="262"/>
      <c r="Z2078" s="262"/>
      <c r="AA2078" s="263">
        <v>180000.0</v>
      </c>
      <c r="AB2078" s="263">
        <v>0.0</v>
      </c>
      <c r="AC2078" s="570" t="s">
        <v>5256</v>
      </c>
      <c r="AD2078" s="256">
        <v>24406.0</v>
      </c>
      <c r="AE2078" s="261"/>
      <c r="AF2078" s="256" t="s">
        <v>5236</v>
      </c>
      <c r="AG2078" s="569">
        <v>1.0</v>
      </c>
      <c r="AH2078" s="231">
        <f t="shared" si="21"/>
        <v>0</v>
      </c>
      <c r="AI2078" s="231">
        <f t="shared" si="22"/>
        <v>0</v>
      </c>
      <c r="AJ2078" s="231">
        <f t="shared" si="23"/>
        <v>180000</v>
      </c>
      <c r="AK2078" s="231">
        <f t="shared" si="24"/>
        <v>180000</v>
      </c>
      <c r="AL2078" s="265"/>
      <c r="AM2078" s="265"/>
    </row>
    <row r="2079">
      <c r="A2079" s="256">
        <v>2067.0</v>
      </c>
      <c r="B2079" s="257">
        <v>46227.0</v>
      </c>
      <c r="C2079" s="261"/>
      <c r="D2079" s="258" t="s">
        <v>4037</v>
      </c>
      <c r="E2079" s="569" t="s">
        <v>4038</v>
      </c>
      <c r="F2079" s="258" t="s">
        <v>5257</v>
      </c>
      <c r="G2079" s="256" t="s">
        <v>64</v>
      </c>
      <c r="H2079" s="256" t="s">
        <v>41</v>
      </c>
      <c r="I2079" s="256" t="s">
        <v>643</v>
      </c>
      <c r="J2079" s="260"/>
      <c r="K2079" s="260"/>
      <c r="L2079" s="260"/>
      <c r="M2079" s="260"/>
      <c r="N2079" s="260"/>
      <c r="O2079" s="260"/>
      <c r="P2079" s="571"/>
      <c r="Q2079" s="261"/>
      <c r="R2079" s="261"/>
      <c r="S2079" s="261"/>
      <c r="T2079" s="261"/>
      <c r="U2079" s="261"/>
      <c r="V2079" s="261"/>
      <c r="W2079" s="262"/>
      <c r="X2079" s="262"/>
      <c r="Y2079" s="262"/>
      <c r="Z2079" s="262"/>
      <c r="AA2079" s="262"/>
      <c r="AB2079" s="263">
        <v>356000.0</v>
      </c>
      <c r="AC2079" s="570" t="s">
        <v>5258</v>
      </c>
      <c r="AD2079" s="256">
        <v>25706.0</v>
      </c>
      <c r="AE2079" s="261"/>
      <c r="AF2079" s="256" t="s">
        <v>5236</v>
      </c>
      <c r="AG2079" s="569">
        <v>0.0</v>
      </c>
      <c r="AH2079" s="231">
        <f t="shared" si="21"/>
        <v>0</v>
      </c>
      <c r="AI2079" s="231">
        <f t="shared" si="22"/>
        <v>0</v>
      </c>
      <c r="AJ2079" s="231">
        <f t="shared" si="23"/>
        <v>356000</v>
      </c>
      <c r="AK2079" s="231">
        <f t="shared" si="24"/>
        <v>356000</v>
      </c>
      <c r="AL2079" s="265"/>
      <c r="AM2079" s="265"/>
    </row>
    <row r="2080">
      <c r="A2080" s="261"/>
      <c r="B2080" s="572"/>
      <c r="C2080" s="261"/>
      <c r="D2080" s="261"/>
      <c r="E2080" s="261"/>
      <c r="F2080" s="261"/>
      <c r="G2080" s="261"/>
      <c r="H2080" s="261"/>
      <c r="I2080" s="261"/>
      <c r="J2080" s="260"/>
      <c r="K2080" s="260"/>
      <c r="L2080" s="260"/>
      <c r="M2080" s="260"/>
      <c r="N2080" s="260"/>
      <c r="O2080" s="260"/>
      <c r="P2080" s="571"/>
      <c r="Q2080" s="261"/>
      <c r="R2080" s="261"/>
      <c r="S2080" s="261"/>
      <c r="T2080" s="261"/>
      <c r="U2080" s="261"/>
      <c r="V2080" s="261"/>
      <c r="W2080" s="262"/>
      <c r="X2080" s="262"/>
      <c r="Y2080" s="262"/>
      <c r="Z2080" s="262"/>
      <c r="AA2080" s="262"/>
      <c r="AB2080" s="262"/>
      <c r="AC2080" s="261"/>
      <c r="AD2080" s="261"/>
      <c r="AE2080" s="261"/>
      <c r="AF2080" s="261"/>
      <c r="AG2080" s="261"/>
      <c r="AH2080" s="261"/>
      <c r="AI2080" s="261"/>
      <c r="AJ2080" s="262"/>
      <c r="AK2080" s="262"/>
      <c r="AL2080" s="265"/>
      <c r="AM2080" s="265"/>
    </row>
    <row r="2081">
      <c r="A2081" s="261"/>
      <c r="B2081" s="572"/>
      <c r="C2081" s="261"/>
      <c r="D2081" s="261"/>
      <c r="E2081" s="261"/>
      <c r="F2081" s="261"/>
      <c r="G2081" s="261"/>
      <c r="H2081" s="261"/>
      <c r="I2081" s="261"/>
      <c r="J2081" s="260"/>
      <c r="K2081" s="260"/>
      <c r="L2081" s="260"/>
      <c r="M2081" s="260"/>
      <c r="N2081" s="260"/>
      <c r="O2081" s="260"/>
      <c r="P2081" s="571"/>
      <c r="Q2081" s="261"/>
      <c r="R2081" s="261"/>
      <c r="S2081" s="261"/>
      <c r="T2081" s="261"/>
      <c r="U2081" s="261"/>
      <c r="V2081" s="261"/>
      <c r="W2081" s="262"/>
      <c r="X2081" s="262"/>
      <c r="Y2081" s="262"/>
      <c r="Z2081" s="262"/>
      <c r="AA2081" s="262"/>
      <c r="AB2081" s="262"/>
      <c r="AC2081" s="261"/>
      <c r="AD2081" s="261"/>
      <c r="AE2081" s="261"/>
      <c r="AF2081" s="261"/>
      <c r="AG2081" s="261"/>
      <c r="AH2081" s="261"/>
      <c r="AI2081" s="261"/>
      <c r="AJ2081" s="262"/>
      <c r="AK2081" s="262"/>
      <c r="AL2081" s="265"/>
      <c r="AM2081" s="265"/>
    </row>
    <row r="2082">
      <c r="A2082" s="261"/>
      <c r="B2082" s="572"/>
      <c r="C2082" s="261"/>
      <c r="D2082" s="261"/>
      <c r="E2082" s="261"/>
      <c r="F2082" s="261"/>
      <c r="G2082" s="261"/>
      <c r="H2082" s="261"/>
      <c r="I2082" s="261"/>
      <c r="J2082" s="260"/>
      <c r="K2082" s="260"/>
      <c r="L2082" s="260"/>
      <c r="M2082" s="260"/>
      <c r="N2082" s="260"/>
      <c r="O2082" s="260"/>
      <c r="P2082" s="571"/>
      <c r="Q2082" s="261"/>
      <c r="R2082" s="261"/>
      <c r="S2082" s="261"/>
      <c r="T2082" s="261"/>
      <c r="U2082" s="261"/>
      <c r="V2082" s="261"/>
      <c r="W2082" s="262"/>
      <c r="X2082" s="262"/>
      <c r="Y2082" s="262"/>
      <c r="Z2082" s="262"/>
      <c r="AA2082" s="262"/>
      <c r="AB2082" s="262"/>
      <c r="AC2082" s="261"/>
      <c r="AD2082" s="261"/>
      <c r="AE2082" s="261"/>
      <c r="AF2082" s="261"/>
      <c r="AG2082" s="261"/>
      <c r="AH2082" s="261"/>
      <c r="AI2082" s="261"/>
      <c r="AJ2082" s="262"/>
      <c r="AK2082" s="262"/>
      <c r="AL2082" s="265"/>
      <c r="AM2082" s="265"/>
    </row>
    <row r="2083">
      <c r="A2083" s="261"/>
      <c r="B2083" s="572"/>
      <c r="C2083" s="261"/>
      <c r="D2083" s="261"/>
      <c r="E2083" s="261"/>
      <c r="F2083" s="261"/>
      <c r="G2083" s="261"/>
      <c r="H2083" s="261"/>
      <c r="I2083" s="261"/>
      <c r="J2083" s="260"/>
      <c r="K2083" s="260"/>
      <c r="L2083" s="260"/>
      <c r="M2083" s="260"/>
      <c r="N2083" s="260"/>
      <c r="O2083" s="260"/>
      <c r="P2083" s="571"/>
      <c r="Q2083" s="261"/>
      <c r="R2083" s="261"/>
      <c r="S2083" s="261"/>
      <c r="T2083" s="261"/>
      <c r="U2083" s="261"/>
      <c r="V2083" s="261"/>
      <c r="W2083" s="262"/>
      <c r="X2083" s="262"/>
      <c r="Y2083" s="262"/>
      <c r="Z2083" s="262"/>
      <c r="AA2083" s="262"/>
      <c r="AB2083" s="262"/>
      <c r="AC2083" s="261"/>
      <c r="AD2083" s="261"/>
      <c r="AE2083" s="261"/>
      <c r="AF2083" s="261"/>
      <c r="AG2083" s="261"/>
      <c r="AH2083" s="261"/>
      <c r="AI2083" s="261"/>
      <c r="AJ2083" s="262"/>
      <c r="AK2083" s="262"/>
      <c r="AL2083" s="265"/>
      <c r="AM2083" s="265"/>
    </row>
    <row r="2084">
      <c r="A2084" s="261"/>
      <c r="B2084" s="572"/>
      <c r="C2084" s="261"/>
      <c r="D2084" s="261"/>
      <c r="E2084" s="261"/>
      <c r="F2084" s="261"/>
      <c r="G2084" s="261"/>
      <c r="H2084" s="261"/>
      <c r="I2084" s="261"/>
      <c r="J2084" s="260"/>
      <c r="K2084" s="260"/>
      <c r="L2084" s="260"/>
      <c r="M2084" s="260"/>
      <c r="N2084" s="260"/>
      <c r="O2084" s="260"/>
      <c r="P2084" s="571"/>
      <c r="Q2084" s="261"/>
      <c r="R2084" s="261"/>
      <c r="S2084" s="261"/>
      <c r="T2084" s="261"/>
      <c r="U2084" s="261"/>
      <c r="V2084" s="261"/>
      <c r="W2084" s="262"/>
      <c r="X2084" s="262"/>
      <c r="Y2084" s="262"/>
      <c r="Z2084" s="262"/>
      <c r="AA2084" s="262"/>
      <c r="AB2084" s="262"/>
      <c r="AC2084" s="261"/>
      <c r="AD2084" s="261"/>
      <c r="AE2084" s="261"/>
      <c r="AF2084" s="261"/>
      <c r="AG2084" s="261"/>
      <c r="AH2084" s="261"/>
      <c r="AI2084" s="261"/>
      <c r="AJ2084" s="262"/>
      <c r="AK2084" s="262"/>
      <c r="AL2084" s="265"/>
      <c r="AM2084" s="265"/>
    </row>
    <row r="2085">
      <c r="A2085" s="261"/>
      <c r="B2085" s="572"/>
      <c r="C2085" s="261"/>
      <c r="D2085" s="261"/>
      <c r="E2085" s="261"/>
      <c r="F2085" s="261"/>
      <c r="G2085" s="261"/>
      <c r="H2085" s="261"/>
      <c r="I2085" s="261"/>
      <c r="J2085" s="260"/>
      <c r="K2085" s="260"/>
      <c r="L2085" s="260"/>
      <c r="M2085" s="260"/>
      <c r="N2085" s="260"/>
      <c r="O2085" s="260"/>
      <c r="P2085" s="571"/>
      <c r="Q2085" s="261"/>
      <c r="R2085" s="261"/>
      <c r="S2085" s="261"/>
      <c r="T2085" s="261"/>
      <c r="U2085" s="261"/>
      <c r="V2085" s="261"/>
      <c r="W2085" s="262"/>
      <c r="X2085" s="262"/>
      <c r="Y2085" s="262"/>
      <c r="Z2085" s="262"/>
      <c r="AA2085" s="262"/>
      <c r="AB2085" s="262"/>
      <c r="AC2085" s="261"/>
      <c r="AD2085" s="261"/>
      <c r="AE2085" s="261"/>
      <c r="AF2085" s="261"/>
      <c r="AG2085" s="261"/>
      <c r="AH2085" s="261"/>
      <c r="AI2085" s="261"/>
      <c r="AJ2085" s="262"/>
      <c r="AK2085" s="262"/>
      <c r="AL2085" s="265"/>
      <c r="AM2085" s="265"/>
    </row>
    <row r="2086">
      <c r="A2086" s="261"/>
      <c r="B2086" s="572"/>
      <c r="C2086" s="261"/>
      <c r="D2086" s="261"/>
      <c r="E2086" s="261"/>
      <c r="F2086" s="261"/>
      <c r="G2086" s="261"/>
      <c r="H2086" s="261"/>
      <c r="I2086" s="261"/>
      <c r="J2086" s="260"/>
      <c r="K2086" s="260"/>
      <c r="L2086" s="260"/>
      <c r="M2086" s="260"/>
      <c r="N2086" s="260"/>
      <c r="O2086" s="260"/>
      <c r="P2086" s="571"/>
      <c r="Q2086" s="261"/>
      <c r="R2086" s="261"/>
      <c r="S2086" s="261"/>
      <c r="T2086" s="261"/>
      <c r="U2086" s="261"/>
      <c r="V2086" s="261"/>
      <c r="W2086" s="262"/>
      <c r="X2086" s="262"/>
      <c r="Y2086" s="262"/>
      <c r="Z2086" s="262"/>
      <c r="AA2086" s="262"/>
      <c r="AB2086" s="262"/>
      <c r="AC2086" s="261"/>
      <c r="AD2086" s="261"/>
      <c r="AE2086" s="261"/>
      <c r="AF2086" s="261"/>
      <c r="AG2086" s="261"/>
      <c r="AH2086" s="261"/>
      <c r="AI2086" s="261"/>
      <c r="AJ2086" s="262"/>
      <c r="AK2086" s="262"/>
      <c r="AL2086" s="265"/>
      <c r="AM2086" s="265"/>
    </row>
    <row r="2087">
      <c r="A2087" s="261"/>
      <c r="B2087" s="572"/>
      <c r="C2087" s="261"/>
      <c r="D2087" s="261"/>
      <c r="E2087" s="261"/>
      <c r="F2087" s="261"/>
      <c r="G2087" s="261"/>
      <c r="H2087" s="261"/>
      <c r="I2087" s="261"/>
      <c r="J2087" s="260"/>
      <c r="K2087" s="260"/>
      <c r="L2087" s="260"/>
      <c r="M2087" s="260"/>
      <c r="N2087" s="260"/>
      <c r="O2087" s="260"/>
      <c r="P2087" s="571"/>
      <c r="Q2087" s="261"/>
      <c r="R2087" s="261"/>
      <c r="S2087" s="261"/>
      <c r="T2087" s="261"/>
      <c r="U2087" s="261"/>
      <c r="V2087" s="261"/>
      <c r="W2087" s="262"/>
      <c r="X2087" s="262"/>
      <c r="Y2087" s="262"/>
      <c r="Z2087" s="262"/>
      <c r="AA2087" s="262"/>
      <c r="AB2087" s="262"/>
      <c r="AC2087" s="261"/>
      <c r="AD2087" s="261"/>
      <c r="AE2087" s="261"/>
      <c r="AF2087" s="261"/>
      <c r="AG2087" s="261"/>
      <c r="AH2087" s="261"/>
      <c r="AI2087" s="261"/>
      <c r="AJ2087" s="262"/>
      <c r="AK2087" s="262"/>
      <c r="AL2087" s="265"/>
      <c r="AM2087" s="265"/>
    </row>
    <row r="2088">
      <c r="A2088" s="261"/>
      <c r="B2088" s="572"/>
      <c r="C2088" s="261"/>
      <c r="D2088" s="261"/>
      <c r="E2088" s="261"/>
      <c r="F2088" s="261"/>
      <c r="G2088" s="261"/>
      <c r="H2088" s="261"/>
      <c r="I2088" s="261"/>
      <c r="J2088" s="260"/>
      <c r="K2088" s="260"/>
      <c r="L2088" s="260"/>
      <c r="M2088" s="260"/>
      <c r="N2088" s="260"/>
      <c r="O2088" s="260"/>
      <c r="P2088" s="571"/>
      <c r="Q2088" s="261"/>
      <c r="R2088" s="261"/>
      <c r="S2088" s="261"/>
      <c r="T2088" s="261"/>
      <c r="U2088" s="261"/>
      <c r="V2088" s="261"/>
      <c r="W2088" s="262"/>
      <c r="X2088" s="262"/>
      <c r="Y2088" s="262"/>
      <c r="Z2088" s="262"/>
      <c r="AA2088" s="262"/>
      <c r="AB2088" s="262"/>
      <c r="AC2088" s="261"/>
      <c r="AD2088" s="261"/>
      <c r="AE2088" s="261"/>
      <c r="AF2088" s="261"/>
      <c r="AG2088" s="261"/>
      <c r="AH2088" s="261"/>
      <c r="AI2088" s="261"/>
      <c r="AJ2088" s="262"/>
      <c r="AK2088" s="262"/>
      <c r="AL2088" s="265"/>
      <c r="AM2088" s="265"/>
    </row>
    <row r="2089">
      <c r="A2089" s="261"/>
      <c r="B2089" s="572"/>
      <c r="C2089" s="261"/>
      <c r="D2089" s="261"/>
      <c r="E2089" s="261"/>
      <c r="F2089" s="261"/>
      <c r="G2089" s="261"/>
      <c r="H2089" s="261"/>
      <c r="I2089" s="261"/>
      <c r="J2089" s="260"/>
      <c r="K2089" s="260"/>
      <c r="L2089" s="260"/>
      <c r="M2089" s="260"/>
      <c r="N2089" s="260"/>
      <c r="O2089" s="260"/>
      <c r="P2089" s="571"/>
      <c r="Q2089" s="261"/>
      <c r="R2089" s="261"/>
      <c r="S2089" s="261"/>
      <c r="T2089" s="261"/>
      <c r="U2089" s="261"/>
      <c r="V2089" s="261"/>
      <c r="W2089" s="262"/>
      <c r="X2089" s="262"/>
      <c r="Y2089" s="262"/>
      <c r="Z2089" s="262"/>
      <c r="AA2089" s="262"/>
      <c r="AB2089" s="262"/>
      <c r="AC2089" s="261"/>
      <c r="AD2089" s="261"/>
      <c r="AE2089" s="261"/>
      <c r="AF2089" s="261"/>
      <c r="AG2089" s="261"/>
      <c r="AH2089" s="261"/>
      <c r="AI2089" s="261"/>
      <c r="AJ2089" s="262"/>
      <c r="AK2089" s="262"/>
      <c r="AL2089" s="265"/>
      <c r="AM2089" s="265"/>
    </row>
    <row r="2090">
      <c r="A2090" s="261"/>
      <c r="B2090" s="572"/>
      <c r="C2090" s="261"/>
      <c r="D2090" s="261"/>
      <c r="E2090" s="261"/>
      <c r="F2090" s="261"/>
      <c r="G2090" s="261"/>
      <c r="H2090" s="261"/>
      <c r="I2090" s="261"/>
      <c r="J2090" s="260"/>
      <c r="K2090" s="260"/>
      <c r="L2090" s="260"/>
      <c r="M2090" s="260"/>
      <c r="N2090" s="260"/>
      <c r="O2090" s="260"/>
      <c r="P2090" s="571"/>
      <c r="Q2090" s="261"/>
      <c r="R2090" s="261"/>
      <c r="S2090" s="261"/>
      <c r="T2090" s="261"/>
      <c r="U2090" s="261"/>
      <c r="V2090" s="261"/>
      <c r="W2090" s="262"/>
      <c r="X2090" s="262"/>
      <c r="Y2090" s="262"/>
      <c r="Z2090" s="262"/>
      <c r="AA2090" s="262"/>
      <c r="AB2090" s="262"/>
      <c r="AC2090" s="261"/>
      <c r="AD2090" s="261"/>
      <c r="AE2090" s="261"/>
      <c r="AF2090" s="261"/>
      <c r="AG2090" s="261"/>
      <c r="AH2090" s="261"/>
      <c r="AI2090" s="261"/>
      <c r="AJ2090" s="262"/>
      <c r="AK2090" s="262"/>
      <c r="AL2090" s="265"/>
      <c r="AM2090" s="265"/>
    </row>
    <row r="2091">
      <c r="A2091" s="261"/>
      <c r="B2091" s="572"/>
      <c r="C2091" s="261"/>
      <c r="D2091" s="261"/>
      <c r="E2091" s="261"/>
      <c r="F2091" s="261"/>
      <c r="G2091" s="261"/>
      <c r="H2091" s="261"/>
      <c r="I2091" s="261"/>
      <c r="J2091" s="260"/>
      <c r="K2091" s="260"/>
      <c r="L2091" s="260"/>
      <c r="M2091" s="260"/>
      <c r="N2091" s="260"/>
      <c r="O2091" s="260"/>
      <c r="P2091" s="571"/>
      <c r="Q2091" s="261"/>
      <c r="R2091" s="261"/>
      <c r="S2091" s="261"/>
      <c r="T2091" s="261"/>
      <c r="U2091" s="261"/>
      <c r="V2091" s="261"/>
      <c r="W2091" s="262"/>
      <c r="X2091" s="262"/>
      <c r="Y2091" s="262"/>
      <c r="Z2091" s="262"/>
      <c r="AA2091" s="262"/>
      <c r="AB2091" s="262"/>
      <c r="AC2091" s="261"/>
      <c r="AD2091" s="261"/>
      <c r="AE2091" s="261"/>
      <c r="AF2091" s="261"/>
      <c r="AG2091" s="261"/>
      <c r="AH2091" s="261"/>
      <c r="AI2091" s="261"/>
      <c r="AJ2091" s="262"/>
      <c r="AK2091" s="262"/>
      <c r="AL2091" s="265"/>
      <c r="AM2091" s="265"/>
    </row>
    <row r="2092">
      <c r="A2092" s="261"/>
      <c r="B2092" s="572"/>
      <c r="C2092" s="261"/>
      <c r="D2092" s="261"/>
      <c r="E2092" s="261"/>
      <c r="F2092" s="261"/>
      <c r="G2092" s="261"/>
      <c r="H2092" s="261"/>
      <c r="I2092" s="261"/>
      <c r="J2092" s="260"/>
      <c r="K2092" s="260"/>
      <c r="L2092" s="260"/>
      <c r="M2092" s="260"/>
      <c r="N2092" s="260"/>
      <c r="O2092" s="260"/>
      <c r="P2092" s="571"/>
      <c r="Q2092" s="261"/>
      <c r="R2092" s="261"/>
      <c r="S2092" s="261"/>
      <c r="T2092" s="261"/>
      <c r="U2092" s="261"/>
      <c r="V2092" s="261"/>
      <c r="W2092" s="262"/>
      <c r="X2092" s="262"/>
      <c r="Y2092" s="262"/>
      <c r="Z2092" s="262"/>
      <c r="AA2092" s="262"/>
      <c r="AB2092" s="262"/>
      <c r="AC2092" s="261"/>
      <c r="AD2092" s="261"/>
      <c r="AE2092" s="261"/>
      <c r="AF2092" s="261"/>
      <c r="AG2092" s="261"/>
      <c r="AH2092" s="261"/>
      <c r="AI2092" s="261"/>
      <c r="AJ2092" s="262"/>
      <c r="AK2092" s="262"/>
      <c r="AL2092" s="265"/>
      <c r="AM2092" s="265"/>
    </row>
    <row r="2093">
      <c r="A2093" s="261"/>
      <c r="B2093" s="572"/>
      <c r="C2093" s="261"/>
      <c r="D2093" s="261"/>
      <c r="E2093" s="261"/>
      <c r="F2093" s="261"/>
      <c r="G2093" s="261"/>
      <c r="H2093" s="261"/>
      <c r="I2093" s="261"/>
      <c r="J2093" s="260"/>
      <c r="K2093" s="260"/>
      <c r="L2093" s="260"/>
      <c r="M2093" s="260"/>
      <c r="N2093" s="260"/>
      <c r="O2093" s="260"/>
      <c r="P2093" s="571"/>
      <c r="Q2093" s="261"/>
      <c r="R2093" s="261"/>
      <c r="S2093" s="261"/>
      <c r="T2093" s="261"/>
      <c r="U2093" s="261"/>
      <c r="V2093" s="261"/>
      <c r="W2093" s="262"/>
      <c r="X2093" s="262"/>
      <c r="Y2093" s="262"/>
      <c r="Z2093" s="262"/>
      <c r="AA2093" s="262"/>
      <c r="AB2093" s="262"/>
      <c r="AC2093" s="261"/>
      <c r="AD2093" s="261"/>
      <c r="AE2093" s="261"/>
      <c r="AF2093" s="261"/>
      <c r="AG2093" s="261"/>
      <c r="AH2093" s="261"/>
      <c r="AI2093" s="261"/>
      <c r="AJ2093" s="262"/>
      <c r="AK2093" s="262"/>
      <c r="AL2093" s="265"/>
      <c r="AM2093" s="265"/>
    </row>
    <row r="2094">
      <c r="A2094" s="261"/>
      <c r="B2094" s="572"/>
      <c r="C2094" s="261"/>
      <c r="D2094" s="261"/>
      <c r="E2094" s="261"/>
      <c r="F2094" s="261"/>
      <c r="G2094" s="261"/>
      <c r="H2094" s="261"/>
      <c r="I2094" s="261"/>
      <c r="J2094" s="260"/>
      <c r="K2094" s="260"/>
      <c r="L2094" s="260"/>
      <c r="M2094" s="260"/>
      <c r="N2094" s="260"/>
      <c r="O2094" s="260"/>
      <c r="P2094" s="571"/>
      <c r="Q2094" s="261"/>
      <c r="R2094" s="261"/>
      <c r="S2094" s="261"/>
      <c r="T2094" s="261"/>
      <c r="U2094" s="261"/>
      <c r="V2094" s="261"/>
      <c r="W2094" s="262"/>
      <c r="X2094" s="262"/>
      <c r="Y2094" s="262"/>
      <c r="Z2094" s="262"/>
      <c r="AA2094" s="262"/>
      <c r="AB2094" s="262"/>
      <c r="AC2094" s="261"/>
      <c r="AD2094" s="261"/>
      <c r="AE2094" s="261"/>
      <c r="AF2094" s="261"/>
      <c r="AG2094" s="261"/>
      <c r="AH2094" s="261"/>
      <c r="AI2094" s="261"/>
      <c r="AJ2094" s="262"/>
      <c r="AK2094" s="262"/>
      <c r="AL2094" s="265"/>
      <c r="AM2094" s="265"/>
    </row>
    <row r="2095">
      <c r="A2095" s="261"/>
      <c r="B2095" s="572"/>
      <c r="C2095" s="261"/>
      <c r="D2095" s="261"/>
      <c r="E2095" s="261"/>
      <c r="F2095" s="261"/>
      <c r="G2095" s="261"/>
      <c r="H2095" s="261"/>
      <c r="I2095" s="261"/>
      <c r="J2095" s="260"/>
      <c r="K2095" s="260"/>
      <c r="L2095" s="260"/>
      <c r="M2095" s="260"/>
      <c r="N2095" s="260"/>
      <c r="O2095" s="260"/>
      <c r="P2095" s="571"/>
      <c r="Q2095" s="261"/>
      <c r="R2095" s="261"/>
      <c r="S2095" s="261"/>
      <c r="T2095" s="261"/>
      <c r="U2095" s="261"/>
      <c r="V2095" s="261"/>
      <c r="W2095" s="262"/>
      <c r="X2095" s="262"/>
      <c r="Y2095" s="262"/>
      <c r="Z2095" s="262"/>
      <c r="AA2095" s="262"/>
      <c r="AB2095" s="262"/>
      <c r="AC2095" s="261"/>
      <c r="AD2095" s="261"/>
      <c r="AE2095" s="261"/>
      <c r="AF2095" s="261"/>
      <c r="AG2095" s="261"/>
      <c r="AH2095" s="261"/>
      <c r="AI2095" s="261"/>
      <c r="AJ2095" s="262"/>
      <c r="AK2095" s="262"/>
      <c r="AL2095" s="265"/>
      <c r="AM2095" s="265"/>
    </row>
    <row r="2096">
      <c r="A2096" s="261"/>
      <c r="B2096" s="572"/>
      <c r="C2096" s="261"/>
      <c r="D2096" s="261"/>
      <c r="E2096" s="261"/>
      <c r="F2096" s="261"/>
      <c r="G2096" s="261"/>
      <c r="H2096" s="261"/>
      <c r="I2096" s="261"/>
      <c r="J2096" s="260"/>
      <c r="K2096" s="260"/>
      <c r="L2096" s="260"/>
      <c r="M2096" s="260"/>
      <c r="N2096" s="260"/>
      <c r="O2096" s="260"/>
      <c r="P2096" s="571"/>
      <c r="Q2096" s="261"/>
      <c r="R2096" s="261"/>
      <c r="S2096" s="261"/>
      <c r="T2096" s="261"/>
      <c r="U2096" s="261"/>
      <c r="V2096" s="261"/>
      <c r="W2096" s="262"/>
      <c r="X2096" s="262"/>
      <c r="Y2096" s="262"/>
      <c r="Z2096" s="262"/>
      <c r="AA2096" s="262"/>
      <c r="AB2096" s="262"/>
      <c r="AC2096" s="261"/>
      <c r="AD2096" s="261"/>
      <c r="AE2096" s="261"/>
      <c r="AF2096" s="261"/>
      <c r="AG2096" s="261"/>
      <c r="AH2096" s="261"/>
      <c r="AI2096" s="261"/>
      <c r="AJ2096" s="262"/>
      <c r="AK2096" s="262"/>
      <c r="AL2096" s="265"/>
      <c r="AM2096" s="265"/>
    </row>
    <row r="2097">
      <c r="A2097" s="261"/>
      <c r="B2097" s="572"/>
      <c r="C2097" s="261"/>
      <c r="D2097" s="261"/>
      <c r="E2097" s="261"/>
      <c r="F2097" s="261"/>
      <c r="G2097" s="261"/>
      <c r="H2097" s="261"/>
      <c r="I2097" s="261"/>
      <c r="J2097" s="260"/>
      <c r="K2097" s="260"/>
      <c r="L2097" s="260"/>
      <c r="M2097" s="260"/>
      <c r="N2097" s="260"/>
      <c r="O2097" s="260"/>
      <c r="P2097" s="571"/>
      <c r="Q2097" s="261"/>
      <c r="R2097" s="261"/>
      <c r="S2097" s="261"/>
      <c r="T2097" s="261"/>
      <c r="U2097" s="261"/>
      <c r="V2097" s="261"/>
      <c r="W2097" s="262"/>
      <c r="X2097" s="262"/>
      <c r="Y2097" s="262"/>
      <c r="Z2097" s="262"/>
      <c r="AA2097" s="262"/>
      <c r="AB2097" s="262"/>
      <c r="AC2097" s="261"/>
      <c r="AD2097" s="261"/>
      <c r="AE2097" s="261"/>
      <c r="AF2097" s="261"/>
      <c r="AG2097" s="261"/>
      <c r="AH2097" s="261"/>
      <c r="AI2097" s="261"/>
      <c r="AJ2097" s="262"/>
      <c r="AK2097" s="262"/>
      <c r="AL2097" s="265"/>
      <c r="AM2097" s="265"/>
    </row>
    <row r="2098">
      <c r="A2098" s="261"/>
      <c r="B2098" s="572"/>
      <c r="C2098" s="261"/>
      <c r="D2098" s="261"/>
      <c r="E2098" s="261"/>
      <c r="F2098" s="261"/>
      <c r="G2098" s="261"/>
      <c r="H2098" s="261"/>
      <c r="I2098" s="261"/>
      <c r="J2098" s="260"/>
      <c r="K2098" s="260"/>
      <c r="L2098" s="260"/>
      <c r="M2098" s="260"/>
      <c r="N2098" s="260"/>
      <c r="O2098" s="260"/>
      <c r="P2098" s="571"/>
      <c r="Q2098" s="261"/>
      <c r="R2098" s="261"/>
      <c r="S2098" s="261"/>
      <c r="T2098" s="261"/>
      <c r="U2098" s="261"/>
      <c r="V2098" s="261"/>
      <c r="W2098" s="262"/>
      <c r="X2098" s="262"/>
      <c r="Y2098" s="262"/>
      <c r="Z2098" s="262"/>
      <c r="AA2098" s="262"/>
      <c r="AB2098" s="262"/>
      <c r="AC2098" s="261"/>
      <c r="AD2098" s="261"/>
      <c r="AE2098" s="261"/>
      <c r="AF2098" s="261"/>
      <c r="AG2098" s="261"/>
      <c r="AH2098" s="261"/>
      <c r="AI2098" s="261"/>
      <c r="AJ2098" s="262"/>
      <c r="AK2098" s="262"/>
      <c r="AL2098" s="265"/>
      <c r="AM2098" s="265"/>
    </row>
    <row r="2099">
      <c r="A2099" s="261"/>
      <c r="B2099" s="572"/>
      <c r="C2099" s="261"/>
      <c r="D2099" s="261"/>
      <c r="E2099" s="261"/>
      <c r="F2099" s="261"/>
      <c r="G2099" s="261"/>
      <c r="H2099" s="261"/>
      <c r="I2099" s="261"/>
      <c r="J2099" s="260"/>
      <c r="K2099" s="260"/>
      <c r="L2099" s="260"/>
      <c r="M2099" s="260"/>
      <c r="N2099" s="260"/>
      <c r="O2099" s="260"/>
      <c r="P2099" s="571"/>
      <c r="Q2099" s="261"/>
      <c r="R2099" s="261"/>
      <c r="S2099" s="261"/>
      <c r="T2099" s="261"/>
      <c r="U2099" s="261"/>
      <c r="V2099" s="261"/>
      <c r="W2099" s="262"/>
      <c r="X2099" s="262"/>
      <c r="Y2099" s="262"/>
      <c r="Z2099" s="262"/>
      <c r="AA2099" s="262"/>
      <c r="AB2099" s="262"/>
      <c r="AC2099" s="261"/>
      <c r="AD2099" s="261"/>
      <c r="AE2099" s="261"/>
      <c r="AF2099" s="261"/>
      <c r="AG2099" s="261"/>
      <c r="AH2099" s="261"/>
      <c r="AI2099" s="261"/>
      <c r="AJ2099" s="262"/>
      <c r="AK2099" s="262"/>
      <c r="AL2099" s="265"/>
      <c r="AM2099" s="265"/>
    </row>
    <row r="2100">
      <c r="A2100" s="261"/>
      <c r="B2100" s="572"/>
      <c r="C2100" s="261"/>
      <c r="D2100" s="261"/>
      <c r="E2100" s="261"/>
      <c r="F2100" s="261"/>
      <c r="G2100" s="261"/>
      <c r="H2100" s="261"/>
      <c r="I2100" s="261"/>
      <c r="J2100" s="260"/>
      <c r="K2100" s="260"/>
      <c r="L2100" s="260"/>
      <c r="M2100" s="260"/>
      <c r="N2100" s="260"/>
      <c r="O2100" s="260"/>
      <c r="P2100" s="571"/>
      <c r="Q2100" s="261"/>
      <c r="R2100" s="261"/>
      <c r="S2100" s="261"/>
      <c r="T2100" s="261"/>
      <c r="U2100" s="261"/>
      <c r="V2100" s="261"/>
      <c r="W2100" s="262"/>
      <c r="X2100" s="262"/>
      <c r="Y2100" s="262"/>
      <c r="Z2100" s="262"/>
      <c r="AA2100" s="262"/>
      <c r="AB2100" s="262"/>
      <c r="AC2100" s="261"/>
      <c r="AD2100" s="261"/>
      <c r="AE2100" s="261"/>
      <c r="AF2100" s="261"/>
      <c r="AG2100" s="261"/>
      <c r="AH2100" s="261"/>
      <c r="AI2100" s="261"/>
      <c r="AJ2100" s="262"/>
      <c r="AK2100" s="262"/>
      <c r="AL2100" s="265"/>
      <c r="AM2100" s="265"/>
    </row>
    <row r="2101">
      <c r="A2101" s="261"/>
      <c r="B2101" s="572"/>
      <c r="C2101" s="261"/>
      <c r="D2101" s="261"/>
      <c r="E2101" s="261"/>
      <c r="F2101" s="261"/>
      <c r="G2101" s="261"/>
      <c r="H2101" s="261"/>
      <c r="I2101" s="261"/>
      <c r="J2101" s="260"/>
      <c r="K2101" s="260"/>
      <c r="L2101" s="260"/>
      <c r="M2101" s="260"/>
      <c r="N2101" s="260"/>
      <c r="O2101" s="260"/>
      <c r="P2101" s="571"/>
      <c r="Q2101" s="261"/>
      <c r="R2101" s="261"/>
      <c r="S2101" s="261"/>
      <c r="T2101" s="261"/>
      <c r="U2101" s="261"/>
      <c r="V2101" s="261"/>
      <c r="W2101" s="262"/>
      <c r="X2101" s="262"/>
      <c r="Y2101" s="262"/>
      <c r="Z2101" s="262"/>
      <c r="AA2101" s="262"/>
      <c r="AB2101" s="262"/>
      <c r="AC2101" s="261"/>
      <c r="AD2101" s="261"/>
      <c r="AE2101" s="261"/>
      <c r="AF2101" s="261"/>
      <c r="AG2101" s="261"/>
      <c r="AH2101" s="261"/>
      <c r="AI2101" s="261"/>
      <c r="AJ2101" s="262"/>
      <c r="AK2101" s="262"/>
      <c r="AL2101" s="265"/>
      <c r="AM2101" s="265"/>
    </row>
    <row r="2102">
      <c r="A2102" s="573">
        <v>46172.0</v>
      </c>
      <c r="B2102" s="572"/>
      <c r="C2102" s="261"/>
      <c r="D2102" s="574" t="s">
        <v>5259</v>
      </c>
      <c r="E2102" s="575" t="s">
        <v>5260</v>
      </c>
      <c r="F2102" s="574" t="s">
        <v>2172</v>
      </c>
      <c r="G2102" s="576" t="s">
        <v>40</v>
      </c>
      <c r="H2102" s="576" t="s">
        <v>41</v>
      </c>
      <c r="I2102" s="576" t="s">
        <v>643</v>
      </c>
      <c r="J2102" s="577">
        <v>2.0</v>
      </c>
      <c r="K2102" s="260"/>
      <c r="L2102" s="260"/>
      <c r="M2102" s="578">
        <v>1.0</v>
      </c>
      <c r="N2102" s="260"/>
      <c r="O2102" s="260"/>
      <c r="P2102" s="571"/>
      <c r="Q2102" s="261"/>
      <c r="R2102" s="261"/>
      <c r="S2102" s="575" t="s">
        <v>109</v>
      </c>
      <c r="T2102" s="576" t="s">
        <v>66</v>
      </c>
      <c r="U2102" s="576" t="s">
        <v>342</v>
      </c>
      <c r="V2102" s="576" t="s">
        <v>1984</v>
      </c>
      <c r="W2102" s="262"/>
      <c r="X2102" s="262"/>
      <c r="Y2102" s="262"/>
      <c r="Z2102" s="262"/>
      <c r="AA2102" s="579">
        <v>516000.0</v>
      </c>
      <c r="AB2102" s="579">
        <v>1935000.0</v>
      </c>
      <c r="AC2102" s="580" t="s">
        <v>5261</v>
      </c>
      <c r="AD2102" s="576">
        <v>58422.0</v>
      </c>
      <c r="AE2102" s="261"/>
      <c r="AF2102" s="576" t="str">
        <f t="shared" ref="AF2102:AF2103" si="26">CONCATENATE(T2102,", Argentina")</f>
        <v>Buenos Aires, Argentina</v>
      </c>
      <c r="AG2102" s="575">
        <f t="shared" ref="AG2102:AG2103" si="27">SUM(J2102:P2102)</f>
        <v>3</v>
      </c>
      <c r="AH2102" s="579">
        <f t="shared" ref="AH2102:AH2103" si="28">SUM(W2102:X2102)</f>
        <v>0</v>
      </c>
      <c r="AI2102" s="579">
        <f t="shared" ref="AI2102:AI2103" si="29">Y2102+Z2102</f>
        <v>0</v>
      </c>
      <c r="AJ2102" s="579">
        <f t="shared" ref="AJ2102:AJ2103" si="30">AA2102+AB2102</f>
        <v>2451000</v>
      </c>
      <c r="AK2102" s="579">
        <f t="shared" ref="AK2102:AK2103" si="31">SUM(AH2102:AJ2102)</f>
        <v>2451000</v>
      </c>
      <c r="AL2102" s="265"/>
      <c r="AM2102" s="265"/>
    </row>
    <row r="2103">
      <c r="A2103" s="573">
        <v>45362.0</v>
      </c>
      <c r="B2103" s="572"/>
      <c r="C2103" s="261"/>
      <c r="D2103" s="574" t="s">
        <v>5262</v>
      </c>
      <c r="E2103" s="575" t="s">
        <v>5100</v>
      </c>
      <c r="F2103" s="574" t="s">
        <v>5263</v>
      </c>
      <c r="G2103" s="576" t="s">
        <v>40</v>
      </c>
      <c r="H2103" s="576" t="s">
        <v>41</v>
      </c>
      <c r="I2103" s="576" t="s">
        <v>643</v>
      </c>
      <c r="J2103" s="577">
        <v>10.0</v>
      </c>
      <c r="K2103" s="260"/>
      <c r="L2103" s="260"/>
      <c r="M2103" s="578">
        <v>1.0</v>
      </c>
      <c r="N2103" s="260"/>
      <c r="O2103" s="260"/>
      <c r="P2103" s="571"/>
      <c r="Q2103" s="261"/>
      <c r="R2103" s="261"/>
      <c r="S2103" s="575" t="s">
        <v>963</v>
      </c>
      <c r="T2103" s="576" t="s">
        <v>66</v>
      </c>
      <c r="U2103" s="576" t="s">
        <v>1027</v>
      </c>
      <c r="V2103" s="576" t="s">
        <v>1984</v>
      </c>
      <c r="W2103" s="262"/>
      <c r="X2103" s="262"/>
      <c r="Y2103" s="262"/>
      <c r="Z2103" s="262"/>
      <c r="AA2103" s="579">
        <v>815000.0</v>
      </c>
      <c r="AB2103" s="579">
        <v>0.0</v>
      </c>
      <c r="AC2103" s="580" t="s">
        <v>5264</v>
      </c>
      <c r="AD2103" s="576">
        <v>14040.0</v>
      </c>
      <c r="AE2103" s="261"/>
      <c r="AF2103" s="576" t="str">
        <f t="shared" si="26"/>
        <v>Buenos Aires, Argentina</v>
      </c>
      <c r="AG2103" s="575">
        <f t="shared" si="27"/>
        <v>11</v>
      </c>
      <c r="AH2103" s="581">
        <f t="shared" si="28"/>
        <v>0</v>
      </c>
      <c r="AI2103" s="581">
        <f t="shared" si="29"/>
        <v>0</v>
      </c>
      <c r="AJ2103" s="579">
        <f t="shared" si="30"/>
        <v>815000</v>
      </c>
      <c r="AK2103" s="579">
        <f t="shared" si="31"/>
        <v>815000</v>
      </c>
      <c r="AL2103" s="265"/>
      <c r="AM2103" s="265"/>
    </row>
    <row r="2104">
      <c r="A2104" s="582"/>
      <c r="B2104" s="583"/>
      <c r="C2104" s="584"/>
      <c r="D2104" s="582"/>
      <c r="E2104" s="582"/>
      <c r="F2104" s="582"/>
      <c r="G2104" s="582"/>
      <c r="H2104" s="582"/>
      <c r="I2104" s="582"/>
      <c r="J2104" s="585"/>
      <c r="K2104" s="585"/>
      <c r="L2104" s="585"/>
      <c r="M2104" s="585"/>
      <c r="N2104" s="585"/>
      <c r="O2104" s="585"/>
      <c r="P2104" s="585"/>
      <c r="Q2104" s="582"/>
      <c r="R2104" s="582"/>
      <c r="S2104" s="582"/>
      <c r="T2104" s="586"/>
      <c r="U2104" s="586"/>
      <c r="V2104" s="586"/>
      <c r="W2104" s="587"/>
      <c r="X2104" s="587"/>
      <c r="Y2104" s="587"/>
      <c r="Z2104" s="587"/>
      <c r="AA2104" s="587"/>
      <c r="AB2104" s="587"/>
      <c r="AC2104" s="582"/>
      <c r="AD2104" s="582"/>
      <c r="AE2104" s="582"/>
      <c r="AF2104" s="582"/>
      <c r="AG2104" s="582"/>
      <c r="AH2104" s="586"/>
      <c r="AI2104" s="586"/>
      <c r="AJ2104" s="587"/>
      <c r="AK2104" s="587"/>
      <c r="AL2104" s="586"/>
      <c r="AM2104" s="586"/>
    </row>
    <row r="2105">
      <c r="A2105" s="582"/>
      <c r="B2105" s="583"/>
      <c r="C2105" s="584"/>
      <c r="D2105" s="582"/>
      <c r="E2105" s="582"/>
      <c r="F2105" s="582"/>
      <c r="G2105" s="582"/>
      <c r="H2105" s="582"/>
      <c r="I2105" s="582"/>
      <c r="J2105" s="585"/>
      <c r="K2105" s="585"/>
      <c r="L2105" s="585"/>
      <c r="M2105" s="585"/>
      <c r="N2105" s="585"/>
      <c r="O2105" s="585"/>
      <c r="P2105" s="585"/>
      <c r="Q2105" s="582"/>
      <c r="R2105" s="582"/>
      <c r="S2105" s="582"/>
      <c r="T2105" s="586"/>
      <c r="U2105" s="586"/>
      <c r="V2105" s="586"/>
      <c r="W2105" s="587"/>
      <c r="X2105" s="587"/>
      <c r="Y2105" s="587"/>
      <c r="Z2105" s="587"/>
      <c r="AA2105" s="587"/>
      <c r="AB2105" s="587"/>
      <c r="AC2105" s="582"/>
      <c r="AD2105" s="582"/>
      <c r="AE2105" s="582"/>
      <c r="AF2105" s="582"/>
      <c r="AG2105" s="582"/>
      <c r="AH2105" s="586"/>
      <c r="AI2105" s="586"/>
      <c r="AJ2105" s="587"/>
      <c r="AK2105" s="587"/>
      <c r="AL2105" s="586"/>
      <c r="AM2105" s="586"/>
    </row>
    <row r="2106">
      <c r="A2106" s="582"/>
      <c r="B2106" s="583"/>
      <c r="C2106" s="584"/>
      <c r="D2106" s="582"/>
      <c r="E2106" s="582"/>
      <c r="F2106" s="582"/>
      <c r="G2106" s="582"/>
      <c r="H2106" s="582"/>
      <c r="I2106" s="582"/>
      <c r="J2106" s="585"/>
      <c r="K2106" s="585"/>
      <c r="L2106" s="585"/>
      <c r="M2106" s="585"/>
      <c r="N2106" s="585"/>
      <c r="O2106" s="585"/>
      <c r="P2106" s="585"/>
      <c r="Q2106" s="582"/>
      <c r="R2106" s="582"/>
      <c r="S2106" s="582"/>
      <c r="T2106" s="586"/>
      <c r="U2106" s="586"/>
      <c r="V2106" s="586"/>
      <c r="W2106" s="587"/>
      <c r="X2106" s="587"/>
      <c r="Y2106" s="587"/>
      <c r="Z2106" s="587"/>
      <c r="AA2106" s="587"/>
      <c r="AB2106" s="587"/>
      <c r="AC2106" s="582"/>
      <c r="AD2106" s="582"/>
      <c r="AE2106" s="582"/>
      <c r="AF2106" s="582"/>
      <c r="AG2106" s="582"/>
      <c r="AH2106" s="586"/>
      <c r="AI2106" s="586"/>
      <c r="AJ2106" s="587"/>
      <c r="AK2106" s="587"/>
      <c r="AL2106" s="586"/>
      <c r="AM2106" s="586"/>
    </row>
    <row r="2107">
      <c r="A2107" s="582"/>
      <c r="B2107" s="583"/>
      <c r="C2107" s="584"/>
      <c r="D2107" s="582"/>
      <c r="E2107" s="582"/>
      <c r="F2107" s="582"/>
      <c r="G2107" s="582"/>
      <c r="H2107" s="582"/>
      <c r="I2107" s="582"/>
      <c r="J2107" s="585"/>
      <c r="K2107" s="585"/>
      <c r="L2107" s="585"/>
      <c r="M2107" s="585"/>
      <c r="N2107" s="585"/>
      <c r="O2107" s="585"/>
      <c r="P2107" s="585"/>
      <c r="Q2107" s="582"/>
      <c r="R2107" s="582"/>
      <c r="S2107" s="582"/>
      <c r="T2107" s="586"/>
      <c r="U2107" s="586"/>
      <c r="V2107" s="586"/>
      <c r="W2107" s="587"/>
      <c r="X2107" s="587"/>
      <c r="Y2107" s="587"/>
      <c r="Z2107" s="587"/>
      <c r="AA2107" s="587"/>
      <c r="AB2107" s="587"/>
      <c r="AC2107" s="582"/>
      <c r="AD2107" s="582"/>
      <c r="AE2107" s="582"/>
      <c r="AF2107" s="582"/>
      <c r="AG2107" s="582"/>
      <c r="AH2107" s="586"/>
      <c r="AI2107" s="586"/>
      <c r="AJ2107" s="587"/>
      <c r="AK2107" s="587"/>
      <c r="AL2107" s="586"/>
      <c r="AM2107" s="586"/>
    </row>
  </sheetData>
  <dataValidations>
    <dataValidation type="list" allowBlank="1" showErrorMessage="1" sqref="T2017">
      <formula1>"Capital Federal,Buenos Aires,Catamarca,Chaco,Chubut,Córdoba,Corrientes,Entre Ríos,Formosa,Jujuy,La Pampa,La Rioja,Mendoza,Misiones,Neuquén,Río Negro,Salta,San Juan,San Luis,Santa Cruz,Santa Fé,Santiago del Estero,Tierra de Fuego,Tucumán,España"</formula1>
    </dataValidation>
    <dataValidation type="list" allowBlank="1" showErrorMessage="1" sqref="S2:S2107">
      <formula1>"Agroindustria,Alimentos y Bebidas,Animales y Mascotas,Automotor y Autopartes,Bazar y Cocina,Construcción,Distribuidoras y Fábricas,Droguerías y Químicas,Electrónica y Tecnología,Ferretería y Herramientas,Gastronomía y Esparcimiento,Hogar y Jardín,Jugueter"&amp;"ía y Bebés,Librería y Papelería,Moda y Bienestar,Pinturería,Salud y Equipamiento,Servicios"</formula1>
    </dataValidation>
    <dataValidation type="list" allowBlank="1" showErrorMessage="1" sqref="T2:T2016 T2018:T2107">
      <formula1>"Capital Federal,Buenos Aires,Catamarca,Chaco,Chubut,Córdoba,Corrientes,Entre Ríos,Formosa,Jujuy,La Pampa,La Rioja,Mendoza,Misiones,Neuquén,Río Negro,Salta,San Juan,San Luis,Santa Cruz,Santa Fé,Santiago del Estero,Tierra de Fuego,Tucumán"</formula1>
    </dataValidation>
    <dataValidation type="list" allowBlank="1" showErrorMessage="1" sqref="G2:G2107">
      <formula1>"Actual,Nuevo"</formula1>
    </dataValidation>
    <dataValidation type="list" allowBlank="1" showErrorMessage="1" sqref="U1:U2107">
      <formula1>"NClan - Landing Page,NCedn - Ejecutivo de Negocio,NCwsd - Website / Solicita Demo,NCcc - Call Center (Tel, Wp, Jira),NClp - Linkedin Profesional,NCgi - Gremial / Institucional,NCev - Eventos Marketing,NCcom - Campaña Comercial,NCrs - Redes Sociales RRSS,N"&amp;"Cco - Canal Contadores,NCdn - Desarrollo de Negocios,NCem - E-mail Marketing,CAboc - Backoffice Comercial,CAcc - Call Center (Tel, Wp, Jira),CAcom - Campaña Comercial,Whatsapp 5491126679502,WhatsApp Landing 5491126679502,Form-Google,NCem - E-mail Marketin"&amp;"g"</formula1>
    </dataValidation>
    <dataValidation type="list" allowBlank="1" showErrorMessage="1" sqref="H2:H2107">
      <formula1>"Advanced,Express,Premium"</formula1>
    </dataValidation>
    <dataValidation type="list" allowBlank="1" showErrorMessage="1" sqref="V2:V2107">
      <formula1>"Agustina,Auditoría,Digitales,Klaider,Martín,Matías,Paolo,Patricia,Pilar,Alejandro,Juan Pablo"</formula1>
    </dataValidation>
    <dataValidation type="list" allowBlank="1" showErrorMessage="1" sqref="I2:I2107">
      <formula1>"Corporativa,Directa"</formula1>
    </dataValidation>
  </dataValidations>
  <hyperlinks>
    <hyperlink r:id="rId1" ref="AC2"/>
    <hyperlink r:id="rId2" ref="AC3"/>
    <hyperlink r:id="rId3" ref="AE3"/>
    <hyperlink r:id="rId4" ref="AC4"/>
    <hyperlink r:id="rId5" ref="AE4"/>
    <hyperlink r:id="rId6" ref="AC5"/>
    <hyperlink r:id="rId7" ref="AE5"/>
    <hyperlink r:id="rId8" ref="AC6"/>
    <hyperlink r:id="rId9" ref="AE6"/>
    <hyperlink r:id="rId10" ref="AC7"/>
    <hyperlink r:id="rId11" ref="AE7"/>
    <hyperlink r:id="rId12" ref="AC8"/>
    <hyperlink r:id="rId13" ref="AE8"/>
    <hyperlink r:id="rId14" ref="AC9"/>
    <hyperlink r:id="rId15" ref="AE9"/>
    <hyperlink r:id="rId16" ref="AC10"/>
    <hyperlink r:id="rId17" ref="AE10"/>
    <hyperlink r:id="rId18" ref="AC11"/>
    <hyperlink r:id="rId19" ref="AE11"/>
    <hyperlink r:id="rId20" ref="AC12"/>
    <hyperlink r:id="rId21" ref="AE12"/>
    <hyperlink r:id="rId22" ref="AC13"/>
    <hyperlink r:id="rId23" ref="AE13"/>
    <hyperlink r:id="rId24" ref="AC14"/>
    <hyperlink r:id="rId25" ref="AE14"/>
    <hyperlink r:id="rId26" ref="AC15"/>
    <hyperlink r:id="rId27" ref="AE15"/>
    <hyperlink r:id="rId28" ref="AC16"/>
    <hyperlink r:id="rId29" ref="AE16"/>
    <hyperlink r:id="rId30" ref="AC17"/>
    <hyperlink r:id="rId31" ref="AE17"/>
    <hyperlink r:id="rId32" ref="AC18"/>
    <hyperlink r:id="rId33" ref="AE18"/>
    <hyperlink r:id="rId34" ref="AC19"/>
    <hyperlink r:id="rId35" ref="AE19"/>
    <hyperlink r:id="rId36" ref="AC20"/>
    <hyperlink r:id="rId37" ref="AE20"/>
    <hyperlink r:id="rId38" ref="AC21"/>
    <hyperlink r:id="rId39" ref="AE21"/>
    <hyperlink r:id="rId40" ref="AC22"/>
    <hyperlink r:id="rId41" ref="AE22"/>
    <hyperlink r:id="rId42" ref="AE23"/>
    <hyperlink r:id="rId43" ref="AC24"/>
    <hyperlink r:id="rId44" ref="AE24"/>
    <hyperlink r:id="rId45" ref="AC25"/>
    <hyperlink r:id="rId46" ref="AE25"/>
    <hyperlink r:id="rId47" ref="AC26"/>
    <hyperlink r:id="rId48" ref="AE26"/>
    <hyperlink r:id="rId49" ref="AC27"/>
    <hyperlink r:id="rId50" ref="AE27"/>
    <hyperlink r:id="rId51" ref="AC28"/>
    <hyperlink r:id="rId52" ref="AE28"/>
    <hyperlink r:id="rId53" ref="AC29"/>
    <hyperlink r:id="rId54" ref="AE29"/>
    <hyperlink r:id="rId55" ref="AC30"/>
    <hyperlink r:id="rId56" ref="AE30"/>
    <hyperlink r:id="rId57" ref="AC31"/>
    <hyperlink r:id="rId58" ref="AE31"/>
    <hyperlink r:id="rId59" ref="AC32"/>
    <hyperlink r:id="rId60" ref="AE32"/>
    <hyperlink r:id="rId61" ref="AC33"/>
    <hyperlink r:id="rId62" ref="AE33"/>
    <hyperlink r:id="rId63" ref="AC34"/>
    <hyperlink r:id="rId64" ref="AE34"/>
    <hyperlink r:id="rId65" ref="AC35"/>
    <hyperlink r:id="rId66" ref="AE35"/>
    <hyperlink r:id="rId67" ref="AC36"/>
    <hyperlink r:id="rId68" ref="AE36"/>
    <hyperlink r:id="rId69" ref="AC37"/>
    <hyperlink r:id="rId70" ref="AE37"/>
    <hyperlink r:id="rId71" ref="AC38"/>
    <hyperlink r:id="rId72" ref="AE38"/>
    <hyperlink r:id="rId73" ref="AC39"/>
    <hyperlink r:id="rId74" ref="AE39"/>
    <hyperlink r:id="rId75" ref="AC40"/>
    <hyperlink r:id="rId76" ref="AE40"/>
    <hyperlink r:id="rId77" ref="AC41"/>
    <hyperlink r:id="rId78" ref="AE41"/>
    <hyperlink r:id="rId79" ref="AC42"/>
    <hyperlink r:id="rId80" ref="AE42"/>
    <hyperlink r:id="rId81" ref="AC43"/>
    <hyperlink r:id="rId82" ref="AE43"/>
    <hyperlink r:id="rId83" ref="AC44"/>
    <hyperlink r:id="rId84" ref="AE44"/>
    <hyperlink r:id="rId85" ref="AC45"/>
    <hyperlink r:id="rId86" ref="AE45"/>
    <hyperlink r:id="rId87" ref="AC46"/>
    <hyperlink r:id="rId88" ref="AE46"/>
    <hyperlink r:id="rId89" ref="AC47"/>
    <hyperlink r:id="rId90" ref="AE47"/>
    <hyperlink r:id="rId91" ref="AC48"/>
    <hyperlink r:id="rId92" ref="AE48"/>
    <hyperlink r:id="rId93" ref="AC49"/>
    <hyperlink r:id="rId94" ref="AE49"/>
    <hyperlink r:id="rId95" ref="AE50"/>
    <hyperlink r:id="rId96" ref="AC51"/>
    <hyperlink r:id="rId97" ref="AE51"/>
    <hyperlink r:id="rId98" ref="AC52"/>
    <hyperlink r:id="rId99" ref="AE52"/>
    <hyperlink r:id="rId100" ref="AC53"/>
    <hyperlink r:id="rId101" ref="AE53"/>
    <hyperlink r:id="rId102" ref="AC54"/>
    <hyperlink r:id="rId103" ref="AE54"/>
    <hyperlink r:id="rId104" ref="AC55"/>
    <hyperlink r:id="rId105" ref="AE55"/>
    <hyperlink r:id="rId106" ref="AC56"/>
    <hyperlink r:id="rId107" ref="AE56"/>
    <hyperlink r:id="rId108" ref="AC57"/>
    <hyperlink r:id="rId109" ref="AE57"/>
    <hyperlink r:id="rId110" ref="AC58"/>
    <hyperlink r:id="rId111" ref="AE58"/>
    <hyperlink r:id="rId112" ref="AC59"/>
    <hyperlink r:id="rId113" ref="AE59"/>
    <hyperlink r:id="rId114" ref="AC60"/>
    <hyperlink r:id="rId115" ref="AE60"/>
    <hyperlink r:id="rId116" ref="AC61"/>
    <hyperlink r:id="rId117" ref="AE61"/>
    <hyperlink r:id="rId118" ref="AC62"/>
    <hyperlink r:id="rId119" ref="AE62"/>
    <hyperlink r:id="rId120" ref="AC63"/>
    <hyperlink r:id="rId121" ref="AE63"/>
    <hyperlink r:id="rId122" ref="AC64"/>
    <hyperlink r:id="rId123" ref="AE64"/>
    <hyperlink r:id="rId124" ref="AC65"/>
    <hyperlink r:id="rId125" ref="AE65"/>
    <hyperlink r:id="rId126" ref="AC66"/>
    <hyperlink r:id="rId127" ref="AE66"/>
    <hyperlink r:id="rId128" ref="AC67"/>
    <hyperlink r:id="rId129" ref="AE67"/>
    <hyperlink r:id="rId130" ref="AC68"/>
    <hyperlink r:id="rId131" ref="AE68"/>
    <hyperlink r:id="rId132" ref="AC69"/>
    <hyperlink r:id="rId133" ref="AE69"/>
    <hyperlink r:id="rId134" ref="AC70"/>
    <hyperlink r:id="rId135" ref="AE70"/>
    <hyperlink r:id="rId136" ref="AC71"/>
    <hyperlink r:id="rId137" ref="AE71"/>
    <hyperlink r:id="rId138" ref="AC72"/>
    <hyperlink r:id="rId139" ref="AE72"/>
    <hyperlink r:id="rId140" ref="AC73"/>
    <hyperlink r:id="rId141" ref="AE73"/>
    <hyperlink r:id="rId142" ref="AC74"/>
    <hyperlink r:id="rId143" ref="AE74"/>
    <hyperlink r:id="rId144" ref="AC75"/>
    <hyperlink r:id="rId145" ref="AE75"/>
    <hyperlink r:id="rId146" ref="AC76"/>
    <hyperlink r:id="rId147" ref="AE76"/>
    <hyperlink r:id="rId148" ref="AC77"/>
    <hyperlink r:id="rId149" ref="AE77"/>
    <hyperlink r:id="rId150" ref="AC78"/>
    <hyperlink r:id="rId151" ref="AE78"/>
    <hyperlink r:id="rId152" ref="AC79"/>
    <hyperlink r:id="rId153" ref="AE79"/>
    <hyperlink r:id="rId154" ref="AC80"/>
    <hyperlink r:id="rId155" ref="AE80"/>
    <hyperlink r:id="rId156" ref="AC81"/>
    <hyperlink r:id="rId157" ref="AE81"/>
    <hyperlink r:id="rId158" ref="AC82"/>
    <hyperlink r:id="rId159" ref="AE82"/>
    <hyperlink r:id="rId160" ref="AC83"/>
    <hyperlink r:id="rId161" ref="AE83"/>
    <hyperlink r:id="rId162" ref="AC84"/>
    <hyperlink r:id="rId163" ref="AE84"/>
    <hyperlink r:id="rId164" ref="AC85"/>
    <hyperlink r:id="rId165" ref="AE85"/>
    <hyperlink r:id="rId166" ref="AC86"/>
    <hyperlink r:id="rId167" ref="AE86"/>
    <hyperlink r:id="rId168" ref="AC87"/>
    <hyperlink r:id="rId169" ref="AE87"/>
    <hyperlink r:id="rId170" ref="AC88"/>
    <hyperlink r:id="rId171" ref="AE88"/>
    <hyperlink r:id="rId172" ref="AC89"/>
    <hyperlink r:id="rId173" ref="AE89"/>
    <hyperlink r:id="rId174" ref="AC90"/>
    <hyperlink r:id="rId175" ref="AE90"/>
    <hyperlink r:id="rId176" ref="AC91"/>
    <hyperlink r:id="rId177" ref="AE91"/>
    <hyperlink r:id="rId178" ref="AC92"/>
    <hyperlink r:id="rId179" ref="AE92"/>
    <hyperlink r:id="rId180" ref="AC93"/>
    <hyperlink r:id="rId181" ref="AE93"/>
    <hyperlink r:id="rId182" ref="AC94"/>
    <hyperlink r:id="rId183" ref="AE94"/>
    <hyperlink r:id="rId184" ref="AC95"/>
    <hyperlink r:id="rId185" ref="AE95"/>
    <hyperlink r:id="rId186" ref="AC96"/>
    <hyperlink r:id="rId187" ref="AE96"/>
    <hyperlink r:id="rId188" ref="AC97"/>
    <hyperlink r:id="rId189" ref="AE97"/>
    <hyperlink r:id="rId190" ref="AC98"/>
    <hyperlink r:id="rId191" ref="AE98"/>
    <hyperlink r:id="rId192" ref="AC99"/>
    <hyperlink r:id="rId193" ref="AE99"/>
    <hyperlink r:id="rId194" ref="AC100"/>
    <hyperlink r:id="rId195" ref="AE100"/>
    <hyperlink r:id="rId196" ref="AC101"/>
    <hyperlink r:id="rId197" ref="AE101"/>
    <hyperlink r:id="rId198" ref="AC102"/>
    <hyperlink r:id="rId199" ref="AE102"/>
    <hyperlink r:id="rId200" ref="AC103"/>
    <hyperlink r:id="rId201" ref="AE103"/>
    <hyperlink r:id="rId202" ref="AC104"/>
    <hyperlink r:id="rId203" ref="AE104"/>
    <hyperlink r:id="rId204" ref="AC105"/>
    <hyperlink r:id="rId205" ref="AE105"/>
    <hyperlink r:id="rId206" ref="AC106"/>
    <hyperlink r:id="rId207" ref="AE106"/>
    <hyperlink r:id="rId208" ref="AC107"/>
    <hyperlink r:id="rId209" ref="AE107"/>
    <hyperlink r:id="rId210" ref="AC108"/>
    <hyperlink r:id="rId211" ref="AE108"/>
    <hyperlink r:id="rId212" ref="AC109"/>
    <hyperlink r:id="rId213" ref="AE109"/>
    <hyperlink r:id="rId214" ref="AC110"/>
    <hyperlink r:id="rId215" ref="AE110"/>
    <hyperlink r:id="rId216" ref="AC111"/>
    <hyperlink r:id="rId217" ref="AE111"/>
    <hyperlink r:id="rId218" ref="AC112"/>
    <hyperlink r:id="rId219" ref="AE112"/>
    <hyperlink r:id="rId220" ref="AC113"/>
    <hyperlink r:id="rId221" ref="AE113"/>
    <hyperlink r:id="rId222" ref="AC114"/>
    <hyperlink r:id="rId223" ref="AE114"/>
    <hyperlink r:id="rId224" ref="AC115"/>
    <hyperlink r:id="rId225" ref="AE115"/>
    <hyperlink r:id="rId226" ref="AC116"/>
    <hyperlink r:id="rId227" ref="AE116"/>
    <hyperlink r:id="rId228" ref="AC117"/>
    <hyperlink r:id="rId229" ref="AE117"/>
    <hyperlink r:id="rId230" ref="AC118"/>
    <hyperlink r:id="rId231" ref="AE118"/>
    <hyperlink r:id="rId232" ref="AC119"/>
    <hyperlink r:id="rId233" ref="AE119"/>
    <hyperlink r:id="rId234" ref="AC120"/>
    <hyperlink r:id="rId235" ref="AE120"/>
    <hyperlink r:id="rId236" ref="AC121"/>
    <hyperlink r:id="rId237" ref="AE121"/>
    <hyperlink r:id="rId238" ref="AC122"/>
    <hyperlink r:id="rId239" ref="AE122"/>
    <hyperlink r:id="rId240" ref="AC123"/>
    <hyperlink r:id="rId241" ref="AE123"/>
    <hyperlink r:id="rId242" ref="AC124"/>
    <hyperlink r:id="rId243" ref="AE124"/>
    <hyperlink r:id="rId244" ref="AC125"/>
    <hyperlink r:id="rId245" ref="AE125"/>
    <hyperlink r:id="rId246" ref="AC126"/>
    <hyperlink r:id="rId247" ref="AE126"/>
    <hyperlink r:id="rId248" ref="AC127"/>
    <hyperlink r:id="rId249" ref="AE127"/>
    <hyperlink r:id="rId250" ref="AC128"/>
    <hyperlink r:id="rId251" ref="AE128"/>
    <hyperlink r:id="rId252" ref="AC129"/>
    <hyperlink r:id="rId253" ref="AE129"/>
    <hyperlink r:id="rId254" ref="AC130"/>
    <hyperlink r:id="rId255" ref="AE130"/>
    <hyperlink r:id="rId256" ref="AC131"/>
    <hyperlink r:id="rId257" ref="AE131"/>
    <hyperlink r:id="rId258" ref="AC132"/>
    <hyperlink r:id="rId259" ref="AE132"/>
    <hyperlink r:id="rId260" ref="AC133"/>
    <hyperlink r:id="rId261" ref="AE133"/>
    <hyperlink r:id="rId262" ref="AC134"/>
    <hyperlink r:id="rId263" ref="AE134"/>
    <hyperlink r:id="rId264" ref="AC135"/>
    <hyperlink r:id="rId265" ref="AE135"/>
    <hyperlink r:id="rId266" ref="AC136"/>
    <hyperlink r:id="rId267" ref="AE136"/>
    <hyperlink r:id="rId268" ref="AC137"/>
    <hyperlink r:id="rId269" ref="AE137"/>
    <hyperlink r:id="rId270" ref="AC138"/>
    <hyperlink r:id="rId271" ref="AE138"/>
    <hyperlink r:id="rId272" ref="AC139"/>
    <hyperlink r:id="rId273" ref="AE139"/>
    <hyperlink r:id="rId274" ref="AC140"/>
    <hyperlink r:id="rId275" ref="AE140"/>
    <hyperlink r:id="rId276" ref="AC141"/>
    <hyperlink r:id="rId277" ref="AE141"/>
    <hyperlink r:id="rId278" ref="AC142"/>
    <hyperlink r:id="rId279" ref="AE142"/>
    <hyperlink r:id="rId280" ref="AC143"/>
    <hyperlink r:id="rId281" ref="AE143"/>
    <hyperlink r:id="rId282" ref="AC144"/>
    <hyperlink r:id="rId283" ref="AE144"/>
    <hyperlink r:id="rId284" ref="AC145"/>
    <hyperlink r:id="rId285" ref="AE145"/>
    <hyperlink r:id="rId286" ref="AC146"/>
    <hyperlink r:id="rId287" ref="AE146"/>
    <hyperlink r:id="rId288" ref="AC147"/>
    <hyperlink r:id="rId289" ref="AE147"/>
    <hyperlink r:id="rId290" ref="AC148"/>
    <hyperlink r:id="rId291" ref="AE148"/>
    <hyperlink r:id="rId292" ref="AC149"/>
    <hyperlink r:id="rId293" ref="AE149"/>
    <hyperlink r:id="rId294" ref="AC150"/>
    <hyperlink r:id="rId295" ref="AE150"/>
    <hyperlink r:id="rId296" ref="AC151"/>
    <hyperlink r:id="rId297" ref="AE151"/>
    <hyperlink r:id="rId298" ref="AC152"/>
    <hyperlink r:id="rId299" ref="AE152"/>
    <hyperlink r:id="rId300" ref="AC153"/>
    <hyperlink r:id="rId301" ref="AE153"/>
    <hyperlink r:id="rId302" ref="AC154"/>
    <hyperlink r:id="rId303" ref="AE154"/>
    <hyperlink r:id="rId304" ref="AC155"/>
    <hyperlink r:id="rId305" ref="AE155"/>
    <hyperlink r:id="rId306" ref="AC156"/>
    <hyperlink r:id="rId307" ref="AE156"/>
    <hyperlink r:id="rId308" ref="AC157"/>
    <hyperlink r:id="rId309" ref="AE157"/>
    <hyperlink r:id="rId310" ref="AC158"/>
    <hyperlink r:id="rId311" ref="AE158"/>
    <hyperlink r:id="rId312" ref="AC159"/>
    <hyperlink r:id="rId313" ref="AE159"/>
    <hyperlink r:id="rId314" ref="AC160"/>
    <hyperlink r:id="rId315" ref="AE160"/>
    <hyperlink r:id="rId316" ref="AC161"/>
    <hyperlink r:id="rId317" ref="AE161"/>
    <hyperlink r:id="rId318" ref="AC162"/>
    <hyperlink r:id="rId319" ref="AE162"/>
    <hyperlink r:id="rId320" ref="AC163"/>
    <hyperlink r:id="rId321" ref="AE163"/>
    <hyperlink r:id="rId322" ref="AC164"/>
    <hyperlink r:id="rId323" ref="AE164"/>
    <hyperlink r:id="rId324" ref="AC165"/>
    <hyperlink r:id="rId325" ref="AE165"/>
    <hyperlink r:id="rId326" ref="AC166"/>
    <hyperlink r:id="rId327" ref="AE166"/>
    <hyperlink r:id="rId328" ref="AC167"/>
    <hyperlink r:id="rId329" ref="AE167"/>
    <hyperlink r:id="rId330" ref="AC168"/>
    <hyperlink r:id="rId331" ref="AE168"/>
    <hyperlink r:id="rId332" ref="AC169"/>
    <hyperlink r:id="rId333" ref="AE169"/>
    <hyperlink r:id="rId334" ref="AC170"/>
    <hyperlink r:id="rId335" ref="AE170"/>
    <hyperlink r:id="rId336" ref="AC171"/>
    <hyperlink r:id="rId337" ref="AE171"/>
    <hyperlink r:id="rId338" ref="AC172"/>
    <hyperlink r:id="rId339" ref="AE172"/>
    <hyperlink r:id="rId340" ref="AC173"/>
    <hyperlink r:id="rId341" ref="AE173"/>
    <hyperlink r:id="rId342" ref="AC174"/>
    <hyperlink r:id="rId343" ref="AE174"/>
    <hyperlink r:id="rId344" ref="AC175"/>
    <hyperlink r:id="rId345" ref="AE175"/>
    <hyperlink r:id="rId346" ref="AC176"/>
    <hyperlink r:id="rId347" ref="AE176"/>
    <hyperlink r:id="rId348" ref="AC177"/>
    <hyperlink r:id="rId349" ref="AE177"/>
    <hyperlink r:id="rId350" ref="AC178"/>
    <hyperlink r:id="rId351" ref="AE178"/>
    <hyperlink r:id="rId352" ref="AC179"/>
    <hyperlink r:id="rId353" ref="AE179"/>
    <hyperlink r:id="rId354" ref="AC180"/>
    <hyperlink r:id="rId355" ref="AE180"/>
    <hyperlink r:id="rId356" ref="AC181"/>
    <hyperlink r:id="rId357" ref="AE181"/>
    <hyperlink r:id="rId358" ref="AC182"/>
    <hyperlink r:id="rId359" ref="AE182"/>
    <hyperlink r:id="rId360" ref="AC183"/>
    <hyperlink r:id="rId361" ref="AE183"/>
    <hyperlink r:id="rId362" ref="AC184"/>
    <hyperlink r:id="rId363" ref="AE184"/>
    <hyperlink r:id="rId364" ref="AC185"/>
    <hyperlink r:id="rId365" ref="AE185"/>
    <hyperlink r:id="rId366" ref="AC186"/>
    <hyperlink r:id="rId367" ref="AE186"/>
    <hyperlink r:id="rId368" ref="AC187"/>
    <hyperlink r:id="rId369" ref="AE187"/>
    <hyperlink r:id="rId370" ref="AC188"/>
    <hyperlink r:id="rId371" ref="AE188"/>
    <hyperlink r:id="rId372" ref="AC189"/>
    <hyperlink r:id="rId373" ref="AE189"/>
    <hyperlink r:id="rId374" ref="AC190"/>
    <hyperlink r:id="rId375" ref="AE190"/>
    <hyperlink r:id="rId376" ref="AC191"/>
    <hyperlink r:id="rId377" ref="AE191"/>
    <hyperlink r:id="rId378" ref="AC192"/>
    <hyperlink r:id="rId379" ref="AE192"/>
    <hyperlink r:id="rId380" ref="AC193"/>
    <hyperlink r:id="rId381" ref="AE193"/>
    <hyperlink r:id="rId382" ref="AC194"/>
    <hyperlink r:id="rId383" ref="AE194"/>
    <hyperlink r:id="rId384" ref="AC195"/>
    <hyperlink r:id="rId385" ref="AE195"/>
    <hyperlink r:id="rId386" ref="AC196"/>
    <hyperlink r:id="rId387" ref="AE196"/>
    <hyperlink r:id="rId388" ref="AE197"/>
    <hyperlink r:id="rId389" ref="AC198"/>
    <hyperlink r:id="rId390" ref="AE198"/>
    <hyperlink r:id="rId391" ref="AC199"/>
    <hyperlink r:id="rId392" ref="AE199"/>
    <hyperlink r:id="rId393" ref="AC200"/>
    <hyperlink r:id="rId394" ref="AE200"/>
    <hyperlink r:id="rId395" ref="AC201"/>
    <hyperlink r:id="rId396" ref="AE201"/>
    <hyperlink r:id="rId397" ref="AC202"/>
    <hyperlink r:id="rId398" ref="AE202"/>
    <hyperlink r:id="rId399" ref="AC203"/>
    <hyperlink r:id="rId400" ref="AE203"/>
    <hyperlink r:id="rId401" ref="AC204"/>
    <hyperlink r:id="rId402" ref="AE204"/>
    <hyperlink r:id="rId403" ref="AC205"/>
    <hyperlink r:id="rId404" ref="AE205"/>
    <hyperlink r:id="rId405" ref="AC206"/>
    <hyperlink r:id="rId406" ref="AE206"/>
    <hyperlink r:id="rId407" ref="AC207"/>
    <hyperlink r:id="rId408" ref="AE207"/>
    <hyperlink r:id="rId409" ref="AC208"/>
    <hyperlink r:id="rId410" ref="AE208"/>
    <hyperlink r:id="rId411" ref="AC209"/>
    <hyperlink r:id="rId412" ref="AE209"/>
    <hyperlink r:id="rId413" ref="AC210"/>
    <hyperlink r:id="rId414" ref="AE210"/>
    <hyperlink r:id="rId415" ref="AC211"/>
    <hyperlink r:id="rId416" ref="AE211"/>
    <hyperlink r:id="rId417" ref="AC212"/>
    <hyperlink r:id="rId418" ref="AE212"/>
    <hyperlink r:id="rId419" ref="AC213"/>
    <hyperlink r:id="rId420" ref="AE213"/>
    <hyperlink r:id="rId421" ref="AC214"/>
    <hyperlink r:id="rId422" ref="AE214"/>
    <hyperlink r:id="rId423" ref="AE215"/>
    <hyperlink r:id="rId424" ref="AC216"/>
    <hyperlink r:id="rId425" ref="AE216"/>
    <hyperlink r:id="rId426" ref="AC217"/>
    <hyperlink r:id="rId427" ref="AE217"/>
    <hyperlink r:id="rId428" ref="AC218"/>
    <hyperlink r:id="rId429" ref="AE218"/>
    <hyperlink r:id="rId430" ref="AC219"/>
    <hyperlink r:id="rId431" ref="AE219"/>
    <hyperlink r:id="rId432" ref="AC220"/>
    <hyperlink r:id="rId433" ref="AE220"/>
    <hyperlink r:id="rId434" ref="AC221"/>
    <hyperlink r:id="rId435" ref="AE221"/>
    <hyperlink r:id="rId436" ref="AC222"/>
    <hyperlink r:id="rId437" ref="AE222"/>
    <hyperlink r:id="rId438" ref="AC223"/>
    <hyperlink r:id="rId439" ref="AE223"/>
    <hyperlink r:id="rId440" ref="AC224"/>
    <hyperlink r:id="rId441" ref="AE224"/>
    <hyperlink r:id="rId442" ref="AC225"/>
    <hyperlink r:id="rId443" ref="AE225"/>
    <hyperlink r:id="rId444" ref="AC226"/>
    <hyperlink r:id="rId445" ref="AE226"/>
    <hyperlink r:id="rId446" ref="AC227"/>
    <hyperlink r:id="rId447" ref="AE227"/>
    <hyperlink r:id="rId448" ref="AC228"/>
    <hyperlink r:id="rId449" ref="AE228"/>
    <hyperlink r:id="rId450" ref="AC229"/>
    <hyperlink r:id="rId451" ref="AE229"/>
    <hyperlink r:id="rId452" ref="AC230"/>
    <hyperlink r:id="rId453" ref="AE230"/>
    <hyperlink r:id="rId454" ref="AC231"/>
    <hyperlink r:id="rId455" ref="AE231"/>
    <hyperlink r:id="rId456" ref="AC232"/>
    <hyperlink r:id="rId457" ref="AE232"/>
    <hyperlink r:id="rId458" ref="AC233"/>
    <hyperlink r:id="rId459" ref="AE233"/>
    <hyperlink r:id="rId460" ref="AC234"/>
    <hyperlink r:id="rId461" ref="AE234"/>
    <hyperlink r:id="rId462" ref="AC235"/>
    <hyperlink r:id="rId463" ref="AE235"/>
    <hyperlink r:id="rId464" ref="AC236"/>
    <hyperlink r:id="rId465" ref="AE236"/>
    <hyperlink r:id="rId466" ref="AC237"/>
    <hyperlink r:id="rId467" ref="AE237"/>
    <hyperlink r:id="rId468" ref="AC238"/>
    <hyperlink r:id="rId469" ref="AE238"/>
    <hyperlink r:id="rId470" ref="AC239"/>
    <hyperlink r:id="rId471" ref="AE239"/>
    <hyperlink r:id="rId472" ref="AC240"/>
    <hyperlink r:id="rId473" ref="AE240"/>
    <hyperlink r:id="rId474" ref="AC241"/>
    <hyperlink r:id="rId475" ref="AE241"/>
    <hyperlink r:id="rId476" ref="AC242"/>
    <hyperlink r:id="rId477" ref="AE242"/>
    <hyperlink r:id="rId478" ref="AC243"/>
    <hyperlink r:id="rId479" ref="AE243"/>
    <hyperlink r:id="rId480" ref="AC244"/>
    <hyperlink r:id="rId481" ref="AE244"/>
    <hyperlink r:id="rId482" ref="AC245"/>
    <hyperlink r:id="rId483" ref="AE245"/>
    <hyperlink r:id="rId484" ref="AC246"/>
    <hyperlink r:id="rId485" ref="AE246"/>
    <hyperlink r:id="rId486" ref="AC247"/>
    <hyperlink r:id="rId487" ref="AE247"/>
    <hyperlink r:id="rId488" ref="AC248"/>
    <hyperlink r:id="rId489" ref="AE248"/>
    <hyperlink r:id="rId490" ref="AC249"/>
    <hyperlink r:id="rId491" ref="AE249"/>
    <hyperlink r:id="rId492" ref="AC250"/>
    <hyperlink r:id="rId493" ref="AE250"/>
    <hyperlink r:id="rId494" ref="AC251"/>
    <hyperlink r:id="rId495" ref="AE251"/>
    <hyperlink r:id="rId496" ref="AC252"/>
    <hyperlink r:id="rId497" ref="AE252"/>
    <hyperlink r:id="rId498" ref="AC253"/>
    <hyperlink r:id="rId499" ref="AE253"/>
    <hyperlink r:id="rId500" ref="AC254"/>
    <hyperlink r:id="rId501" ref="AE254"/>
    <hyperlink r:id="rId502" ref="AC255"/>
    <hyperlink r:id="rId503" ref="AE255"/>
    <hyperlink r:id="rId504" ref="AC256"/>
    <hyperlink r:id="rId505" ref="AE256"/>
    <hyperlink r:id="rId506" ref="AC257"/>
    <hyperlink r:id="rId507" ref="AE257"/>
    <hyperlink r:id="rId508" ref="AC258"/>
    <hyperlink r:id="rId509" ref="AE258"/>
    <hyperlink r:id="rId510" ref="AC259"/>
    <hyperlink r:id="rId511" ref="AE259"/>
    <hyperlink r:id="rId512" ref="AC260"/>
    <hyperlink r:id="rId513" ref="AE260"/>
    <hyperlink r:id="rId514" ref="AC261"/>
    <hyperlink r:id="rId515" ref="AE261"/>
    <hyperlink r:id="rId516" ref="AC262"/>
    <hyperlink r:id="rId517" ref="AE262"/>
    <hyperlink r:id="rId518" ref="AC263"/>
    <hyperlink r:id="rId519" ref="AE263"/>
    <hyperlink r:id="rId520" ref="AC264"/>
    <hyperlink r:id="rId521" ref="AE264"/>
    <hyperlink r:id="rId522" ref="AC265"/>
    <hyperlink r:id="rId523" ref="AE265"/>
    <hyperlink r:id="rId524" ref="AC266"/>
    <hyperlink r:id="rId525" ref="AE266"/>
    <hyperlink r:id="rId526" ref="AC267"/>
    <hyperlink r:id="rId527" ref="AE267"/>
    <hyperlink r:id="rId528" ref="AC268"/>
    <hyperlink r:id="rId529" ref="AE268"/>
    <hyperlink r:id="rId530" ref="AC269"/>
    <hyperlink r:id="rId531" ref="AE269"/>
    <hyperlink r:id="rId532" ref="AC270"/>
    <hyperlink r:id="rId533" ref="AE270"/>
    <hyperlink r:id="rId534" ref="AC272"/>
    <hyperlink r:id="rId535" ref="AE272"/>
    <hyperlink r:id="rId536" ref="AC273"/>
    <hyperlink r:id="rId537" ref="AE273"/>
    <hyperlink r:id="rId538" ref="AC274"/>
    <hyperlink r:id="rId539" ref="AE274"/>
    <hyperlink r:id="rId540" ref="AC275"/>
    <hyperlink r:id="rId541" ref="AE275"/>
    <hyperlink r:id="rId542" ref="AC276"/>
    <hyperlink r:id="rId543" ref="AE276"/>
    <hyperlink r:id="rId544" ref="AC277"/>
    <hyperlink r:id="rId545" ref="AE277"/>
    <hyperlink r:id="rId546" ref="AC278"/>
    <hyperlink r:id="rId547" ref="AE278"/>
    <hyperlink r:id="rId548" ref="AC279"/>
    <hyperlink r:id="rId549" ref="AE279"/>
    <hyperlink r:id="rId550" ref="AC280"/>
    <hyperlink r:id="rId551" ref="AE280"/>
    <hyperlink r:id="rId552" ref="AC281"/>
    <hyperlink r:id="rId553" ref="AE281"/>
    <hyperlink r:id="rId554" ref="AC282"/>
    <hyperlink r:id="rId555" ref="AE282"/>
    <hyperlink r:id="rId556" ref="AC283"/>
    <hyperlink r:id="rId557" ref="AE283"/>
    <hyperlink r:id="rId558" ref="AC284"/>
    <hyperlink r:id="rId559" ref="AE284"/>
    <hyperlink r:id="rId560" ref="AC285"/>
    <hyperlink r:id="rId561" ref="AE285"/>
    <hyperlink r:id="rId562" ref="AC286"/>
    <hyperlink r:id="rId563" ref="AE286"/>
    <hyperlink r:id="rId564" ref="AC287"/>
    <hyperlink r:id="rId565" ref="AE287"/>
    <hyperlink r:id="rId566" ref="AC288"/>
    <hyperlink r:id="rId567" ref="AE288"/>
    <hyperlink r:id="rId568" ref="AC289"/>
    <hyperlink r:id="rId569" ref="AE289"/>
    <hyperlink r:id="rId570" ref="AC290"/>
    <hyperlink r:id="rId571" ref="AE290"/>
    <hyperlink r:id="rId572" ref="AC291"/>
    <hyperlink r:id="rId573" ref="AE291"/>
    <hyperlink r:id="rId574" ref="AC292"/>
    <hyperlink r:id="rId575" ref="AE292"/>
    <hyperlink r:id="rId576" ref="AC293"/>
    <hyperlink r:id="rId577" ref="AE293"/>
    <hyperlink r:id="rId578" ref="AC294"/>
    <hyperlink r:id="rId579" ref="AE294"/>
    <hyperlink r:id="rId580" ref="AC295"/>
    <hyperlink r:id="rId581" ref="AE295"/>
    <hyperlink r:id="rId582" ref="AC297"/>
    <hyperlink r:id="rId583" ref="AE297"/>
    <hyperlink r:id="rId584" ref="AC298"/>
    <hyperlink r:id="rId585" ref="AE298"/>
    <hyperlink r:id="rId586" ref="AC299"/>
    <hyperlink r:id="rId587" ref="AE299"/>
    <hyperlink r:id="rId588" ref="AC300"/>
    <hyperlink r:id="rId589" ref="AE300"/>
    <hyperlink r:id="rId590" ref="AC301"/>
    <hyperlink r:id="rId591" ref="AE301"/>
    <hyperlink r:id="rId592" ref="AC302"/>
    <hyperlink r:id="rId593" ref="AE302"/>
    <hyperlink r:id="rId594" ref="D303"/>
    <hyperlink r:id="rId595" ref="AC303"/>
    <hyperlink r:id="rId596" ref="AE303"/>
    <hyperlink r:id="rId597" ref="AC304"/>
    <hyperlink r:id="rId598" ref="AE304"/>
    <hyperlink r:id="rId599" ref="AC305"/>
    <hyperlink r:id="rId600" ref="AE305"/>
    <hyperlink r:id="rId601" ref="AC306"/>
    <hyperlink r:id="rId602" ref="AE306"/>
    <hyperlink r:id="rId603" ref="AC307"/>
    <hyperlink r:id="rId604" ref="AE307"/>
    <hyperlink r:id="rId605" ref="AC308"/>
    <hyperlink r:id="rId606" ref="AE308"/>
    <hyperlink r:id="rId607" ref="AC309"/>
    <hyperlink r:id="rId608" ref="AE309"/>
    <hyperlink r:id="rId609" ref="AC310"/>
    <hyperlink r:id="rId610" ref="AE310"/>
    <hyperlink r:id="rId611" ref="AC311"/>
    <hyperlink r:id="rId612" ref="AE311"/>
    <hyperlink r:id="rId613" ref="AC312"/>
    <hyperlink r:id="rId614" ref="AE312"/>
    <hyperlink r:id="rId615" ref="AC313"/>
    <hyperlink r:id="rId616" ref="AE313"/>
    <hyperlink r:id="rId617" ref="AC314"/>
    <hyperlink r:id="rId618" ref="AE314"/>
    <hyperlink r:id="rId619" ref="AC315"/>
    <hyperlink r:id="rId620" ref="AE315"/>
    <hyperlink r:id="rId621" ref="AC316"/>
    <hyperlink r:id="rId622" ref="AE316"/>
    <hyperlink r:id="rId623" ref="AC317"/>
    <hyperlink r:id="rId624" ref="AE317"/>
    <hyperlink r:id="rId625" ref="AC318"/>
    <hyperlink r:id="rId626" ref="AE318"/>
    <hyperlink r:id="rId627" ref="AC319"/>
    <hyperlink r:id="rId628" ref="AE319"/>
    <hyperlink r:id="rId629" ref="AC320"/>
    <hyperlink r:id="rId630" ref="AE320"/>
    <hyperlink r:id="rId631" ref="AC321"/>
    <hyperlink r:id="rId632" ref="AE321"/>
    <hyperlink r:id="rId633" ref="AC322"/>
    <hyperlink r:id="rId634" ref="AE322"/>
    <hyperlink r:id="rId635" ref="AC323"/>
    <hyperlink r:id="rId636" ref="AE323"/>
    <hyperlink r:id="rId637" ref="AC324"/>
    <hyperlink r:id="rId638" ref="AE324"/>
    <hyperlink r:id="rId639" ref="AC325"/>
    <hyperlink r:id="rId640" ref="AE325"/>
    <hyperlink r:id="rId641" ref="AC326"/>
    <hyperlink r:id="rId642" ref="AE326"/>
    <hyperlink r:id="rId643" ref="AC327"/>
    <hyperlink r:id="rId644" ref="AE327"/>
    <hyperlink r:id="rId645" ref="AC328"/>
    <hyperlink r:id="rId646" ref="AE328"/>
    <hyperlink r:id="rId647" ref="AC329"/>
    <hyperlink r:id="rId648" ref="AE329"/>
    <hyperlink r:id="rId649" ref="AC330"/>
    <hyperlink r:id="rId650" ref="AE330"/>
    <hyperlink r:id="rId651" ref="AC331"/>
    <hyperlink r:id="rId652" ref="AE331"/>
    <hyperlink r:id="rId653" ref="AC332"/>
    <hyperlink r:id="rId654" ref="AE332"/>
    <hyperlink r:id="rId655" ref="AC333"/>
    <hyperlink r:id="rId656" ref="AE333"/>
    <hyperlink r:id="rId657" ref="AC334"/>
    <hyperlink r:id="rId658" ref="AE334"/>
    <hyperlink r:id="rId659" ref="AC335"/>
    <hyperlink r:id="rId660" ref="AE335"/>
    <hyperlink r:id="rId661" ref="AC336"/>
    <hyperlink r:id="rId662" ref="AE336"/>
    <hyperlink r:id="rId663" ref="AC337"/>
    <hyperlink r:id="rId664" ref="AE337"/>
    <hyperlink r:id="rId665" ref="AC338"/>
    <hyperlink r:id="rId666" ref="AE338"/>
    <hyperlink r:id="rId667" ref="AC339"/>
    <hyperlink r:id="rId668" ref="AE339"/>
    <hyperlink r:id="rId669" ref="AC340"/>
    <hyperlink r:id="rId670" ref="AE340"/>
    <hyperlink r:id="rId671" ref="AC341"/>
    <hyperlink r:id="rId672" ref="AE341"/>
    <hyperlink r:id="rId673" ref="AC342"/>
    <hyperlink r:id="rId674" ref="AE342"/>
    <hyperlink r:id="rId675" ref="AC343"/>
    <hyperlink r:id="rId676" ref="AE343"/>
    <hyperlink r:id="rId677" ref="AC344"/>
    <hyperlink r:id="rId678" ref="AE344"/>
    <hyperlink r:id="rId679" ref="AC345"/>
    <hyperlink r:id="rId680" ref="AE345"/>
    <hyperlink r:id="rId681" ref="AC346"/>
    <hyperlink r:id="rId682" ref="AE346"/>
    <hyperlink r:id="rId683" ref="AC347"/>
    <hyperlink r:id="rId684" ref="AE347"/>
    <hyperlink r:id="rId685" ref="AC348"/>
    <hyperlink r:id="rId686" ref="AE348"/>
    <hyperlink r:id="rId687" ref="AC349"/>
    <hyperlink r:id="rId688" ref="AE349"/>
    <hyperlink r:id="rId689" ref="AC350"/>
    <hyperlink r:id="rId690" ref="AE350"/>
    <hyperlink r:id="rId691" ref="AC351"/>
    <hyperlink r:id="rId692" ref="AE351"/>
    <hyperlink r:id="rId693" ref="AC352"/>
    <hyperlink r:id="rId694" ref="AE352"/>
    <hyperlink r:id="rId695" ref="AC353"/>
    <hyperlink r:id="rId696" ref="AE353"/>
    <hyperlink r:id="rId697" ref="AC354"/>
    <hyperlink r:id="rId698" ref="AE354"/>
    <hyperlink r:id="rId699" ref="AC355"/>
    <hyperlink r:id="rId700" ref="AE355"/>
    <hyperlink r:id="rId701" ref="AC356"/>
    <hyperlink r:id="rId702" ref="AE356"/>
    <hyperlink r:id="rId703" ref="AC357"/>
    <hyperlink r:id="rId704" ref="AE357"/>
    <hyperlink r:id="rId705" ref="AC358"/>
    <hyperlink r:id="rId706" ref="AE358"/>
    <hyperlink r:id="rId707" ref="AC359"/>
    <hyperlink r:id="rId708" ref="AE359"/>
    <hyperlink r:id="rId709" ref="AC360"/>
    <hyperlink r:id="rId710" ref="AE360"/>
    <hyperlink r:id="rId711" ref="AC361"/>
    <hyperlink r:id="rId712" ref="AE361"/>
    <hyperlink r:id="rId713" ref="AC362"/>
    <hyperlink r:id="rId714" ref="AE362"/>
    <hyperlink r:id="rId715" ref="AC363"/>
    <hyperlink r:id="rId716" ref="AE363"/>
    <hyperlink r:id="rId717" ref="AC364"/>
    <hyperlink r:id="rId718" ref="AE364"/>
    <hyperlink r:id="rId719" ref="AC365"/>
    <hyperlink r:id="rId720" ref="AE365"/>
    <hyperlink r:id="rId721" ref="AC366"/>
    <hyperlink r:id="rId722" ref="AE366"/>
    <hyperlink r:id="rId723" ref="AC367"/>
    <hyperlink r:id="rId724" ref="AE367"/>
    <hyperlink r:id="rId725" ref="AC368"/>
    <hyperlink r:id="rId726" ref="AE368"/>
    <hyperlink r:id="rId727" ref="AC369"/>
    <hyperlink r:id="rId728" ref="AE369"/>
    <hyperlink r:id="rId729" ref="AC370"/>
    <hyperlink r:id="rId730" ref="AE370"/>
    <hyperlink r:id="rId731" ref="AC371"/>
    <hyperlink r:id="rId732" ref="AE371"/>
    <hyperlink r:id="rId733" ref="AC372"/>
    <hyperlink r:id="rId734" ref="AE372"/>
    <hyperlink r:id="rId735" ref="AC373"/>
    <hyperlink r:id="rId736" ref="AE373"/>
    <hyperlink r:id="rId737" ref="AC374"/>
    <hyperlink r:id="rId738" ref="AE374"/>
    <hyperlink r:id="rId739" ref="AC375"/>
    <hyperlink r:id="rId740" ref="AE375"/>
    <hyperlink r:id="rId741" ref="AC376"/>
    <hyperlink r:id="rId742" ref="AE376"/>
    <hyperlink r:id="rId743" ref="AC377"/>
    <hyperlink r:id="rId744" ref="AE377"/>
    <hyperlink r:id="rId745" ref="AC378"/>
    <hyperlink r:id="rId746" ref="AE378"/>
    <hyperlink r:id="rId747" ref="AC379"/>
    <hyperlink r:id="rId748" ref="AE379"/>
    <hyperlink r:id="rId749" ref="AC380"/>
    <hyperlink r:id="rId750" ref="AE380"/>
    <hyperlink r:id="rId751" ref="AC381"/>
    <hyperlink r:id="rId752" ref="AE381"/>
    <hyperlink r:id="rId753" ref="AC382"/>
    <hyperlink r:id="rId754" ref="AE382"/>
    <hyperlink r:id="rId755" ref="AC383"/>
    <hyperlink r:id="rId756" ref="AE383"/>
    <hyperlink r:id="rId757" ref="AC384"/>
    <hyperlink r:id="rId758" ref="AE384"/>
    <hyperlink r:id="rId759" ref="AC385"/>
    <hyperlink r:id="rId760" ref="AE385"/>
    <hyperlink r:id="rId761" ref="AC386"/>
    <hyperlink r:id="rId762" ref="AE386"/>
    <hyperlink r:id="rId763" ref="AC387"/>
    <hyperlink r:id="rId764" ref="AE387"/>
    <hyperlink r:id="rId765" ref="AC388"/>
    <hyperlink r:id="rId766" ref="AE388"/>
    <hyperlink r:id="rId767" ref="AC389"/>
    <hyperlink r:id="rId768" ref="AE389"/>
    <hyperlink r:id="rId769" ref="AC390"/>
    <hyperlink r:id="rId770" ref="AE390"/>
    <hyperlink r:id="rId771" ref="AC391"/>
    <hyperlink r:id="rId772" ref="AE391"/>
    <hyperlink r:id="rId773" ref="AC392"/>
    <hyperlink r:id="rId774" ref="AE392"/>
    <hyperlink r:id="rId775" ref="AC393"/>
    <hyperlink r:id="rId776" ref="AE393"/>
    <hyperlink r:id="rId777" ref="AC394"/>
    <hyperlink r:id="rId778" ref="AE394"/>
    <hyperlink r:id="rId779" ref="AC395"/>
    <hyperlink r:id="rId780" ref="AE395"/>
    <hyperlink r:id="rId781" ref="AC396"/>
    <hyperlink r:id="rId782" ref="AE396"/>
    <hyperlink r:id="rId783" ref="AC397"/>
    <hyperlink r:id="rId784" ref="AE397"/>
    <hyperlink r:id="rId785" ref="AC398"/>
    <hyperlink r:id="rId786" ref="AE398"/>
    <hyperlink r:id="rId787" ref="AC399"/>
    <hyperlink r:id="rId788" ref="AE399"/>
    <hyperlink r:id="rId789" ref="AC400"/>
    <hyperlink r:id="rId790" ref="AE400"/>
    <hyperlink r:id="rId791" ref="AC401"/>
    <hyperlink r:id="rId792" ref="AE401"/>
    <hyperlink r:id="rId793" ref="AC402"/>
    <hyperlink r:id="rId794" ref="AE402"/>
    <hyperlink r:id="rId795" ref="AC403"/>
    <hyperlink r:id="rId796" ref="AE403"/>
    <hyperlink r:id="rId797" ref="AC404"/>
    <hyperlink r:id="rId798" ref="AE404"/>
    <hyperlink r:id="rId799" ref="AC405"/>
    <hyperlink r:id="rId800" ref="AE405"/>
    <hyperlink r:id="rId801" ref="AC406"/>
    <hyperlink r:id="rId802" ref="AE406"/>
    <hyperlink r:id="rId803" ref="AC407"/>
    <hyperlink r:id="rId804" ref="AE407"/>
    <hyperlink r:id="rId805" ref="AC408"/>
    <hyperlink r:id="rId806" ref="AE408"/>
    <hyperlink r:id="rId807" ref="AC409"/>
    <hyperlink r:id="rId808" ref="AE409"/>
    <hyperlink r:id="rId809" ref="AC410"/>
    <hyperlink r:id="rId810" ref="AE410"/>
    <hyperlink r:id="rId811" ref="AC411"/>
    <hyperlink r:id="rId812" ref="AE411"/>
    <hyperlink r:id="rId813" ref="AC412"/>
    <hyperlink r:id="rId814" ref="AE412"/>
    <hyperlink r:id="rId815" ref="AC413"/>
    <hyperlink r:id="rId816" ref="AE413"/>
    <hyperlink r:id="rId817" ref="AC414"/>
    <hyperlink r:id="rId818" ref="AE414"/>
    <hyperlink r:id="rId819" ref="AC415"/>
    <hyperlink r:id="rId820" ref="AE415"/>
    <hyperlink r:id="rId821" ref="AC416"/>
    <hyperlink r:id="rId822" ref="AE416"/>
    <hyperlink r:id="rId823" ref="AC417"/>
    <hyperlink r:id="rId824" ref="AE417"/>
    <hyperlink r:id="rId825" ref="AC418"/>
    <hyperlink r:id="rId826" ref="AE418"/>
    <hyperlink r:id="rId827" ref="AC419"/>
    <hyperlink r:id="rId828" ref="AE419"/>
    <hyperlink r:id="rId829" ref="AC420"/>
    <hyperlink r:id="rId830" ref="AE420"/>
    <hyperlink r:id="rId831" ref="AC421"/>
    <hyperlink r:id="rId832" ref="AE421"/>
    <hyperlink r:id="rId833" ref="AC422"/>
    <hyperlink r:id="rId834" ref="AE422"/>
    <hyperlink r:id="rId835" ref="AC423"/>
    <hyperlink r:id="rId836" ref="AE423"/>
    <hyperlink r:id="rId837" ref="AC424"/>
    <hyperlink r:id="rId838" ref="AE424"/>
    <hyperlink r:id="rId839" ref="AC425"/>
    <hyperlink r:id="rId840" ref="AE425"/>
    <hyperlink r:id="rId841" ref="AC426"/>
    <hyperlink r:id="rId842" ref="AE426"/>
    <hyperlink r:id="rId843" ref="AC427"/>
    <hyperlink r:id="rId844" ref="AE427"/>
    <hyperlink r:id="rId845" ref="AC428"/>
    <hyperlink r:id="rId846" ref="AE428"/>
    <hyperlink r:id="rId847" ref="AC429"/>
    <hyperlink r:id="rId848" ref="AE429"/>
    <hyperlink r:id="rId849" ref="AC430"/>
    <hyperlink r:id="rId850" ref="AE430"/>
    <hyperlink r:id="rId851" ref="AC431"/>
    <hyperlink r:id="rId852" ref="AE431"/>
    <hyperlink r:id="rId853" ref="AC432"/>
    <hyperlink r:id="rId854" ref="AE432"/>
    <hyperlink r:id="rId855" ref="AC433"/>
    <hyperlink r:id="rId856" ref="AE433"/>
    <hyperlink r:id="rId857" ref="AC434"/>
    <hyperlink r:id="rId858" ref="AE434"/>
    <hyperlink r:id="rId859" ref="AC435"/>
    <hyperlink r:id="rId860" ref="AE435"/>
    <hyperlink r:id="rId861" ref="AC436"/>
    <hyperlink r:id="rId862" ref="AE436"/>
    <hyperlink r:id="rId863" ref="AC437"/>
    <hyperlink r:id="rId864" ref="AE437"/>
    <hyperlink r:id="rId865" ref="AC438"/>
    <hyperlink r:id="rId866" ref="AE438"/>
    <hyperlink r:id="rId867" ref="AC439"/>
    <hyperlink r:id="rId868" ref="AE439"/>
    <hyperlink r:id="rId869" ref="AC440"/>
    <hyperlink r:id="rId870" ref="AE440"/>
    <hyperlink r:id="rId871" ref="AC441"/>
    <hyperlink r:id="rId872" ref="AE441"/>
    <hyperlink r:id="rId873" ref="AC442"/>
    <hyperlink r:id="rId874" ref="AE442"/>
    <hyperlink r:id="rId875" ref="AC443"/>
    <hyperlink r:id="rId876" ref="AE443"/>
    <hyperlink r:id="rId877" ref="AC444"/>
    <hyperlink r:id="rId878" ref="AE444"/>
    <hyperlink r:id="rId879" ref="AC445"/>
    <hyperlink r:id="rId880" ref="AE445"/>
    <hyperlink r:id="rId881" ref="AC446"/>
    <hyperlink r:id="rId882" ref="AE446"/>
    <hyperlink r:id="rId883" ref="AC447"/>
    <hyperlink r:id="rId884" ref="AE447"/>
    <hyperlink r:id="rId885" ref="AC448"/>
    <hyperlink r:id="rId886" ref="AE448"/>
    <hyperlink r:id="rId887" ref="AC449"/>
    <hyperlink r:id="rId888" ref="AE449"/>
    <hyperlink r:id="rId889" ref="AC450"/>
    <hyperlink r:id="rId890" ref="AE450"/>
    <hyperlink r:id="rId891" ref="AC451"/>
    <hyperlink r:id="rId892" ref="AE451"/>
    <hyperlink r:id="rId893" ref="AC452"/>
    <hyperlink r:id="rId894" ref="AE452"/>
    <hyperlink r:id="rId895" ref="AC453"/>
    <hyperlink r:id="rId896" ref="AE453"/>
    <hyperlink r:id="rId897" ref="AC454"/>
    <hyperlink r:id="rId898" ref="AE454"/>
    <hyperlink r:id="rId899" ref="AC455"/>
    <hyperlink r:id="rId900" ref="AE455"/>
    <hyperlink r:id="rId901" ref="AC456"/>
    <hyperlink r:id="rId902" ref="AE456"/>
    <hyperlink r:id="rId903" ref="AC457"/>
    <hyperlink r:id="rId904" ref="AE457"/>
    <hyperlink r:id="rId905" ref="AC458"/>
    <hyperlink r:id="rId906" ref="AE458"/>
    <hyperlink r:id="rId907" ref="AC459"/>
    <hyperlink r:id="rId908" ref="AE459"/>
    <hyperlink r:id="rId909" ref="AC460"/>
    <hyperlink r:id="rId910" ref="AE460"/>
    <hyperlink r:id="rId911" ref="AC461"/>
    <hyperlink r:id="rId912" ref="AE461"/>
    <hyperlink r:id="rId913" ref="AC462"/>
    <hyperlink r:id="rId914" ref="AE462"/>
    <hyperlink r:id="rId915" ref="AC463"/>
    <hyperlink r:id="rId916" ref="AE463"/>
    <hyperlink r:id="rId917" ref="AC464"/>
    <hyperlink r:id="rId918" ref="AE464"/>
    <hyperlink r:id="rId919" ref="AC465"/>
    <hyperlink r:id="rId920" ref="AE465"/>
    <hyperlink r:id="rId921" ref="AC466"/>
    <hyperlink r:id="rId922" ref="AE466"/>
    <hyperlink r:id="rId923" ref="AC467"/>
    <hyperlink r:id="rId924" ref="AE467"/>
    <hyperlink r:id="rId925" ref="AC468"/>
    <hyperlink r:id="rId926" ref="AE468"/>
    <hyperlink r:id="rId927" ref="AC469"/>
    <hyperlink r:id="rId928" ref="AE469"/>
    <hyperlink r:id="rId929" ref="AC470"/>
    <hyperlink r:id="rId930" ref="AE470"/>
    <hyperlink r:id="rId931" ref="AC471"/>
    <hyperlink r:id="rId932" ref="AE471"/>
    <hyperlink r:id="rId933" ref="AC472"/>
    <hyperlink r:id="rId934" ref="AE472"/>
    <hyperlink r:id="rId935" ref="AC473"/>
    <hyperlink r:id="rId936" ref="AE473"/>
    <hyperlink r:id="rId937" ref="AC474"/>
    <hyperlink r:id="rId938" ref="AE474"/>
    <hyperlink r:id="rId939" ref="AC475"/>
    <hyperlink r:id="rId940" ref="AE475"/>
    <hyperlink r:id="rId941" ref="AC476"/>
    <hyperlink r:id="rId942" ref="AE476"/>
    <hyperlink r:id="rId943" ref="AC477"/>
    <hyperlink r:id="rId944" ref="AE477"/>
    <hyperlink r:id="rId945" ref="AC478"/>
    <hyperlink r:id="rId946" ref="AE478"/>
    <hyperlink r:id="rId947" ref="AC479"/>
    <hyperlink r:id="rId948" ref="AE479"/>
    <hyperlink r:id="rId949" ref="AC480"/>
    <hyperlink r:id="rId950" ref="AE480"/>
    <hyperlink r:id="rId951" ref="AC481"/>
    <hyperlink r:id="rId952" ref="AE481"/>
    <hyperlink r:id="rId953" ref="AC482"/>
    <hyperlink r:id="rId954" ref="AE482"/>
    <hyperlink r:id="rId955" ref="AC483"/>
    <hyperlink r:id="rId956" ref="AE483"/>
    <hyperlink r:id="rId957" ref="AC484"/>
    <hyperlink r:id="rId958" ref="AE484"/>
    <hyperlink r:id="rId959" ref="AC485"/>
    <hyperlink r:id="rId960" ref="AE485"/>
    <hyperlink r:id="rId961" ref="AC486"/>
    <hyperlink r:id="rId962" ref="AE486"/>
    <hyperlink r:id="rId963" ref="AC487"/>
    <hyperlink r:id="rId964" ref="AE487"/>
    <hyperlink r:id="rId965" ref="AC488"/>
    <hyperlink r:id="rId966" ref="AE488"/>
    <hyperlink r:id="rId967" ref="AC489"/>
    <hyperlink r:id="rId968" ref="AE489"/>
    <hyperlink r:id="rId969" ref="AC490"/>
    <hyperlink r:id="rId970" ref="AE490"/>
    <hyperlink r:id="rId971" ref="AC491"/>
    <hyperlink r:id="rId972" ref="AE491"/>
    <hyperlink r:id="rId973" ref="AC492"/>
    <hyperlink r:id="rId974" ref="AE492"/>
    <hyperlink r:id="rId975" ref="AC493"/>
    <hyperlink r:id="rId976" ref="AE493"/>
    <hyperlink r:id="rId977" ref="AC494"/>
    <hyperlink r:id="rId978" ref="AE494"/>
    <hyperlink r:id="rId979" ref="AC495"/>
    <hyperlink r:id="rId980" ref="AE495"/>
    <hyperlink r:id="rId981" ref="AC496"/>
    <hyperlink r:id="rId982" ref="AE496"/>
    <hyperlink r:id="rId983" ref="AC497"/>
    <hyperlink r:id="rId984" ref="AE497"/>
    <hyperlink r:id="rId985" ref="AC498"/>
    <hyperlink r:id="rId986" ref="AE498"/>
    <hyperlink r:id="rId987" ref="AC499"/>
    <hyperlink r:id="rId988" ref="AE499"/>
    <hyperlink r:id="rId989" ref="AC500"/>
    <hyperlink r:id="rId990" ref="AE500"/>
    <hyperlink r:id="rId991" ref="AC501"/>
    <hyperlink r:id="rId992" ref="AE501"/>
    <hyperlink r:id="rId993" ref="AC502"/>
    <hyperlink r:id="rId994" ref="AE502"/>
    <hyperlink r:id="rId995" ref="AC503"/>
    <hyperlink r:id="rId996" ref="AE503"/>
    <hyperlink r:id="rId997" ref="AC504"/>
    <hyperlink r:id="rId998" ref="AE504"/>
    <hyperlink r:id="rId999" ref="AC505"/>
    <hyperlink r:id="rId1000" ref="AE505"/>
    <hyperlink r:id="rId1001" ref="AC506"/>
    <hyperlink r:id="rId1002" ref="AE506"/>
    <hyperlink r:id="rId1003" ref="AC507"/>
    <hyperlink r:id="rId1004" ref="AE507"/>
    <hyperlink r:id="rId1005" ref="AC508"/>
    <hyperlink r:id="rId1006" ref="AE508"/>
    <hyperlink r:id="rId1007" ref="AC509"/>
    <hyperlink r:id="rId1008" ref="AE509"/>
    <hyperlink r:id="rId1009" ref="AC510"/>
    <hyperlink r:id="rId1010" ref="AE510"/>
    <hyperlink r:id="rId1011" ref="AC511"/>
    <hyperlink r:id="rId1012" ref="AE511"/>
    <hyperlink r:id="rId1013" ref="AC512"/>
    <hyperlink r:id="rId1014" ref="AE512"/>
    <hyperlink r:id="rId1015" ref="AC513"/>
    <hyperlink r:id="rId1016" ref="AE513"/>
    <hyperlink r:id="rId1017" ref="AC514"/>
    <hyperlink r:id="rId1018" ref="AE514"/>
    <hyperlink r:id="rId1019" ref="AC515"/>
    <hyperlink r:id="rId1020" ref="AE515"/>
    <hyperlink r:id="rId1021" ref="AC516"/>
    <hyperlink r:id="rId1022" ref="AE516"/>
    <hyperlink r:id="rId1023" ref="AC517"/>
    <hyperlink r:id="rId1024" ref="AE517"/>
    <hyperlink r:id="rId1025" ref="AC518"/>
    <hyperlink r:id="rId1026" ref="AE518"/>
    <hyperlink r:id="rId1027" ref="AC519"/>
    <hyperlink r:id="rId1028" ref="AE519"/>
    <hyperlink r:id="rId1029" ref="AC520"/>
    <hyperlink r:id="rId1030" ref="AE520"/>
    <hyperlink r:id="rId1031" ref="AC521"/>
    <hyperlink r:id="rId1032" ref="AE521"/>
    <hyperlink r:id="rId1033" ref="AC522"/>
    <hyperlink r:id="rId1034" ref="AE522"/>
    <hyperlink r:id="rId1035" ref="AC523"/>
    <hyperlink r:id="rId1036" ref="AE523"/>
    <hyperlink r:id="rId1037" ref="AC524"/>
    <hyperlink r:id="rId1038" ref="AE524"/>
    <hyperlink r:id="rId1039" ref="AC525"/>
    <hyperlink r:id="rId1040" ref="AE525"/>
    <hyperlink r:id="rId1041" ref="AC526"/>
    <hyperlink r:id="rId1042" ref="AE526"/>
    <hyperlink r:id="rId1043" ref="AC527"/>
    <hyperlink r:id="rId1044" ref="AE527"/>
    <hyperlink r:id="rId1045" ref="AC528"/>
    <hyperlink r:id="rId1046" ref="AE528"/>
    <hyperlink r:id="rId1047" ref="AC529"/>
    <hyperlink r:id="rId1048" ref="AE529"/>
    <hyperlink r:id="rId1049" ref="AC530"/>
    <hyperlink r:id="rId1050" ref="AE530"/>
    <hyperlink r:id="rId1051" ref="AC531"/>
    <hyperlink r:id="rId1052" ref="AE531"/>
    <hyperlink r:id="rId1053" ref="AC532"/>
    <hyperlink r:id="rId1054" ref="AE532"/>
    <hyperlink r:id="rId1055" ref="AC533"/>
    <hyperlink r:id="rId1056" ref="AE533"/>
    <hyperlink r:id="rId1057" ref="AC534"/>
    <hyperlink r:id="rId1058" ref="AE534"/>
    <hyperlink r:id="rId1059" ref="AC535"/>
    <hyperlink r:id="rId1060" ref="AE535"/>
    <hyperlink r:id="rId1061" ref="AC536"/>
    <hyperlink r:id="rId1062" ref="AE536"/>
    <hyperlink r:id="rId1063" ref="AC537"/>
    <hyperlink r:id="rId1064" ref="AE537"/>
    <hyperlink r:id="rId1065" ref="AC538"/>
    <hyperlink r:id="rId1066" ref="AE538"/>
    <hyperlink r:id="rId1067" ref="AC539"/>
    <hyperlink r:id="rId1068" ref="AE539"/>
    <hyperlink r:id="rId1069" ref="AC540"/>
    <hyperlink r:id="rId1070" ref="AE540"/>
    <hyperlink r:id="rId1071" ref="AC541"/>
    <hyperlink r:id="rId1072" ref="AE541"/>
    <hyperlink r:id="rId1073" ref="AC542"/>
    <hyperlink r:id="rId1074" ref="AE542"/>
    <hyperlink r:id="rId1075" ref="AC543"/>
    <hyperlink r:id="rId1076" ref="AE543"/>
    <hyperlink r:id="rId1077" ref="AC544"/>
    <hyperlink r:id="rId1078" ref="AE544"/>
    <hyperlink r:id="rId1079" ref="AC545"/>
    <hyperlink r:id="rId1080" ref="AE545"/>
    <hyperlink r:id="rId1081" ref="AC546"/>
    <hyperlink r:id="rId1082" ref="AE546"/>
    <hyperlink r:id="rId1083" ref="AC547"/>
    <hyperlink r:id="rId1084" ref="AE547"/>
    <hyperlink r:id="rId1085" ref="AC548"/>
    <hyperlink r:id="rId1086" ref="AE548"/>
    <hyperlink r:id="rId1087" ref="AC549"/>
    <hyperlink r:id="rId1088" ref="AE549"/>
    <hyperlink r:id="rId1089" ref="AC550"/>
    <hyperlink r:id="rId1090" ref="AE550"/>
    <hyperlink r:id="rId1091" ref="AC551"/>
    <hyperlink r:id="rId1092" ref="AE551"/>
    <hyperlink r:id="rId1093" ref="AC552"/>
    <hyperlink r:id="rId1094" ref="AE552"/>
    <hyperlink r:id="rId1095" ref="AC553"/>
    <hyperlink r:id="rId1096" ref="AE553"/>
    <hyperlink r:id="rId1097" ref="AC554"/>
    <hyperlink r:id="rId1098" ref="AE554"/>
    <hyperlink r:id="rId1099" ref="AC555"/>
    <hyperlink r:id="rId1100" ref="AE555"/>
    <hyperlink r:id="rId1101" ref="AC556"/>
    <hyperlink r:id="rId1102" ref="AE556"/>
    <hyperlink r:id="rId1103" ref="AC557"/>
    <hyperlink r:id="rId1104" ref="AE557"/>
    <hyperlink r:id="rId1105" ref="AC558"/>
    <hyperlink r:id="rId1106" ref="AE558"/>
    <hyperlink r:id="rId1107" ref="AC559"/>
    <hyperlink r:id="rId1108" ref="AE559"/>
    <hyperlink r:id="rId1109" ref="AC560"/>
    <hyperlink r:id="rId1110" ref="AE560"/>
    <hyperlink r:id="rId1111" ref="AC561"/>
    <hyperlink r:id="rId1112" ref="AE561"/>
    <hyperlink r:id="rId1113" ref="AC562"/>
    <hyperlink r:id="rId1114" ref="AE562"/>
    <hyperlink r:id="rId1115" ref="AC563"/>
    <hyperlink r:id="rId1116" ref="AE563"/>
    <hyperlink r:id="rId1117" ref="AC564"/>
    <hyperlink r:id="rId1118" ref="AE564"/>
    <hyperlink r:id="rId1119" ref="AC565"/>
    <hyperlink r:id="rId1120" ref="AE565"/>
    <hyperlink r:id="rId1121" ref="AC566"/>
    <hyperlink r:id="rId1122" ref="AE566"/>
    <hyperlink r:id="rId1123" ref="AC567"/>
    <hyperlink r:id="rId1124" ref="AE567"/>
    <hyperlink r:id="rId1125" ref="AC568"/>
    <hyperlink r:id="rId1126" ref="AE568"/>
    <hyperlink r:id="rId1127" ref="AC569"/>
    <hyperlink r:id="rId1128" ref="AE569"/>
    <hyperlink r:id="rId1129" ref="AC570"/>
    <hyperlink r:id="rId1130" ref="AE570"/>
    <hyperlink r:id="rId1131" ref="AC571"/>
    <hyperlink r:id="rId1132" ref="AE571"/>
    <hyperlink r:id="rId1133" ref="AC572"/>
    <hyperlink r:id="rId1134" ref="AE572"/>
    <hyperlink r:id="rId1135" ref="AC573"/>
    <hyperlink r:id="rId1136" ref="AE573"/>
    <hyperlink r:id="rId1137" ref="AC574"/>
    <hyperlink r:id="rId1138" ref="AE574"/>
    <hyperlink r:id="rId1139" ref="AC575"/>
    <hyperlink r:id="rId1140" ref="AE575"/>
    <hyperlink r:id="rId1141" ref="AC576"/>
    <hyperlink r:id="rId1142" ref="AE576"/>
    <hyperlink r:id="rId1143" ref="AC577"/>
    <hyperlink r:id="rId1144" ref="AE577"/>
    <hyperlink r:id="rId1145" ref="AC578"/>
    <hyperlink r:id="rId1146" ref="AE578"/>
    <hyperlink r:id="rId1147" ref="AC579"/>
    <hyperlink r:id="rId1148" ref="AE579"/>
    <hyperlink r:id="rId1149" ref="AC580"/>
    <hyperlink r:id="rId1150" ref="AE580"/>
    <hyperlink r:id="rId1151" ref="AC581"/>
    <hyperlink r:id="rId1152" ref="AE581"/>
    <hyperlink r:id="rId1153" ref="AC582"/>
    <hyperlink r:id="rId1154" ref="AC583"/>
    <hyperlink r:id="rId1155" ref="AC584"/>
    <hyperlink r:id="rId1156" ref="AC585"/>
    <hyperlink r:id="rId1157" ref="AC586"/>
    <hyperlink r:id="rId1158" ref="AC587"/>
    <hyperlink r:id="rId1159" ref="AC588"/>
    <hyperlink r:id="rId1160" ref="AC589"/>
    <hyperlink r:id="rId1161" ref="AC590"/>
    <hyperlink r:id="rId1162" ref="AC591"/>
    <hyperlink r:id="rId1163" ref="AC592"/>
    <hyperlink r:id="rId1164" ref="AC593"/>
    <hyperlink r:id="rId1165" ref="AC594"/>
    <hyperlink r:id="rId1166" ref="AC595"/>
    <hyperlink r:id="rId1167" ref="AC596"/>
    <hyperlink r:id="rId1168" ref="AC597"/>
    <hyperlink r:id="rId1169" ref="AC598"/>
    <hyperlink r:id="rId1170" ref="AC599"/>
    <hyperlink r:id="rId1171" ref="AC600"/>
    <hyperlink r:id="rId1172" ref="AC601"/>
    <hyperlink r:id="rId1173" ref="AC602"/>
    <hyperlink r:id="rId1174" ref="AC603"/>
    <hyperlink r:id="rId1175" ref="AC604"/>
    <hyperlink r:id="rId1176" ref="AC605"/>
    <hyperlink r:id="rId1177" ref="AC606"/>
    <hyperlink r:id="rId1178" ref="AC607"/>
    <hyperlink r:id="rId1179" ref="AC608"/>
    <hyperlink r:id="rId1180" ref="AC609"/>
    <hyperlink r:id="rId1181" ref="AC610"/>
    <hyperlink r:id="rId1182" ref="AC611"/>
    <hyperlink r:id="rId1183" ref="AC612"/>
    <hyperlink r:id="rId1184" ref="AC613"/>
    <hyperlink r:id="rId1185" ref="AC614"/>
    <hyperlink r:id="rId1186" ref="AC615"/>
    <hyperlink r:id="rId1187" ref="AC616"/>
    <hyperlink r:id="rId1188" ref="AC617"/>
    <hyperlink r:id="rId1189" ref="AC618"/>
    <hyperlink r:id="rId1190" ref="AC619"/>
    <hyperlink r:id="rId1191" ref="AC620"/>
    <hyperlink r:id="rId1192" ref="AC621"/>
    <hyperlink r:id="rId1193" ref="AC622"/>
    <hyperlink r:id="rId1194" ref="AC623"/>
    <hyperlink r:id="rId1195" ref="AC624"/>
    <hyperlink r:id="rId1196" ref="AC625"/>
    <hyperlink r:id="rId1197" ref="AC626"/>
    <hyperlink r:id="rId1198" ref="AC627"/>
    <hyperlink r:id="rId1199" ref="AC628"/>
    <hyperlink r:id="rId1200" ref="AC629"/>
    <hyperlink r:id="rId1201" ref="AC630"/>
    <hyperlink r:id="rId1202" ref="AC631"/>
    <hyperlink r:id="rId1203" ref="AC632"/>
    <hyperlink r:id="rId1204" ref="AC633"/>
    <hyperlink r:id="rId1205" ref="AC634"/>
    <hyperlink r:id="rId1206" ref="AC635"/>
    <hyperlink r:id="rId1207" ref="AC636"/>
    <hyperlink r:id="rId1208" ref="AC637"/>
    <hyperlink r:id="rId1209" ref="AC638"/>
    <hyperlink r:id="rId1210" ref="AC639"/>
    <hyperlink r:id="rId1211" ref="AC640"/>
    <hyperlink r:id="rId1212" ref="AC641"/>
    <hyperlink r:id="rId1213" ref="AC642"/>
    <hyperlink r:id="rId1214" ref="AC643"/>
    <hyperlink r:id="rId1215" ref="AC644"/>
    <hyperlink r:id="rId1216" ref="AC645"/>
    <hyperlink r:id="rId1217" ref="AC646"/>
    <hyperlink r:id="rId1218" ref="AC647"/>
    <hyperlink r:id="rId1219" ref="AC648"/>
    <hyperlink r:id="rId1220" ref="AC649"/>
    <hyperlink r:id="rId1221" ref="AC650"/>
    <hyperlink r:id="rId1222" ref="AC651"/>
    <hyperlink r:id="rId1223" ref="AC652"/>
    <hyperlink r:id="rId1224" ref="AC653"/>
    <hyperlink r:id="rId1225" ref="AC654"/>
    <hyperlink r:id="rId1226" ref="AC655"/>
    <hyperlink r:id="rId1227" ref="AC656"/>
    <hyperlink r:id="rId1228" ref="AC657"/>
    <hyperlink r:id="rId1229" ref="AC658"/>
    <hyperlink r:id="rId1230" ref="AC659"/>
    <hyperlink r:id="rId1231" ref="AC660"/>
    <hyperlink r:id="rId1232" ref="AC661"/>
    <hyperlink r:id="rId1233" ref="AC662"/>
    <hyperlink r:id="rId1234" ref="AC663"/>
    <hyperlink r:id="rId1235" ref="AC664"/>
    <hyperlink r:id="rId1236" ref="AC665"/>
    <hyperlink r:id="rId1237" ref="AC666"/>
    <hyperlink r:id="rId1238" ref="AC667"/>
    <hyperlink r:id="rId1239" ref="AC668"/>
    <hyperlink r:id="rId1240" ref="AC669"/>
    <hyperlink r:id="rId1241" ref="AC670"/>
    <hyperlink r:id="rId1242" ref="AC671"/>
    <hyperlink r:id="rId1243" ref="AC672"/>
    <hyperlink r:id="rId1244" ref="AC673"/>
    <hyperlink r:id="rId1245" ref="AC674"/>
    <hyperlink r:id="rId1246" ref="AC675"/>
    <hyperlink r:id="rId1247" ref="AC676"/>
    <hyperlink r:id="rId1248" ref="AC677"/>
    <hyperlink r:id="rId1249" ref="AC678"/>
    <hyperlink r:id="rId1250" ref="AC679"/>
    <hyperlink r:id="rId1251" ref="AC680"/>
    <hyperlink r:id="rId1252" ref="AC681"/>
    <hyperlink r:id="rId1253" ref="AC682"/>
    <hyperlink r:id="rId1254" ref="AC683"/>
    <hyperlink r:id="rId1255" ref="AC684"/>
    <hyperlink r:id="rId1256" ref="AC685"/>
    <hyperlink r:id="rId1257" ref="AC686"/>
    <hyperlink r:id="rId1258" ref="AC687"/>
    <hyperlink r:id="rId1259" ref="AC688"/>
    <hyperlink r:id="rId1260" ref="AC689"/>
    <hyperlink r:id="rId1261" ref="AC690"/>
    <hyperlink r:id="rId1262" ref="AC691"/>
    <hyperlink r:id="rId1263" ref="AC692"/>
    <hyperlink r:id="rId1264" ref="AC693"/>
    <hyperlink r:id="rId1265" ref="AC694"/>
    <hyperlink r:id="rId1266" ref="AC695"/>
    <hyperlink r:id="rId1267" ref="AC696"/>
    <hyperlink r:id="rId1268" ref="AC697"/>
    <hyperlink r:id="rId1269" ref="AC698"/>
    <hyperlink r:id="rId1270" ref="AC699"/>
    <hyperlink r:id="rId1271" ref="AC700"/>
    <hyperlink r:id="rId1272" ref="AC701"/>
    <hyperlink r:id="rId1273" ref="AC702"/>
    <hyperlink r:id="rId1274" ref="AC703"/>
    <hyperlink r:id="rId1275" ref="AC704"/>
    <hyperlink r:id="rId1276" ref="AC705"/>
    <hyperlink r:id="rId1277" ref="AC706"/>
    <hyperlink r:id="rId1278" ref="AC707"/>
    <hyperlink r:id="rId1279" ref="AC708"/>
    <hyperlink r:id="rId1280" ref="AC709"/>
    <hyperlink r:id="rId1281" ref="AC710"/>
    <hyperlink r:id="rId1282" ref="AC711"/>
    <hyperlink r:id="rId1283" ref="AC712"/>
    <hyperlink r:id="rId1284" ref="AC713"/>
    <hyperlink r:id="rId1285" ref="AC714"/>
    <hyperlink r:id="rId1286" ref="AC715"/>
    <hyperlink r:id="rId1287" ref="AC716"/>
    <hyperlink r:id="rId1288" ref="AC717"/>
    <hyperlink r:id="rId1289" ref="AC718"/>
    <hyperlink r:id="rId1290" ref="AC719"/>
    <hyperlink r:id="rId1291" ref="AC720"/>
    <hyperlink r:id="rId1292" ref="AC721"/>
    <hyperlink r:id="rId1293" ref="AC722"/>
    <hyperlink r:id="rId1294" ref="AC723"/>
    <hyperlink r:id="rId1295" ref="AC724"/>
    <hyperlink r:id="rId1296" ref="AC725"/>
    <hyperlink r:id="rId1297" ref="AC726"/>
    <hyperlink r:id="rId1298" ref="AC727"/>
    <hyperlink r:id="rId1299" ref="AC728"/>
    <hyperlink r:id="rId1300" ref="AC729"/>
    <hyperlink r:id="rId1301" ref="AC730"/>
    <hyperlink r:id="rId1302" ref="AC731"/>
    <hyperlink r:id="rId1303" ref="AC732"/>
    <hyperlink r:id="rId1304" ref="AC733"/>
    <hyperlink r:id="rId1305" ref="AC734"/>
    <hyperlink r:id="rId1306" ref="AC735"/>
    <hyperlink r:id="rId1307" ref="AC736"/>
    <hyperlink r:id="rId1308" ref="AC737"/>
    <hyperlink r:id="rId1309" ref="AC738"/>
    <hyperlink r:id="rId1310" ref="AC739"/>
    <hyperlink r:id="rId1311" ref="AC740"/>
    <hyperlink r:id="rId1312" ref="AC741"/>
    <hyperlink r:id="rId1313" ref="AC742"/>
    <hyperlink r:id="rId1314" ref="AC743"/>
    <hyperlink r:id="rId1315" ref="AC744"/>
    <hyperlink r:id="rId1316" ref="AC745"/>
    <hyperlink r:id="rId1317" ref="AC746"/>
    <hyperlink r:id="rId1318" ref="AC747"/>
    <hyperlink r:id="rId1319" ref="AC748"/>
    <hyperlink r:id="rId1320" ref="AC749"/>
    <hyperlink r:id="rId1321" ref="AC750"/>
    <hyperlink r:id="rId1322" ref="AC751"/>
    <hyperlink r:id="rId1323" ref="AC752"/>
    <hyperlink r:id="rId1324" ref="AC753"/>
    <hyperlink r:id="rId1325" ref="AC754"/>
    <hyperlink r:id="rId1326" ref="AC756"/>
    <hyperlink r:id="rId1327" ref="AC757"/>
    <hyperlink r:id="rId1328" ref="AC758"/>
    <hyperlink r:id="rId1329" ref="AC759"/>
    <hyperlink r:id="rId1330" ref="AC760"/>
    <hyperlink r:id="rId1331" ref="AC761"/>
    <hyperlink r:id="rId1332" ref="AC762"/>
    <hyperlink r:id="rId1333" ref="AC763"/>
    <hyperlink r:id="rId1334" ref="AC764"/>
    <hyperlink r:id="rId1335" ref="AC765"/>
    <hyperlink r:id="rId1336" ref="AC766"/>
    <hyperlink r:id="rId1337" ref="AC767"/>
    <hyperlink r:id="rId1338" ref="AC768"/>
    <hyperlink r:id="rId1339" ref="AC769"/>
    <hyperlink r:id="rId1340" ref="AC770"/>
    <hyperlink r:id="rId1341" ref="AC771"/>
    <hyperlink r:id="rId1342" ref="AC772"/>
    <hyperlink r:id="rId1343" ref="AC773"/>
    <hyperlink r:id="rId1344" ref="AC774"/>
    <hyperlink r:id="rId1345" ref="AC775"/>
    <hyperlink r:id="rId1346" ref="AC776"/>
    <hyperlink r:id="rId1347" ref="AC777"/>
    <hyperlink r:id="rId1348" ref="AC778"/>
    <hyperlink r:id="rId1349" ref="AC779"/>
    <hyperlink r:id="rId1350" ref="AC780"/>
    <hyperlink r:id="rId1351" ref="AC781"/>
    <hyperlink r:id="rId1352" ref="AC782"/>
    <hyperlink r:id="rId1353" ref="AC783"/>
    <hyperlink r:id="rId1354" ref="AC784"/>
    <hyperlink r:id="rId1355" ref="AC785"/>
    <hyperlink r:id="rId1356" ref="AC786"/>
    <hyperlink r:id="rId1357" ref="AC787"/>
    <hyperlink r:id="rId1358" ref="AC788"/>
    <hyperlink r:id="rId1359" ref="AC789"/>
    <hyperlink r:id="rId1360" ref="AC790"/>
    <hyperlink r:id="rId1361" ref="AC791"/>
    <hyperlink r:id="rId1362" ref="AC792"/>
    <hyperlink r:id="rId1363" ref="AC793"/>
    <hyperlink r:id="rId1364" ref="AC794"/>
    <hyperlink r:id="rId1365" ref="AC795"/>
    <hyperlink r:id="rId1366" ref="AC796"/>
    <hyperlink r:id="rId1367" ref="AC797"/>
    <hyperlink r:id="rId1368" ref="AC798"/>
    <hyperlink r:id="rId1369" ref="AC799"/>
    <hyperlink r:id="rId1370" ref="AC800"/>
    <hyperlink r:id="rId1371" ref="AC801"/>
    <hyperlink r:id="rId1372" ref="AC802"/>
    <hyperlink r:id="rId1373" ref="AC803"/>
    <hyperlink r:id="rId1374" ref="AC804"/>
    <hyperlink r:id="rId1375" ref="AC805"/>
    <hyperlink r:id="rId1376" ref="AC806"/>
    <hyperlink r:id="rId1377" ref="AC807"/>
    <hyperlink r:id="rId1378" ref="AC808"/>
    <hyperlink r:id="rId1379" ref="AC809"/>
    <hyperlink r:id="rId1380" ref="AC810"/>
    <hyperlink r:id="rId1381" ref="AC811"/>
    <hyperlink r:id="rId1382" ref="AC812"/>
    <hyperlink r:id="rId1383" ref="AC813"/>
    <hyperlink r:id="rId1384" ref="AC814"/>
    <hyperlink r:id="rId1385" ref="AC815"/>
    <hyperlink r:id="rId1386" ref="AC816"/>
    <hyperlink r:id="rId1387" ref="AC817"/>
    <hyperlink r:id="rId1388" ref="AC818"/>
    <hyperlink r:id="rId1389" ref="AC819"/>
    <hyperlink r:id="rId1390" ref="AC820"/>
    <hyperlink r:id="rId1391" ref="AC821"/>
    <hyperlink r:id="rId1392" ref="AC822"/>
    <hyperlink r:id="rId1393" ref="AC823"/>
    <hyperlink r:id="rId1394" ref="AC824"/>
    <hyperlink r:id="rId1395" ref="AC825"/>
    <hyperlink r:id="rId1396" ref="AC826"/>
    <hyperlink r:id="rId1397" ref="AC827"/>
    <hyperlink r:id="rId1398" ref="AC828"/>
    <hyperlink r:id="rId1399" ref="AC829"/>
    <hyperlink r:id="rId1400" ref="AC830"/>
    <hyperlink r:id="rId1401" ref="AC831"/>
    <hyperlink r:id="rId1402" ref="AC832"/>
    <hyperlink r:id="rId1403" ref="AC833"/>
    <hyperlink r:id="rId1404" ref="AC834"/>
    <hyperlink r:id="rId1405" ref="AC835"/>
    <hyperlink r:id="rId1406" ref="AC836"/>
    <hyperlink r:id="rId1407" ref="AC837"/>
    <hyperlink r:id="rId1408" ref="AC838"/>
    <hyperlink r:id="rId1409" ref="AC839"/>
    <hyperlink r:id="rId1410" ref="AC840"/>
    <hyperlink r:id="rId1411" ref="AC841"/>
    <hyperlink r:id="rId1412" ref="AC842"/>
    <hyperlink r:id="rId1413" ref="AC843"/>
    <hyperlink r:id="rId1414" ref="AC844"/>
    <hyperlink r:id="rId1415" ref="AC845"/>
    <hyperlink r:id="rId1416" ref="AC846"/>
    <hyperlink r:id="rId1417" ref="AC847"/>
    <hyperlink r:id="rId1418" ref="AC848"/>
    <hyperlink r:id="rId1419" ref="AC849"/>
    <hyperlink r:id="rId1420" ref="AC850"/>
    <hyperlink r:id="rId1421" ref="AC851"/>
    <hyperlink r:id="rId1422" ref="AC852"/>
    <hyperlink r:id="rId1423" ref="AC853"/>
    <hyperlink r:id="rId1424" ref="AC854"/>
    <hyperlink r:id="rId1425" ref="AC855"/>
    <hyperlink r:id="rId1426" ref="AC856"/>
    <hyperlink r:id="rId1427" ref="AC857"/>
    <hyperlink r:id="rId1428" ref="AC858"/>
    <hyperlink r:id="rId1429" ref="AC859"/>
    <hyperlink r:id="rId1430" ref="AC860"/>
    <hyperlink r:id="rId1431" ref="AC861"/>
    <hyperlink r:id="rId1432" ref="AC862"/>
    <hyperlink r:id="rId1433" ref="AC863"/>
    <hyperlink r:id="rId1434" ref="AC864"/>
    <hyperlink r:id="rId1435" ref="AC865"/>
    <hyperlink r:id="rId1436" ref="AC866"/>
    <hyperlink r:id="rId1437" ref="AC867"/>
    <hyperlink r:id="rId1438" ref="AC868"/>
    <hyperlink r:id="rId1439" ref="AC869"/>
    <hyperlink r:id="rId1440" ref="AC870"/>
    <hyperlink r:id="rId1441" ref="AC871"/>
    <hyperlink r:id="rId1442" ref="AC872"/>
    <hyperlink r:id="rId1443" ref="AC873"/>
    <hyperlink r:id="rId1444" ref="AC874"/>
    <hyperlink r:id="rId1445" ref="AC875"/>
    <hyperlink r:id="rId1446" ref="AC876"/>
    <hyperlink r:id="rId1447" ref="AC877"/>
    <hyperlink r:id="rId1448" ref="AC878"/>
    <hyperlink r:id="rId1449" ref="AC879"/>
    <hyperlink r:id="rId1450" ref="AC880"/>
    <hyperlink r:id="rId1451" ref="AC881"/>
    <hyperlink r:id="rId1452" ref="AC882"/>
    <hyperlink r:id="rId1453" ref="AC883"/>
    <hyperlink r:id="rId1454" ref="AC884"/>
    <hyperlink r:id="rId1455" ref="AC885"/>
    <hyperlink r:id="rId1456" ref="AC886"/>
    <hyperlink r:id="rId1457" ref="AC887"/>
    <hyperlink r:id="rId1458" ref="AC888"/>
    <hyperlink r:id="rId1459" ref="AC889"/>
    <hyperlink r:id="rId1460" ref="AC890"/>
    <hyperlink r:id="rId1461" ref="AC891"/>
    <hyperlink r:id="rId1462" ref="AC892"/>
    <hyperlink r:id="rId1463" ref="AC893"/>
    <hyperlink r:id="rId1464" ref="AC894"/>
    <hyperlink r:id="rId1465" ref="AC895"/>
    <hyperlink r:id="rId1466" ref="AC896"/>
    <hyperlink r:id="rId1467" ref="AC897"/>
    <hyperlink r:id="rId1468" ref="AC898"/>
    <hyperlink r:id="rId1469" ref="AC899"/>
    <hyperlink r:id="rId1470" ref="AC900"/>
    <hyperlink r:id="rId1471" ref="AC901"/>
    <hyperlink r:id="rId1472" ref="AC902"/>
    <hyperlink r:id="rId1473" ref="AC903"/>
    <hyperlink r:id="rId1474" ref="AC904"/>
    <hyperlink r:id="rId1475" ref="AC905"/>
    <hyperlink r:id="rId1476" ref="AC906"/>
    <hyperlink r:id="rId1477" ref="AC908"/>
    <hyperlink r:id="rId1478" ref="AC909"/>
    <hyperlink r:id="rId1479" ref="AC910"/>
    <hyperlink r:id="rId1480" ref="AC911"/>
    <hyperlink r:id="rId1481" ref="AC912"/>
    <hyperlink r:id="rId1482" ref="AC913"/>
    <hyperlink r:id="rId1483" ref="AC914"/>
    <hyperlink r:id="rId1484" ref="AC915"/>
    <hyperlink r:id="rId1485" ref="AC916"/>
    <hyperlink r:id="rId1486" ref="AC917"/>
    <hyperlink r:id="rId1487" ref="AC918"/>
    <hyperlink r:id="rId1488" ref="AC919"/>
    <hyperlink r:id="rId1489" ref="AC920"/>
    <hyperlink r:id="rId1490" ref="AC921"/>
    <hyperlink r:id="rId1491" ref="AC922"/>
    <hyperlink r:id="rId1492" ref="AC923"/>
    <hyperlink r:id="rId1493" ref="AC924"/>
    <hyperlink r:id="rId1494" ref="AC925"/>
    <hyperlink r:id="rId1495" ref="AC926"/>
    <hyperlink r:id="rId1496" ref="AC927"/>
    <hyperlink r:id="rId1497" ref="AC928"/>
    <hyperlink r:id="rId1498" ref="AC929"/>
    <hyperlink r:id="rId1499" ref="AC930"/>
    <hyperlink r:id="rId1500" ref="AC931"/>
    <hyperlink r:id="rId1501" ref="AC932"/>
    <hyperlink r:id="rId1502" ref="AC933"/>
    <hyperlink r:id="rId1503" ref="AC934"/>
    <hyperlink r:id="rId1504" ref="AC935"/>
    <hyperlink r:id="rId1505" ref="AC936"/>
    <hyperlink r:id="rId1506" ref="AC937"/>
    <hyperlink r:id="rId1507" ref="AC938"/>
    <hyperlink r:id="rId1508" ref="AC939"/>
    <hyperlink r:id="rId1509" ref="AC940"/>
    <hyperlink r:id="rId1510" ref="AC941"/>
    <hyperlink r:id="rId1511" ref="AC942"/>
    <hyperlink r:id="rId1512" ref="AC943"/>
    <hyperlink r:id="rId1513" ref="AC944"/>
    <hyperlink r:id="rId1514" ref="AC945"/>
    <hyperlink r:id="rId1515" ref="AC946"/>
    <hyperlink r:id="rId1516" ref="AC947"/>
    <hyperlink r:id="rId1517" ref="AC948"/>
    <hyperlink r:id="rId1518" ref="AC949"/>
    <hyperlink r:id="rId1519" ref="AC950"/>
    <hyperlink r:id="rId1520" ref="AC951"/>
    <hyperlink r:id="rId1521" ref="AC952"/>
    <hyperlink r:id="rId1522" ref="AC953"/>
    <hyperlink r:id="rId1523" ref="AC954"/>
    <hyperlink r:id="rId1524" ref="AC955"/>
    <hyperlink r:id="rId1525" ref="AC956"/>
    <hyperlink r:id="rId1526" ref="AC957"/>
    <hyperlink r:id="rId1527" ref="AC958"/>
    <hyperlink r:id="rId1528" ref="AC959"/>
    <hyperlink r:id="rId1529" ref="AC960"/>
    <hyperlink r:id="rId1530" ref="AC961"/>
    <hyperlink r:id="rId1531" ref="AC962"/>
    <hyperlink r:id="rId1532" ref="AC963"/>
    <hyperlink r:id="rId1533" ref="AC964"/>
    <hyperlink r:id="rId1534" ref="AC965"/>
    <hyperlink r:id="rId1535" ref="AC966"/>
    <hyperlink r:id="rId1536" ref="AC967"/>
    <hyperlink r:id="rId1537" ref="AC968"/>
    <hyperlink r:id="rId1538" ref="AC969"/>
    <hyperlink r:id="rId1539" ref="AC970"/>
    <hyperlink r:id="rId1540" ref="AC971"/>
    <hyperlink r:id="rId1541" ref="AC972"/>
    <hyperlink r:id="rId1542" ref="AC973"/>
    <hyperlink r:id="rId1543" ref="AC974"/>
    <hyperlink r:id="rId1544" ref="AC975"/>
    <hyperlink r:id="rId1545" ref="AC976"/>
    <hyperlink r:id="rId1546" ref="AC977"/>
    <hyperlink r:id="rId1547" ref="AC978"/>
    <hyperlink r:id="rId1548" ref="AC979"/>
    <hyperlink r:id="rId1549" ref="AC980"/>
    <hyperlink r:id="rId1550" ref="AC981"/>
    <hyperlink r:id="rId1551" ref="AC982"/>
    <hyperlink r:id="rId1552" ref="AC983"/>
    <hyperlink r:id="rId1553" ref="AC984"/>
    <hyperlink r:id="rId1554" ref="AC985"/>
    <hyperlink r:id="rId1555" ref="AC986"/>
    <hyperlink r:id="rId1556" ref="AC987"/>
    <hyperlink r:id="rId1557" ref="AC988"/>
    <hyperlink r:id="rId1558" ref="AC989"/>
    <hyperlink r:id="rId1559" ref="AC990"/>
    <hyperlink r:id="rId1560" ref="AC991"/>
    <hyperlink r:id="rId1561" ref="AC992"/>
    <hyperlink r:id="rId1562" ref="AC993"/>
    <hyperlink r:id="rId1563" ref="AC994"/>
    <hyperlink r:id="rId1564" ref="AC995"/>
    <hyperlink r:id="rId1565" ref="AC996"/>
    <hyperlink r:id="rId1566" ref="AC997"/>
    <hyperlink r:id="rId1567" ref="AC998"/>
    <hyperlink r:id="rId1568" ref="AC999"/>
    <hyperlink r:id="rId1569" ref="AC1000"/>
    <hyperlink r:id="rId1570" ref="AC1001"/>
    <hyperlink r:id="rId1571" ref="AC1002"/>
    <hyperlink r:id="rId1572" ref="AC1003"/>
    <hyperlink r:id="rId1573" ref="AC1004"/>
    <hyperlink r:id="rId1574" ref="AC1005"/>
    <hyperlink r:id="rId1575" ref="AC1006"/>
    <hyperlink r:id="rId1576" ref="AC1007"/>
    <hyperlink r:id="rId1577" ref="AC1008"/>
    <hyperlink r:id="rId1578" ref="AC1009"/>
    <hyperlink r:id="rId1579" ref="AC1010"/>
    <hyperlink r:id="rId1580" ref="AC1011"/>
    <hyperlink r:id="rId1581" ref="AC1012"/>
    <hyperlink r:id="rId1582" ref="AC1013"/>
    <hyperlink r:id="rId1583" ref="AC1014"/>
    <hyperlink r:id="rId1584" ref="AC1015"/>
    <hyperlink r:id="rId1585" ref="AC1016"/>
    <hyperlink r:id="rId1586" ref="AC1017"/>
    <hyperlink r:id="rId1587" ref="AC1018"/>
    <hyperlink r:id="rId1588" ref="AC1019"/>
    <hyperlink r:id="rId1589" ref="AC1020"/>
    <hyperlink r:id="rId1590" ref="AC1021"/>
    <hyperlink r:id="rId1591" ref="AC1022"/>
    <hyperlink r:id="rId1592" ref="AC1023"/>
    <hyperlink r:id="rId1593" ref="AC1024"/>
    <hyperlink r:id="rId1594" ref="AC1025"/>
    <hyperlink r:id="rId1595" ref="AC1026"/>
    <hyperlink r:id="rId1596" ref="AC1027"/>
    <hyperlink r:id="rId1597" ref="AC1028"/>
    <hyperlink r:id="rId1598" ref="AC1029"/>
    <hyperlink r:id="rId1599" ref="AC1030"/>
    <hyperlink r:id="rId1600" ref="AC1031"/>
    <hyperlink r:id="rId1601" ref="AC1032"/>
    <hyperlink r:id="rId1602" ref="AC1033"/>
    <hyperlink r:id="rId1603" ref="AC1034"/>
    <hyperlink r:id="rId1604" ref="AC1035"/>
    <hyperlink r:id="rId1605" ref="AC1036"/>
    <hyperlink r:id="rId1606" ref="AC1037"/>
    <hyperlink r:id="rId1607" ref="AC1038"/>
    <hyperlink r:id="rId1608" ref="AC1039"/>
    <hyperlink r:id="rId1609" ref="AC1040"/>
    <hyperlink r:id="rId1610" ref="AC1041"/>
    <hyperlink r:id="rId1611" ref="AC1042"/>
    <hyperlink r:id="rId1612" ref="AC1043"/>
    <hyperlink r:id="rId1613" ref="AC1044"/>
    <hyperlink r:id="rId1614" ref="AC1045"/>
    <hyperlink r:id="rId1615" ref="AC1046"/>
    <hyperlink r:id="rId1616" ref="AC1047"/>
    <hyperlink r:id="rId1617" ref="AC1048"/>
    <hyperlink r:id="rId1618" ref="AC1049"/>
    <hyperlink r:id="rId1619" ref="AC1050"/>
    <hyperlink r:id="rId1620" ref="AC1051"/>
    <hyperlink r:id="rId1621" ref="AC1052"/>
    <hyperlink r:id="rId1622" ref="AC1053"/>
    <hyperlink r:id="rId1623" ref="AC1054"/>
    <hyperlink r:id="rId1624" ref="AC1055"/>
    <hyperlink r:id="rId1625" ref="AC1056"/>
    <hyperlink r:id="rId1626" ref="AC1057"/>
    <hyperlink r:id="rId1627" ref="AC1058"/>
    <hyperlink r:id="rId1628" ref="AC1059"/>
    <hyperlink r:id="rId1629" ref="AC1060"/>
    <hyperlink r:id="rId1630" ref="AC1061"/>
    <hyperlink r:id="rId1631" ref="AC1062"/>
    <hyperlink r:id="rId1632" ref="AC1063"/>
    <hyperlink r:id="rId1633" ref="AC1064"/>
    <hyperlink r:id="rId1634" ref="AC1065"/>
    <hyperlink r:id="rId1635" ref="AC1066"/>
    <hyperlink r:id="rId1636" ref="AC1067"/>
    <hyperlink r:id="rId1637" ref="AC1068"/>
    <hyperlink r:id="rId1638" ref="AC1069"/>
    <hyperlink r:id="rId1639" ref="AC1070"/>
    <hyperlink r:id="rId1640" ref="AC1071"/>
    <hyperlink r:id="rId1641" ref="AC1072"/>
    <hyperlink r:id="rId1642" ref="AC1073"/>
    <hyperlink r:id="rId1643" ref="AC1074"/>
    <hyperlink r:id="rId1644" ref="AC1075"/>
    <hyperlink r:id="rId1645" ref="AC1076"/>
    <hyperlink r:id="rId1646" ref="AC1077"/>
    <hyperlink r:id="rId1647" ref="AC1078"/>
    <hyperlink r:id="rId1648" ref="AC1079"/>
    <hyperlink r:id="rId1649" ref="AC1080"/>
    <hyperlink r:id="rId1650" ref="AC1081"/>
    <hyperlink r:id="rId1651" ref="AC1082"/>
    <hyperlink r:id="rId1652" ref="AC1083"/>
    <hyperlink r:id="rId1653" ref="AC1084"/>
    <hyperlink r:id="rId1654" ref="AC1085"/>
    <hyperlink r:id="rId1655" ref="AC1086"/>
    <hyperlink r:id="rId1656" ref="AC1087"/>
    <hyperlink r:id="rId1657" ref="AC1088"/>
    <hyperlink r:id="rId1658" ref="AC1089"/>
    <hyperlink r:id="rId1659" ref="AC1090"/>
    <hyperlink r:id="rId1660" ref="AC1091"/>
    <hyperlink r:id="rId1661" ref="AC1092"/>
    <hyperlink r:id="rId1662" ref="AC1093"/>
    <hyperlink r:id="rId1663" ref="AC1094"/>
    <hyperlink r:id="rId1664" ref="AC1095"/>
    <hyperlink r:id="rId1665" ref="AC1096"/>
    <hyperlink r:id="rId1666" ref="AC1097"/>
    <hyperlink r:id="rId1667" ref="AC1098"/>
    <hyperlink r:id="rId1668" ref="AC1099"/>
    <hyperlink r:id="rId1669" ref="AC1100"/>
    <hyperlink r:id="rId1670" ref="AC1101"/>
    <hyperlink r:id="rId1671" ref="AC1102"/>
    <hyperlink r:id="rId1672" ref="AC1103"/>
    <hyperlink r:id="rId1673" ref="AC1104"/>
    <hyperlink r:id="rId1674" ref="AC1105"/>
    <hyperlink r:id="rId1675" ref="AC1106"/>
    <hyperlink r:id="rId1676" ref="AC1107"/>
    <hyperlink r:id="rId1677" ref="AC1108"/>
    <hyperlink r:id="rId1678" ref="AC1109"/>
    <hyperlink r:id="rId1679" ref="AC1110"/>
    <hyperlink r:id="rId1680" ref="AC1111"/>
    <hyperlink r:id="rId1681" ref="AC1112"/>
    <hyperlink r:id="rId1682" ref="AC1113"/>
    <hyperlink r:id="rId1683" ref="AC1114"/>
    <hyperlink r:id="rId1684" ref="AC1115"/>
    <hyperlink r:id="rId1685" ref="AC1116"/>
    <hyperlink r:id="rId1686" ref="AC1117"/>
    <hyperlink r:id="rId1687" ref="AC1118"/>
    <hyperlink r:id="rId1688" ref="AC1119"/>
    <hyperlink r:id="rId1689" ref="AC1120"/>
    <hyperlink r:id="rId1690" ref="AC1121"/>
    <hyperlink r:id="rId1691" ref="AC1122"/>
    <hyperlink r:id="rId1692" ref="AC1123"/>
    <hyperlink r:id="rId1693" ref="AC1124"/>
    <hyperlink r:id="rId1694" ref="AC1125"/>
    <hyperlink r:id="rId1695" ref="AC1126"/>
    <hyperlink r:id="rId1696" ref="AC1127"/>
    <hyperlink r:id="rId1697" ref="AC1128"/>
    <hyperlink r:id="rId1698" ref="AC1129"/>
    <hyperlink r:id="rId1699" ref="AC1130"/>
    <hyperlink r:id="rId1700" ref="AC1131"/>
    <hyperlink r:id="rId1701" ref="AC1132"/>
    <hyperlink r:id="rId1702" ref="AC1133"/>
    <hyperlink r:id="rId1703" ref="AC1134"/>
    <hyperlink r:id="rId1704" ref="AC1135"/>
    <hyperlink r:id="rId1705" ref="AC1136"/>
    <hyperlink r:id="rId1706" ref="AC1137"/>
    <hyperlink r:id="rId1707" ref="AC1138"/>
    <hyperlink r:id="rId1708" ref="AC1139"/>
    <hyperlink r:id="rId1709" ref="AC1140"/>
    <hyperlink r:id="rId1710" ref="AC1141"/>
    <hyperlink r:id="rId1711" ref="AC1142"/>
    <hyperlink r:id="rId1712" ref="AC1143"/>
    <hyperlink r:id="rId1713" ref="AC1144"/>
    <hyperlink r:id="rId1714" ref="AC1145"/>
    <hyperlink r:id="rId1715" ref="AC1146"/>
    <hyperlink r:id="rId1716" ref="AC1147"/>
    <hyperlink r:id="rId1717" ref="AC1148"/>
    <hyperlink r:id="rId1718" ref="AC1149"/>
    <hyperlink r:id="rId1719" ref="AC1150"/>
    <hyperlink r:id="rId1720" ref="AC1151"/>
    <hyperlink r:id="rId1721" ref="AC1152"/>
    <hyperlink r:id="rId1722" ref="AC1153"/>
    <hyperlink r:id="rId1723" ref="AC1154"/>
    <hyperlink r:id="rId1724" ref="AC1155"/>
    <hyperlink r:id="rId1725" ref="AC1156"/>
    <hyperlink r:id="rId1726" ref="AC1157"/>
    <hyperlink r:id="rId1727" ref="AC1158"/>
    <hyperlink r:id="rId1728" ref="AC1159"/>
    <hyperlink r:id="rId1729" ref="AC1160"/>
    <hyperlink r:id="rId1730" ref="AC1161"/>
    <hyperlink r:id="rId1731" ref="AC1162"/>
    <hyperlink r:id="rId1732" ref="AC1163"/>
    <hyperlink r:id="rId1733" ref="AC1164"/>
    <hyperlink r:id="rId1734" ref="AC1165"/>
    <hyperlink r:id="rId1735" ref="AC1166"/>
    <hyperlink r:id="rId1736" ref="AC1167"/>
    <hyperlink r:id="rId1737" ref="AC1168"/>
    <hyperlink r:id="rId1738" ref="AC1169"/>
    <hyperlink r:id="rId1739" ref="AC1170"/>
    <hyperlink r:id="rId1740" ref="AC1171"/>
    <hyperlink r:id="rId1741" ref="AC1172"/>
    <hyperlink r:id="rId1742" ref="AC1173"/>
    <hyperlink r:id="rId1743" ref="AC1174"/>
    <hyperlink r:id="rId1744" ref="AC1175"/>
    <hyperlink r:id="rId1745" ref="AC1176"/>
    <hyperlink r:id="rId1746" ref="AC1177"/>
    <hyperlink r:id="rId1747" ref="AC1178"/>
    <hyperlink r:id="rId1748" ref="AC1179"/>
    <hyperlink r:id="rId1749" ref="AC1180"/>
    <hyperlink r:id="rId1750" ref="AC1181"/>
    <hyperlink r:id="rId1751" ref="AC1182"/>
    <hyperlink r:id="rId1752" ref="AC1183"/>
    <hyperlink r:id="rId1753" ref="AC1184"/>
    <hyperlink r:id="rId1754" ref="AC1185"/>
    <hyperlink r:id="rId1755" ref="AC1186"/>
    <hyperlink r:id="rId1756" ref="AC1187"/>
    <hyperlink r:id="rId1757" ref="AC1188"/>
    <hyperlink r:id="rId1758" ref="AC1189"/>
    <hyperlink r:id="rId1759" ref="AC1190"/>
    <hyperlink r:id="rId1760" ref="AC1191"/>
    <hyperlink r:id="rId1761" ref="AC1192"/>
    <hyperlink r:id="rId1762" ref="AC1193"/>
    <hyperlink r:id="rId1763" ref="AC1194"/>
    <hyperlink r:id="rId1764" ref="AC1195"/>
    <hyperlink r:id="rId1765" ref="AC1196"/>
    <hyperlink r:id="rId1766" ref="AC1197"/>
    <hyperlink r:id="rId1767" ref="AC1198"/>
    <hyperlink r:id="rId1768" ref="AC1199"/>
    <hyperlink r:id="rId1769" ref="AC1200"/>
    <hyperlink r:id="rId1770" ref="AC1201"/>
    <hyperlink r:id="rId1771" ref="AC1202"/>
    <hyperlink r:id="rId1772" ref="AC1203"/>
    <hyperlink r:id="rId1773" ref="AC1204"/>
    <hyperlink r:id="rId1774" ref="AC1205"/>
    <hyperlink r:id="rId1775" ref="AC1206"/>
    <hyperlink r:id="rId1776" ref="AC1207"/>
    <hyperlink r:id="rId1777" ref="AC1208"/>
    <hyperlink r:id="rId1778" ref="AC1209"/>
    <hyperlink r:id="rId1779" ref="AC1210"/>
    <hyperlink r:id="rId1780" ref="AC1211"/>
    <hyperlink r:id="rId1781" ref="AC1212"/>
    <hyperlink r:id="rId1782" ref="AC1213"/>
    <hyperlink r:id="rId1783" ref="AC1214"/>
    <hyperlink r:id="rId1784" ref="AC1215"/>
    <hyperlink r:id="rId1785" ref="AC1216"/>
    <hyperlink r:id="rId1786" ref="AC1217"/>
    <hyperlink r:id="rId1787" ref="AC1218"/>
    <hyperlink r:id="rId1788" ref="AC1219"/>
    <hyperlink r:id="rId1789" ref="AC1220"/>
    <hyperlink r:id="rId1790" ref="AC1221"/>
    <hyperlink r:id="rId1791" ref="AC1222"/>
    <hyperlink r:id="rId1792" ref="AC1223"/>
    <hyperlink r:id="rId1793" ref="AC1224"/>
    <hyperlink r:id="rId1794" ref="AC1225"/>
    <hyperlink r:id="rId1795" ref="AC1226"/>
    <hyperlink r:id="rId1796" ref="AC1227"/>
    <hyperlink r:id="rId1797" ref="AC1228"/>
    <hyperlink r:id="rId1798" ref="AC1229"/>
    <hyperlink r:id="rId1799" ref="AC1230"/>
    <hyperlink r:id="rId1800" ref="AC1231"/>
    <hyperlink r:id="rId1801" ref="AC1232"/>
    <hyperlink r:id="rId1802" ref="AC1233"/>
    <hyperlink r:id="rId1803" ref="AC1234"/>
    <hyperlink r:id="rId1804" ref="AC1235"/>
    <hyperlink r:id="rId1805" ref="AC1236"/>
    <hyperlink r:id="rId1806" ref="AC1237"/>
    <hyperlink r:id="rId1807" ref="AC1238"/>
    <hyperlink r:id="rId1808" ref="AC1239"/>
    <hyperlink r:id="rId1809" ref="AC1240"/>
    <hyperlink r:id="rId1810" ref="AC1241"/>
    <hyperlink r:id="rId1811" ref="AC1242"/>
    <hyperlink r:id="rId1812" ref="AC1243"/>
    <hyperlink r:id="rId1813" ref="AC1244"/>
    <hyperlink r:id="rId1814" ref="AC1245"/>
    <hyperlink r:id="rId1815" ref="AC1246"/>
    <hyperlink r:id="rId1816" ref="AC1247"/>
    <hyperlink r:id="rId1817" ref="AC1248"/>
    <hyperlink r:id="rId1818" ref="AC1249"/>
    <hyperlink r:id="rId1819" ref="AC1250"/>
    <hyperlink r:id="rId1820" ref="AC1251"/>
    <hyperlink r:id="rId1821" ref="AC1252"/>
    <hyperlink r:id="rId1822" ref="AC1253"/>
    <hyperlink r:id="rId1823" ref="AC1254"/>
    <hyperlink r:id="rId1824" ref="AC1255"/>
    <hyperlink r:id="rId1825" ref="AC1256"/>
    <hyperlink r:id="rId1826" ref="AC1257"/>
    <hyperlink r:id="rId1827" ref="AC1258"/>
    <hyperlink r:id="rId1828" ref="AC1259"/>
    <hyperlink r:id="rId1829" ref="AC1260"/>
    <hyperlink r:id="rId1830" ref="AC1261"/>
    <hyperlink r:id="rId1831" ref="AC1262"/>
    <hyperlink r:id="rId1832" ref="AC1263"/>
    <hyperlink r:id="rId1833" ref="AC1264"/>
    <hyperlink r:id="rId1834" ref="AC1265"/>
    <hyperlink r:id="rId1835" ref="AC1266"/>
    <hyperlink r:id="rId1836" ref="AC1267"/>
    <hyperlink r:id="rId1837" ref="AC1268"/>
    <hyperlink r:id="rId1838" ref="AC1269"/>
    <hyperlink r:id="rId1839" ref="AC1270"/>
    <hyperlink r:id="rId1840" ref="AC1271"/>
    <hyperlink r:id="rId1841" ref="AC1272"/>
    <hyperlink r:id="rId1842" ref="AC1273"/>
    <hyperlink r:id="rId1843" ref="AC1274"/>
    <hyperlink r:id="rId1844" ref="AC1275"/>
    <hyperlink r:id="rId1845" ref="AC1276"/>
    <hyperlink r:id="rId1846" ref="AC1277"/>
    <hyperlink r:id="rId1847" ref="AC1278"/>
    <hyperlink r:id="rId1848" ref="AC1279"/>
    <hyperlink r:id="rId1849" ref="AC1280"/>
    <hyperlink r:id="rId1850" ref="AC1282"/>
    <hyperlink r:id="rId1851" ref="AC1283"/>
    <hyperlink r:id="rId1852" ref="AC1284"/>
    <hyperlink r:id="rId1853" ref="AC1285"/>
    <hyperlink r:id="rId1854" ref="AC1286"/>
    <hyperlink r:id="rId1855" ref="AC1287"/>
    <hyperlink r:id="rId1856" ref="AC1288"/>
    <hyperlink r:id="rId1857" ref="AC1289"/>
    <hyperlink r:id="rId1858" ref="AC1290"/>
    <hyperlink r:id="rId1859" ref="AC1291"/>
    <hyperlink r:id="rId1860" ref="AC1292"/>
    <hyperlink r:id="rId1861" ref="AC1293"/>
    <hyperlink r:id="rId1862" ref="AC1294"/>
    <hyperlink r:id="rId1863" ref="AC1295"/>
    <hyperlink r:id="rId1864" ref="AC1296"/>
    <hyperlink r:id="rId1865" ref="AC1297"/>
    <hyperlink r:id="rId1866" ref="AC1298"/>
    <hyperlink r:id="rId1867" ref="AC1299"/>
    <hyperlink r:id="rId1868" ref="AC1300"/>
    <hyperlink r:id="rId1869" ref="AC1301"/>
    <hyperlink r:id="rId1870" ref="AC1302"/>
    <hyperlink r:id="rId1871" ref="AC1303"/>
    <hyperlink r:id="rId1872" ref="AC1304"/>
    <hyperlink r:id="rId1873" ref="AC1305"/>
    <hyperlink r:id="rId1874" ref="AC1306"/>
    <hyperlink r:id="rId1875" ref="AC1307"/>
    <hyperlink r:id="rId1876" ref="AC1308"/>
    <hyperlink r:id="rId1877" ref="AC1309"/>
    <hyperlink r:id="rId1878" ref="AC1310"/>
    <hyperlink r:id="rId1879" ref="AC1311"/>
    <hyperlink r:id="rId1880" ref="AC1312"/>
    <hyperlink r:id="rId1881" ref="AC1313"/>
    <hyperlink r:id="rId1882" ref="AC1314"/>
    <hyperlink r:id="rId1883" ref="AC1315"/>
    <hyperlink r:id="rId1884" ref="AC1316"/>
    <hyperlink r:id="rId1885" ref="AC1317"/>
    <hyperlink r:id="rId1886" ref="AC1318"/>
    <hyperlink r:id="rId1887" ref="AC1319"/>
    <hyperlink r:id="rId1888" ref="AC1320"/>
    <hyperlink r:id="rId1889" ref="AC1321"/>
    <hyperlink r:id="rId1890" ref="AC1322"/>
    <hyperlink r:id="rId1891" ref="AC1323"/>
    <hyperlink r:id="rId1892" ref="AC1324"/>
    <hyperlink r:id="rId1893" ref="AC1325"/>
    <hyperlink r:id="rId1894" ref="AC1326"/>
    <hyperlink r:id="rId1895" ref="AC1327"/>
    <hyperlink r:id="rId1896" ref="AC1328"/>
    <hyperlink r:id="rId1897" ref="AC1329"/>
    <hyperlink r:id="rId1898" ref="AC1330"/>
    <hyperlink r:id="rId1899" ref="AC1331"/>
    <hyperlink r:id="rId1900" ref="AC1332"/>
    <hyperlink r:id="rId1901" ref="AC1333"/>
    <hyperlink r:id="rId1902" ref="AC1334"/>
    <hyperlink r:id="rId1903" ref="AC1335"/>
    <hyperlink r:id="rId1904" ref="AC1336"/>
    <hyperlink r:id="rId1905" ref="AC1337"/>
    <hyperlink r:id="rId1906" ref="AC1338"/>
    <hyperlink r:id="rId1907" ref="AC1339"/>
    <hyperlink r:id="rId1908" ref="AC1340"/>
    <hyperlink r:id="rId1909" ref="AC1341"/>
    <hyperlink r:id="rId1910" ref="AC1342"/>
    <hyperlink r:id="rId1911" ref="AC1343"/>
    <hyperlink r:id="rId1912" ref="AC1344"/>
    <hyperlink r:id="rId1913" ref="AC1345"/>
    <hyperlink r:id="rId1914" ref="AC1346"/>
    <hyperlink r:id="rId1915" ref="AC1347"/>
    <hyperlink r:id="rId1916" ref="AC1348"/>
    <hyperlink r:id="rId1917" ref="AC1349"/>
    <hyperlink r:id="rId1918" ref="AC1350"/>
    <hyperlink r:id="rId1919" ref="AC1351"/>
    <hyperlink r:id="rId1920" ref="AC1352"/>
    <hyperlink r:id="rId1921" ref="AC1353"/>
    <hyperlink r:id="rId1922" ref="AC1354"/>
    <hyperlink r:id="rId1923" ref="AC1355"/>
    <hyperlink r:id="rId1924" ref="AC1356"/>
    <hyperlink r:id="rId1925" ref="AC1357"/>
    <hyperlink r:id="rId1926" ref="AC1358"/>
    <hyperlink r:id="rId1927" ref="AC1359"/>
    <hyperlink r:id="rId1928" ref="AC1360"/>
    <hyperlink r:id="rId1929" ref="AC1361"/>
    <hyperlink r:id="rId1930" ref="AC1362"/>
    <hyperlink r:id="rId1931" ref="AC1363"/>
    <hyperlink r:id="rId1932" ref="AC1364"/>
    <hyperlink r:id="rId1933" ref="AC1365"/>
    <hyperlink r:id="rId1934" ref="AC1366"/>
    <hyperlink r:id="rId1935" ref="AC1367"/>
    <hyperlink r:id="rId1936" ref="AC1368"/>
    <hyperlink r:id="rId1937" ref="AC1369"/>
    <hyperlink r:id="rId1938" ref="AC1370"/>
    <hyperlink r:id="rId1939" ref="AC1371"/>
    <hyperlink r:id="rId1940" ref="AC1372"/>
    <hyperlink r:id="rId1941" ref="AC1373"/>
    <hyperlink r:id="rId1942" ref="AC1374"/>
    <hyperlink r:id="rId1943" ref="AC1375"/>
    <hyperlink r:id="rId1944" ref="AC1376"/>
    <hyperlink r:id="rId1945" ref="AC1377"/>
    <hyperlink r:id="rId1946" ref="AC1378"/>
    <hyperlink r:id="rId1947" ref="AC1379"/>
    <hyperlink r:id="rId1948" ref="AC1380"/>
    <hyperlink r:id="rId1949" ref="AC1381"/>
    <hyperlink r:id="rId1950" ref="AC1382"/>
    <hyperlink r:id="rId1951" ref="AC1383"/>
    <hyperlink r:id="rId1952" ref="AC1384"/>
    <hyperlink r:id="rId1953" ref="AC1385"/>
    <hyperlink r:id="rId1954" ref="AC1386"/>
    <hyperlink r:id="rId1955" ref="AC1387"/>
    <hyperlink r:id="rId1956" ref="AC1388"/>
    <hyperlink r:id="rId1957" ref="AC1389"/>
    <hyperlink r:id="rId1958" ref="AC1390"/>
    <hyperlink r:id="rId1959" ref="AC1391"/>
    <hyperlink r:id="rId1960" ref="AC1392"/>
    <hyperlink r:id="rId1961" ref="AC1393"/>
    <hyperlink r:id="rId1962" ref="AC1394"/>
    <hyperlink r:id="rId1963" ref="AC1395"/>
    <hyperlink r:id="rId1964" ref="AC1396"/>
    <hyperlink r:id="rId1965" ref="AC1397"/>
    <hyperlink r:id="rId1966" ref="AC1398"/>
    <hyperlink r:id="rId1967" ref="AC1399"/>
    <hyperlink r:id="rId1968" ref="AC1400"/>
    <hyperlink r:id="rId1969" ref="AC1401"/>
    <hyperlink r:id="rId1970" ref="AC1402"/>
    <hyperlink r:id="rId1971" ref="AC1403"/>
    <hyperlink r:id="rId1972" ref="AC1404"/>
    <hyperlink r:id="rId1973" ref="AC1405"/>
    <hyperlink r:id="rId1974" ref="AC1406"/>
    <hyperlink r:id="rId1975" ref="AC1407"/>
    <hyperlink r:id="rId1976" ref="AC1408"/>
    <hyperlink r:id="rId1977" ref="AC1409"/>
    <hyperlink r:id="rId1978" ref="AC1410"/>
    <hyperlink r:id="rId1979" ref="AC1411"/>
    <hyperlink r:id="rId1980" ref="AC1412"/>
    <hyperlink r:id="rId1981" ref="AC1413"/>
    <hyperlink r:id="rId1982" ref="AC1414"/>
    <hyperlink r:id="rId1983" ref="AC1415"/>
    <hyperlink r:id="rId1984" ref="AC1416"/>
    <hyperlink r:id="rId1985" ref="AC1417"/>
    <hyperlink r:id="rId1986" ref="AC1418"/>
    <hyperlink r:id="rId1987" ref="AC1419"/>
    <hyperlink r:id="rId1988" ref="AC1420"/>
    <hyperlink r:id="rId1989" ref="AC1421"/>
    <hyperlink r:id="rId1990" ref="AC1422"/>
    <hyperlink r:id="rId1991" ref="AC1423"/>
    <hyperlink r:id="rId1992" ref="AC1424"/>
    <hyperlink r:id="rId1993" ref="AC1425"/>
    <hyperlink r:id="rId1994" ref="AC1426"/>
    <hyperlink r:id="rId1995" ref="AC1427"/>
    <hyperlink r:id="rId1996" ref="AC1428"/>
    <hyperlink r:id="rId1997" ref="AC1429"/>
    <hyperlink r:id="rId1998" ref="AC1430"/>
    <hyperlink r:id="rId1999" ref="AC1431"/>
    <hyperlink r:id="rId2000" ref="AC1432"/>
    <hyperlink r:id="rId2001" ref="AC1433"/>
    <hyperlink r:id="rId2002" ref="AC1434"/>
    <hyperlink r:id="rId2003" ref="AC1435"/>
    <hyperlink r:id="rId2004" ref="AC1436"/>
    <hyperlink r:id="rId2005" ref="AC1437"/>
    <hyperlink r:id="rId2006" ref="AC1438"/>
    <hyperlink r:id="rId2007" ref="AC1439"/>
    <hyperlink r:id="rId2008" ref="AC1440"/>
    <hyperlink r:id="rId2009" ref="AC1441"/>
    <hyperlink r:id="rId2010" ref="AC1442"/>
    <hyperlink r:id="rId2011" ref="AC1443"/>
    <hyperlink r:id="rId2012" ref="AC1444"/>
    <hyperlink r:id="rId2013" ref="AC1445"/>
    <hyperlink r:id="rId2014" ref="AC1446"/>
    <hyperlink r:id="rId2015" ref="AC1447"/>
    <hyperlink r:id="rId2016" ref="AC1448"/>
    <hyperlink r:id="rId2017" ref="AC1449"/>
    <hyperlink r:id="rId2018" ref="AC1450"/>
    <hyperlink r:id="rId2019" ref="AC1451"/>
    <hyperlink r:id="rId2020" ref="AC1452"/>
    <hyperlink r:id="rId2021" ref="AC1453"/>
    <hyperlink r:id="rId2022" ref="AC1454"/>
    <hyperlink r:id="rId2023" ref="AC1455"/>
    <hyperlink r:id="rId2024" ref="AC1456"/>
    <hyperlink r:id="rId2025" ref="AC1457"/>
    <hyperlink r:id="rId2026" ref="AC1458"/>
    <hyperlink r:id="rId2027" ref="AC1459"/>
    <hyperlink r:id="rId2028" ref="AC1460"/>
    <hyperlink r:id="rId2029" ref="AC1461"/>
    <hyperlink r:id="rId2030" ref="AC1462"/>
    <hyperlink r:id="rId2031" ref="AC1463"/>
    <hyperlink r:id="rId2032" ref="AC1464"/>
    <hyperlink r:id="rId2033" ref="AC1465"/>
    <hyperlink r:id="rId2034" ref="AC1466"/>
    <hyperlink r:id="rId2035" ref="AC1467"/>
    <hyperlink r:id="rId2036" ref="AC1468"/>
    <hyperlink r:id="rId2037" ref="AC1469"/>
    <hyperlink r:id="rId2038" ref="AC1470"/>
    <hyperlink r:id="rId2039" ref="AC1471"/>
    <hyperlink r:id="rId2040" ref="AC1472"/>
    <hyperlink r:id="rId2041" ref="AC1473"/>
    <hyperlink r:id="rId2042" ref="AC1474"/>
    <hyperlink r:id="rId2043" ref="AC1475"/>
    <hyperlink r:id="rId2044" ref="AC1476"/>
    <hyperlink r:id="rId2045" ref="AC1477"/>
    <hyperlink r:id="rId2046" ref="AC1478"/>
    <hyperlink r:id="rId2047" ref="AC1479"/>
    <hyperlink r:id="rId2048" ref="AC1480"/>
    <hyperlink r:id="rId2049" ref="AC1481"/>
    <hyperlink r:id="rId2050" ref="AC1482"/>
    <hyperlink r:id="rId2051" ref="AC1483"/>
    <hyperlink r:id="rId2052" ref="AC1484"/>
    <hyperlink r:id="rId2053" ref="AC1485"/>
    <hyperlink r:id="rId2054" ref="AC1486"/>
    <hyperlink r:id="rId2055" ref="AC1487"/>
    <hyperlink r:id="rId2056" ref="AC1488"/>
    <hyperlink r:id="rId2057" ref="AC1489"/>
    <hyperlink r:id="rId2058" ref="AC1490"/>
    <hyperlink r:id="rId2059" ref="AC1491"/>
    <hyperlink r:id="rId2060" ref="AC1492"/>
    <hyperlink r:id="rId2061" ref="AC1493"/>
    <hyperlink r:id="rId2062" ref="AC1494"/>
    <hyperlink r:id="rId2063" ref="AC1495"/>
    <hyperlink r:id="rId2064" ref="AC1496"/>
    <hyperlink r:id="rId2065" ref="AC1497"/>
    <hyperlink r:id="rId2066" ref="AC1498"/>
    <hyperlink r:id="rId2067" ref="AC1499"/>
    <hyperlink r:id="rId2068" ref="AC1500"/>
    <hyperlink r:id="rId2069" ref="AC1501"/>
    <hyperlink r:id="rId2070" ref="AC1502"/>
    <hyperlink r:id="rId2071" ref="AC1503"/>
    <hyperlink r:id="rId2072" ref="AC1504"/>
    <hyperlink r:id="rId2073" ref="AC1505"/>
    <hyperlink r:id="rId2074" ref="AC1506"/>
    <hyperlink r:id="rId2075" ref="AC1507"/>
    <hyperlink r:id="rId2076" ref="AC1508"/>
    <hyperlink r:id="rId2077" ref="AC1509"/>
    <hyperlink r:id="rId2078" ref="AC1510"/>
    <hyperlink r:id="rId2079" ref="AC1511"/>
    <hyperlink r:id="rId2080" ref="AC1512"/>
    <hyperlink r:id="rId2081" ref="AC1513"/>
    <hyperlink r:id="rId2082" ref="AC1514"/>
    <hyperlink r:id="rId2083" ref="AC1515"/>
    <hyperlink r:id="rId2084" ref="AC1516"/>
    <hyperlink r:id="rId2085" ref="AC1517"/>
    <hyperlink r:id="rId2086" ref="AC1518"/>
    <hyperlink r:id="rId2087" ref="AC1519"/>
    <hyperlink r:id="rId2088" ref="AC1520"/>
    <hyperlink r:id="rId2089" ref="AC1521"/>
    <hyperlink r:id="rId2090" ref="AC1522"/>
    <hyperlink r:id="rId2091" ref="AC1523"/>
    <hyperlink r:id="rId2092" ref="AC1524"/>
    <hyperlink r:id="rId2093" ref="AC1525"/>
    <hyperlink r:id="rId2094" ref="AC1526"/>
    <hyperlink r:id="rId2095" ref="AC1527"/>
    <hyperlink r:id="rId2096" ref="AC1528"/>
    <hyperlink r:id="rId2097" ref="AC1529"/>
    <hyperlink r:id="rId2098" ref="AC1530"/>
    <hyperlink r:id="rId2099" ref="AC1531"/>
    <hyperlink r:id="rId2100" ref="AC1532"/>
    <hyperlink r:id="rId2101" ref="AC1533"/>
    <hyperlink r:id="rId2102" ref="AC1534"/>
    <hyperlink r:id="rId2103" ref="AC1535"/>
    <hyperlink r:id="rId2104" ref="AC1536"/>
    <hyperlink r:id="rId2105" ref="AC1537"/>
    <hyperlink r:id="rId2106" ref="AC1538"/>
    <hyperlink r:id="rId2107" ref="AC1539"/>
    <hyperlink r:id="rId2108" ref="AC1540"/>
    <hyperlink r:id="rId2109" ref="AC1541"/>
    <hyperlink r:id="rId2110" ref="AC1542"/>
    <hyperlink r:id="rId2111" ref="AC1543"/>
    <hyperlink r:id="rId2112" ref="AC1544"/>
    <hyperlink r:id="rId2113" ref="AC1545"/>
    <hyperlink r:id="rId2114" ref="AC1546"/>
    <hyperlink r:id="rId2115" ref="AC1547"/>
    <hyperlink r:id="rId2116" ref="AC1548"/>
    <hyperlink r:id="rId2117" ref="AC1549"/>
    <hyperlink r:id="rId2118" ref="AC1550"/>
    <hyperlink r:id="rId2119" ref="AC1551"/>
    <hyperlink r:id="rId2120" ref="AC1552"/>
    <hyperlink r:id="rId2121" ref="AC1553"/>
    <hyperlink r:id="rId2122" ref="AC1554"/>
    <hyperlink r:id="rId2123" ref="AC1555"/>
    <hyperlink r:id="rId2124" ref="AC1556"/>
    <hyperlink r:id="rId2125" ref="AC1557"/>
    <hyperlink r:id="rId2126" ref="AC1558"/>
    <hyperlink r:id="rId2127" ref="AC1559"/>
    <hyperlink r:id="rId2128" ref="AC1560"/>
    <hyperlink r:id="rId2129" ref="AC1561"/>
    <hyperlink r:id="rId2130" ref="AC1562"/>
    <hyperlink r:id="rId2131" ref="AC1563"/>
    <hyperlink r:id="rId2132" ref="AC1564"/>
    <hyperlink r:id="rId2133" ref="AC1565"/>
    <hyperlink r:id="rId2134" ref="AC1566"/>
    <hyperlink r:id="rId2135" ref="AC1567"/>
    <hyperlink r:id="rId2136" ref="AC1568"/>
    <hyperlink r:id="rId2137" ref="AC1569"/>
    <hyperlink r:id="rId2138" ref="AC1570"/>
    <hyperlink r:id="rId2139" ref="AC1571"/>
    <hyperlink r:id="rId2140" ref="AC1572"/>
    <hyperlink r:id="rId2141" ref="AC1573"/>
    <hyperlink r:id="rId2142" ref="AC1574"/>
    <hyperlink r:id="rId2143" ref="AC1575"/>
    <hyperlink r:id="rId2144" ref="AC1576"/>
    <hyperlink r:id="rId2145" ref="AC1577"/>
    <hyperlink r:id="rId2146" ref="AC1578"/>
    <hyperlink r:id="rId2147" ref="AC1579"/>
    <hyperlink r:id="rId2148" ref="AC1580"/>
    <hyperlink r:id="rId2149" ref="AC1581"/>
    <hyperlink r:id="rId2150" ref="AC1582"/>
    <hyperlink r:id="rId2151" ref="AC1583"/>
    <hyperlink r:id="rId2152" ref="AC1584"/>
    <hyperlink r:id="rId2153" ref="AC1585"/>
    <hyperlink r:id="rId2154" ref="AC1586"/>
    <hyperlink r:id="rId2155" ref="AC1587"/>
    <hyperlink r:id="rId2156" ref="AC1588"/>
    <hyperlink r:id="rId2157" ref="AC1589"/>
    <hyperlink r:id="rId2158" ref="AC1590"/>
    <hyperlink r:id="rId2159" ref="AC1591"/>
    <hyperlink r:id="rId2160" ref="AC1592"/>
    <hyperlink r:id="rId2161" ref="AC1593"/>
    <hyperlink r:id="rId2162" ref="AC1594"/>
    <hyperlink r:id="rId2163" ref="AC1595"/>
    <hyperlink r:id="rId2164" ref="AC1596"/>
    <hyperlink r:id="rId2165" ref="AC1597"/>
    <hyperlink r:id="rId2166" ref="AC1598"/>
    <hyperlink r:id="rId2167" ref="AC1599"/>
    <hyperlink r:id="rId2168" ref="AC1600"/>
    <hyperlink r:id="rId2169" ref="AC1601"/>
    <hyperlink r:id="rId2170" ref="AC1602"/>
    <hyperlink r:id="rId2171" ref="AC1603"/>
    <hyperlink r:id="rId2172" ref="AC1604"/>
    <hyperlink r:id="rId2173" ref="AC1605"/>
    <hyperlink r:id="rId2174" ref="AC1606"/>
    <hyperlink r:id="rId2175" ref="AC1607"/>
    <hyperlink r:id="rId2176" ref="AC1608"/>
    <hyperlink r:id="rId2177" ref="AC1609"/>
    <hyperlink r:id="rId2178" ref="AC1610"/>
    <hyperlink r:id="rId2179" ref="AC1611"/>
    <hyperlink r:id="rId2180" ref="AC1612"/>
    <hyperlink r:id="rId2181" ref="AC1613"/>
    <hyperlink r:id="rId2182" ref="AC1614"/>
    <hyperlink r:id="rId2183" ref="AC1615"/>
    <hyperlink r:id="rId2184" ref="AC1616"/>
    <hyperlink r:id="rId2185" ref="AC1617"/>
    <hyperlink r:id="rId2186" ref="AC1618"/>
    <hyperlink r:id="rId2187" ref="AC1619"/>
    <hyperlink r:id="rId2188" ref="AC1620"/>
    <hyperlink r:id="rId2189" ref="AC1621"/>
    <hyperlink r:id="rId2190" ref="AC1622"/>
    <hyperlink r:id="rId2191" ref="AC1623"/>
    <hyperlink r:id="rId2192" ref="AC1624"/>
    <hyperlink r:id="rId2193" ref="AC1625"/>
    <hyperlink r:id="rId2194" ref="AC1626"/>
    <hyperlink r:id="rId2195" ref="AC1627"/>
    <hyperlink r:id="rId2196" ref="AC1628"/>
    <hyperlink r:id="rId2197" ref="AC1629"/>
    <hyperlink r:id="rId2198" ref="AC1630"/>
    <hyperlink r:id="rId2199" ref="AC1631"/>
    <hyperlink r:id="rId2200" ref="AC1632"/>
    <hyperlink r:id="rId2201" ref="AC1633"/>
    <hyperlink r:id="rId2202" ref="AC1634"/>
    <hyperlink r:id="rId2203" ref="AC1635"/>
    <hyperlink r:id="rId2204" ref="AC1636"/>
    <hyperlink r:id="rId2205" ref="AC1637"/>
    <hyperlink r:id="rId2206" ref="AC1638"/>
    <hyperlink r:id="rId2207" ref="AC1639"/>
    <hyperlink r:id="rId2208" ref="AC1640"/>
    <hyperlink r:id="rId2209" ref="AC1641"/>
    <hyperlink r:id="rId2210" ref="AC1642"/>
    <hyperlink r:id="rId2211" ref="AC1643"/>
    <hyperlink r:id="rId2212" ref="AC1644"/>
    <hyperlink r:id="rId2213" ref="AC1645"/>
    <hyperlink r:id="rId2214" ref="AC1646"/>
    <hyperlink r:id="rId2215" ref="AC1647"/>
    <hyperlink r:id="rId2216" ref="AC1648"/>
    <hyperlink r:id="rId2217" ref="AC1649"/>
    <hyperlink r:id="rId2218" ref="AC1650"/>
    <hyperlink r:id="rId2219" ref="AC1651"/>
    <hyperlink r:id="rId2220" ref="AC1652"/>
    <hyperlink r:id="rId2221" ref="AC1653"/>
    <hyperlink r:id="rId2222" ref="AC1654"/>
    <hyperlink r:id="rId2223" ref="AC1655"/>
    <hyperlink r:id="rId2224" ref="AC1656"/>
    <hyperlink r:id="rId2225" ref="AC1657"/>
    <hyperlink r:id="rId2226" ref="AC1658"/>
    <hyperlink r:id="rId2227" ref="AC1659"/>
    <hyperlink r:id="rId2228" ref="AC1660"/>
    <hyperlink r:id="rId2229" ref="AC1661"/>
    <hyperlink r:id="rId2230" ref="AC1662"/>
    <hyperlink r:id="rId2231" ref="AC1663"/>
    <hyperlink r:id="rId2232" ref="AC1664"/>
    <hyperlink r:id="rId2233" ref="AC1665"/>
    <hyperlink r:id="rId2234" ref="AC1666"/>
    <hyperlink r:id="rId2235" ref="AC1667"/>
    <hyperlink r:id="rId2236" ref="AC1668"/>
    <hyperlink r:id="rId2237" ref="AC1669"/>
    <hyperlink r:id="rId2238" ref="AC1670"/>
    <hyperlink r:id="rId2239" ref="AC1672"/>
    <hyperlink r:id="rId2240" ref="AC1673"/>
    <hyperlink r:id="rId2241" ref="AC1674"/>
    <hyperlink r:id="rId2242" ref="AC1675"/>
    <hyperlink r:id="rId2243" ref="AC1676"/>
    <hyperlink r:id="rId2244" ref="AC1677"/>
    <hyperlink r:id="rId2245" ref="AC1678"/>
    <hyperlink r:id="rId2246" ref="AC1679"/>
    <hyperlink r:id="rId2247" ref="AC1680"/>
    <hyperlink r:id="rId2248" ref="AC1681"/>
    <hyperlink r:id="rId2249" ref="AC1682"/>
    <hyperlink r:id="rId2250" ref="AC1683"/>
    <hyperlink r:id="rId2251" ref="AC1684"/>
    <hyperlink r:id="rId2252" ref="AC1685"/>
    <hyperlink r:id="rId2253" ref="AC1686"/>
    <hyperlink r:id="rId2254" ref="AC1687"/>
    <hyperlink r:id="rId2255" ref="AC1688"/>
    <hyperlink r:id="rId2256" ref="AC1689"/>
    <hyperlink r:id="rId2257" ref="AC1690"/>
    <hyperlink r:id="rId2258" ref="AC1691"/>
    <hyperlink r:id="rId2259" ref="AC1692"/>
    <hyperlink r:id="rId2260" ref="AC1693"/>
    <hyperlink r:id="rId2261" ref="AC1694"/>
    <hyperlink r:id="rId2262" ref="AC1695"/>
    <hyperlink r:id="rId2263" ref="AC1696"/>
    <hyperlink r:id="rId2264" ref="AC1697"/>
    <hyperlink r:id="rId2265" ref="AC1698"/>
    <hyperlink r:id="rId2266" ref="AC1699"/>
    <hyperlink r:id="rId2267" ref="AC1700"/>
    <hyperlink r:id="rId2268" ref="AC1701"/>
    <hyperlink r:id="rId2269" ref="AC1702"/>
    <hyperlink r:id="rId2270" ref="AC1703"/>
    <hyperlink r:id="rId2271" ref="AC1704"/>
    <hyperlink r:id="rId2272" ref="AC1705"/>
    <hyperlink r:id="rId2273" ref="AC1706"/>
    <hyperlink r:id="rId2274" ref="AC1707"/>
    <hyperlink r:id="rId2275" ref="AC1708"/>
    <hyperlink r:id="rId2276" ref="AC1709"/>
    <hyperlink r:id="rId2277" ref="AC1710"/>
    <hyperlink r:id="rId2278" ref="AC1711"/>
    <hyperlink r:id="rId2279" ref="AC1712"/>
    <hyperlink r:id="rId2280" ref="AC1713"/>
    <hyperlink r:id="rId2281" ref="AC1714"/>
    <hyperlink r:id="rId2282" ref="AC1715"/>
    <hyperlink r:id="rId2283" ref="AC1716"/>
    <hyperlink r:id="rId2284" ref="AC1717"/>
    <hyperlink r:id="rId2285" ref="AC1718"/>
    <hyperlink r:id="rId2286" ref="AC1719"/>
    <hyperlink r:id="rId2287" ref="AC1720"/>
    <hyperlink r:id="rId2288" ref="AC1721"/>
    <hyperlink r:id="rId2289" ref="AC1722"/>
    <hyperlink r:id="rId2290" ref="AC1723"/>
    <hyperlink r:id="rId2291" ref="AC1724"/>
    <hyperlink r:id="rId2292" ref="AC1725"/>
    <hyperlink r:id="rId2293" ref="AC1726"/>
    <hyperlink r:id="rId2294" ref="AC1727"/>
    <hyperlink r:id="rId2295" ref="AC1728"/>
    <hyperlink r:id="rId2296" ref="AC1729"/>
    <hyperlink r:id="rId2297" ref="AC1730"/>
    <hyperlink r:id="rId2298" ref="AC1731"/>
    <hyperlink r:id="rId2299" ref="AC1732"/>
    <hyperlink r:id="rId2300" ref="AC1733"/>
    <hyperlink r:id="rId2301" ref="AC1734"/>
    <hyperlink r:id="rId2302" ref="AC1735"/>
    <hyperlink r:id="rId2303" ref="AC1736"/>
    <hyperlink r:id="rId2304" ref="AC1737"/>
    <hyperlink r:id="rId2305" ref="AC1738"/>
    <hyperlink r:id="rId2306" ref="AC1739"/>
    <hyperlink r:id="rId2307" ref="AC1740"/>
    <hyperlink r:id="rId2308" ref="AC1741"/>
    <hyperlink r:id="rId2309" ref="AC1742"/>
    <hyperlink r:id="rId2310" ref="AC1743"/>
    <hyperlink r:id="rId2311" ref="AC1744"/>
    <hyperlink r:id="rId2312" ref="AC1745"/>
    <hyperlink r:id="rId2313" ref="AC1746"/>
    <hyperlink r:id="rId2314" ref="AC1747"/>
    <hyperlink r:id="rId2315" ref="AC1748"/>
    <hyperlink r:id="rId2316" ref="AC1749"/>
    <hyperlink r:id="rId2317" ref="AC1750"/>
    <hyperlink r:id="rId2318" ref="AC1751"/>
    <hyperlink r:id="rId2319" ref="AC1752"/>
    <hyperlink r:id="rId2320" ref="AC1753"/>
    <hyperlink r:id="rId2321" ref="AC1754"/>
    <hyperlink r:id="rId2322" ref="AC1755"/>
    <hyperlink r:id="rId2323" ref="AC1756"/>
    <hyperlink r:id="rId2324" ref="AC1757"/>
    <hyperlink r:id="rId2325" ref="AC1758"/>
    <hyperlink r:id="rId2326" ref="AC1759"/>
    <hyperlink r:id="rId2327" ref="AC1760"/>
    <hyperlink r:id="rId2328" ref="AC1761"/>
    <hyperlink r:id="rId2329" ref="AC1762"/>
    <hyperlink r:id="rId2330" ref="AC1763"/>
    <hyperlink r:id="rId2331" ref="AC1764"/>
    <hyperlink r:id="rId2332" ref="AC1765"/>
    <hyperlink r:id="rId2333" ref="AC1766"/>
    <hyperlink r:id="rId2334" ref="AC1767"/>
    <hyperlink r:id="rId2335" ref="AC1768"/>
    <hyperlink r:id="rId2336" ref="AC1769"/>
    <hyperlink r:id="rId2337" ref="AC1770"/>
    <hyperlink r:id="rId2338" ref="AC1771"/>
    <hyperlink r:id="rId2339" ref="AC1772"/>
    <hyperlink r:id="rId2340" ref="AC1773"/>
    <hyperlink r:id="rId2341" ref="AC1774"/>
    <hyperlink r:id="rId2342" ref="AC1775"/>
    <hyperlink r:id="rId2343" ref="AC1776"/>
    <hyperlink r:id="rId2344" ref="AC1777"/>
    <hyperlink r:id="rId2345" ref="AC1778"/>
    <hyperlink r:id="rId2346" ref="AC1779"/>
    <hyperlink r:id="rId2347" ref="AC1780"/>
    <hyperlink r:id="rId2348" ref="AC1781"/>
    <hyperlink r:id="rId2349" ref="AC1782"/>
    <hyperlink r:id="rId2350" ref="AC1783"/>
    <hyperlink r:id="rId2351" ref="AC1784"/>
    <hyperlink r:id="rId2352" ref="AC1785"/>
    <hyperlink r:id="rId2353" ref="AC1786"/>
    <hyperlink r:id="rId2354" ref="AC1787"/>
    <hyperlink r:id="rId2355" ref="AC1788"/>
    <hyperlink r:id="rId2356" ref="AC1789"/>
    <hyperlink r:id="rId2357" ref="AC1790"/>
    <hyperlink r:id="rId2358" ref="AC1791"/>
    <hyperlink r:id="rId2359" ref="AC1792"/>
    <hyperlink r:id="rId2360" ref="AC1793"/>
    <hyperlink r:id="rId2361" ref="AC1794"/>
    <hyperlink r:id="rId2362" ref="AC1795"/>
    <hyperlink r:id="rId2363" ref="AC1796"/>
    <hyperlink r:id="rId2364" ref="AC1797"/>
    <hyperlink r:id="rId2365" ref="AC1798"/>
    <hyperlink r:id="rId2366" ref="AC1799"/>
    <hyperlink r:id="rId2367" ref="AC1800"/>
    <hyperlink r:id="rId2368" ref="AC1801"/>
    <hyperlink r:id="rId2369" ref="AC1802"/>
    <hyperlink r:id="rId2370" ref="AC1803"/>
    <hyperlink r:id="rId2371" ref="AC1804"/>
    <hyperlink r:id="rId2372" ref="AC1805"/>
    <hyperlink r:id="rId2373" ref="AC1806"/>
    <hyperlink r:id="rId2374" ref="AC1807"/>
    <hyperlink r:id="rId2375" ref="AC1808"/>
    <hyperlink r:id="rId2376" ref="AC1809"/>
    <hyperlink r:id="rId2377" ref="AC1810"/>
    <hyperlink r:id="rId2378" ref="AC1811"/>
    <hyperlink r:id="rId2379" ref="AC1812"/>
    <hyperlink r:id="rId2380" ref="AC1813"/>
    <hyperlink r:id="rId2381" ref="AC1814"/>
    <hyperlink r:id="rId2382" ref="AC1815"/>
    <hyperlink r:id="rId2383" ref="AC1816"/>
    <hyperlink r:id="rId2384" ref="AC1817"/>
    <hyperlink r:id="rId2385" ref="AC1818"/>
    <hyperlink r:id="rId2386" ref="AC1819"/>
    <hyperlink r:id="rId2387" ref="AC1820"/>
    <hyperlink r:id="rId2388" ref="AC1821"/>
    <hyperlink r:id="rId2389" ref="AC1822"/>
    <hyperlink r:id="rId2390" ref="AC1823"/>
    <hyperlink r:id="rId2391" ref="AC1824"/>
    <hyperlink r:id="rId2392" ref="AC1825"/>
    <hyperlink r:id="rId2393" ref="AC1826"/>
    <hyperlink r:id="rId2394" ref="AC1827"/>
    <hyperlink r:id="rId2395" ref="AC1828"/>
    <hyperlink r:id="rId2396" ref="AC1829"/>
    <hyperlink r:id="rId2397" ref="AC1830"/>
    <hyperlink r:id="rId2398" ref="AC1831"/>
    <hyperlink r:id="rId2399" ref="AC1832"/>
    <hyperlink r:id="rId2400" ref="AC1833"/>
    <hyperlink r:id="rId2401" ref="AC1834"/>
    <hyperlink r:id="rId2402" ref="AC1835"/>
    <hyperlink r:id="rId2403" ref="AC1836"/>
    <hyperlink r:id="rId2404" ref="AC1837"/>
    <hyperlink r:id="rId2405" ref="AC1838"/>
    <hyperlink r:id="rId2406" ref="AC1839"/>
    <hyperlink r:id="rId2407" ref="AC1840"/>
    <hyperlink r:id="rId2408" ref="AC1841"/>
    <hyperlink r:id="rId2409" ref="AC1842"/>
    <hyperlink r:id="rId2410" ref="AC1843"/>
    <hyperlink r:id="rId2411" ref="AC1844"/>
    <hyperlink r:id="rId2412" ref="AC1845"/>
    <hyperlink r:id="rId2413" ref="AC1846"/>
    <hyperlink r:id="rId2414" ref="AC1847"/>
    <hyperlink r:id="rId2415" ref="AC1848"/>
    <hyperlink r:id="rId2416" ref="AC1849"/>
    <hyperlink r:id="rId2417" ref="AC1850"/>
    <hyperlink r:id="rId2418" ref="AC1851"/>
    <hyperlink r:id="rId2419" ref="AC1852"/>
    <hyperlink r:id="rId2420" ref="AC1853"/>
    <hyperlink r:id="rId2421" ref="AC1854"/>
    <hyperlink r:id="rId2422" ref="AC1855"/>
    <hyperlink r:id="rId2423" ref="AC1856"/>
    <hyperlink r:id="rId2424" ref="AC1857"/>
    <hyperlink r:id="rId2425" ref="AC1858"/>
    <hyperlink r:id="rId2426" ref="AC1860"/>
    <hyperlink r:id="rId2427" ref="AC1861"/>
    <hyperlink r:id="rId2428" ref="AC1862"/>
    <hyperlink r:id="rId2429" ref="AC1863"/>
    <hyperlink r:id="rId2430" ref="AC1864"/>
    <hyperlink r:id="rId2431" ref="AC1865"/>
    <hyperlink r:id="rId2432" ref="AC1866"/>
    <hyperlink r:id="rId2433" ref="AC1867"/>
    <hyperlink r:id="rId2434" ref="AC1868"/>
    <hyperlink r:id="rId2435" ref="AC1869"/>
    <hyperlink r:id="rId2436" ref="AC1870"/>
    <hyperlink r:id="rId2437" ref="AC1871"/>
    <hyperlink r:id="rId2438" ref="AC1872"/>
    <hyperlink r:id="rId2439" ref="AC1873"/>
    <hyperlink r:id="rId2440" ref="AC1874"/>
    <hyperlink r:id="rId2441" ref="AC1875"/>
    <hyperlink r:id="rId2442" ref="AC1876"/>
    <hyperlink r:id="rId2443" ref="AC1877"/>
    <hyperlink r:id="rId2444" ref="AC1878"/>
    <hyperlink r:id="rId2445" ref="AC1879"/>
    <hyperlink r:id="rId2446" ref="AC1880"/>
    <hyperlink r:id="rId2447" ref="AC1881"/>
    <hyperlink r:id="rId2448" ref="AC1882"/>
    <hyperlink r:id="rId2449" ref="AC1883"/>
    <hyperlink r:id="rId2450" ref="AC1884"/>
    <hyperlink r:id="rId2451" ref="AC1885"/>
    <hyperlink r:id="rId2452" ref="AC1886"/>
    <hyperlink r:id="rId2453" ref="AC1887"/>
    <hyperlink r:id="rId2454" ref="AC1888"/>
    <hyperlink r:id="rId2455" ref="AC1889"/>
    <hyperlink r:id="rId2456" ref="AC1890"/>
    <hyperlink r:id="rId2457" ref="AC1891"/>
    <hyperlink r:id="rId2458" ref="AC1892"/>
    <hyperlink r:id="rId2459" ref="AC1893"/>
    <hyperlink r:id="rId2460" ref="AC1894"/>
    <hyperlink r:id="rId2461" ref="AC1895"/>
    <hyperlink r:id="rId2462" ref="AC1896"/>
    <hyperlink r:id="rId2463" ref="AC1897"/>
    <hyperlink r:id="rId2464" ref="AC1898"/>
    <hyperlink r:id="rId2465" ref="AC1899"/>
    <hyperlink r:id="rId2466" ref="AC1900"/>
    <hyperlink r:id="rId2467" ref="AC1901"/>
    <hyperlink r:id="rId2468" ref="AC1902"/>
    <hyperlink r:id="rId2469" ref="AC1903"/>
    <hyperlink r:id="rId2470" ref="AC1904"/>
    <hyperlink r:id="rId2471" ref="AC1905"/>
    <hyperlink r:id="rId2472" ref="AC1906"/>
    <hyperlink r:id="rId2473" ref="AC1907"/>
    <hyperlink r:id="rId2474" ref="AC1908"/>
    <hyperlink r:id="rId2475" ref="AC1909"/>
    <hyperlink r:id="rId2476" ref="AC1910"/>
    <hyperlink r:id="rId2477" ref="AC1911"/>
    <hyperlink r:id="rId2478" ref="AC1912"/>
    <hyperlink r:id="rId2479" ref="AC1913"/>
    <hyperlink r:id="rId2480" ref="AC1914"/>
    <hyperlink r:id="rId2481" ref="AC1915"/>
    <hyperlink r:id="rId2482" ref="AC1916"/>
    <hyperlink r:id="rId2483" ref="AC1917"/>
    <hyperlink r:id="rId2484" ref="AC1918"/>
    <hyperlink r:id="rId2485" ref="AC1919"/>
    <hyperlink r:id="rId2486" ref="AC1920"/>
    <hyperlink r:id="rId2487" ref="AC1921"/>
    <hyperlink r:id="rId2488" ref="AC1922"/>
    <hyperlink r:id="rId2489" ref="AC1923"/>
    <hyperlink r:id="rId2490" ref="AC1924"/>
    <hyperlink r:id="rId2491" ref="AC1925"/>
    <hyperlink r:id="rId2492" ref="AC1927"/>
    <hyperlink r:id="rId2493" ref="AC1928"/>
    <hyperlink r:id="rId2494" ref="AC1929"/>
    <hyperlink r:id="rId2495" ref="AC1930"/>
    <hyperlink r:id="rId2496" ref="AC1931"/>
    <hyperlink r:id="rId2497" ref="AC1932"/>
    <hyperlink r:id="rId2498" ref="AC1933"/>
    <hyperlink r:id="rId2499" ref="AC1934"/>
    <hyperlink r:id="rId2500" ref="AC1935"/>
    <hyperlink r:id="rId2501" ref="AC1936"/>
    <hyperlink r:id="rId2502" ref="AC1937"/>
    <hyperlink r:id="rId2503" ref="AC1938"/>
    <hyperlink r:id="rId2504" ref="AC1939"/>
    <hyperlink r:id="rId2505" ref="AC1940"/>
    <hyperlink r:id="rId2506" ref="AC1941"/>
    <hyperlink r:id="rId2507" ref="AC1942"/>
    <hyperlink r:id="rId2508" ref="AC1943"/>
    <hyperlink r:id="rId2509" ref="AC1944"/>
    <hyperlink r:id="rId2510" ref="AC1945"/>
    <hyperlink r:id="rId2511" ref="AC1946"/>
    <hyperlink r:id="rId2512" ref="AC1947"/>
    <hyperlink r:id="rId2513" ref="AC1948"/>
    <hyperlink r:id="rId2514" ref="AC1949"/>
    <hyperlink r:id="rId2515" ref="AC1950"/>
    <hyperlink r:id="rId2516" ref="AC1951"/>
    <hyperlink r:id="rId2517" ref="AC1952"/>
    <hyperlink r:id="rId2518" ref="AC1953"/>
    <hyperlink r:id="rId2519" ref="AC1954"/>
    <hyperlink r:id="rId2520" ref="AC1955"/>
    <hyperlink r:id="rId2521" ref="AC1956"/>
    <hyperlink r:id="rId2522" ref="AC1957"/>
    <hyperlink r:id="rId2523" ref="AC1958"/>
    <hyperlink r:id="rId2524" ref="AC1959"/>
    <hyperlink r:id="rId2525" ref="AC1960"/>
    <hyperlink r:id="rId2526" ref="AC1961"/>
    <hyperlink r:id="rId2527" ref="AC1962"/>
    <hyperlink r:id="rId2528" ref="AC1963"/>
    <hyperlink r:id="rId2529" ref="AC1964"/>
    <hyperlink r:id="rId2530" ref="AC1965"/>
    <hyperlink r:id="rId2531" ref="AC1966"/>
    <hyperlink r:id="rId2532" ref="AC1967"/>
    <hyperlink r:id="rId2533" ref="AC1968"/>
    <hyperlink r:id="rId2534" ref="AC1969"/>
    <hyperlink r:id="rId2535" ref="AC1970"/>
    <hyperlink r:id="rId2536" ref="AC1971"/>
    <hyperlink r:id="rId2537" ref="AC1972"/>
    <hyperlink r:id="rId2538" ref="AC1973"/>
    <hyperlink r:id="rId2539" ref="AC1974"/>
    <hyperlink r:id="rId2540" ref="AC1975"/>
    <hyperlink r:id="rId2541" ref="AC1976"/>
    <hyperlink r:id="rId2542" ref="AC1977"/>
    <hyperlink r:id="rId2543" ref="AC1978"/>
    <hyperlink r:id="rId2544" ref="AC1979"/>
    <hyperlink r:id="rId2545" ref="AC1980"/>
    <hyperlink r:id="rId2546" ref="AC1981"/>
    <hyperlink r:id="rId2547" ref="AC1982"/>
    <hyperlink r:id="rId2548" ref="AC1983"/>
    <hyperlink r:id="rId2549" ref="AC1984"/>
    <hyperlink r:id="rId2550" ref="AC1985"/>
    <hyperlink r:id="rId2551" ref="AC1986"/>
    <hyperlink r:id="rId2552" ref="AC1987"/>
    <hyperlink r:id="rId2553" ref="AC1988"/>
    <hyperlink r:id="rId2554" ref="AC1989"/>
    <hyperlink r:id="rId2555" ref="AC1990"/>
    <hyperlink r:id="rId2556" ref="AC1991"/>
    <hyperlink r:id="rId2557" ref="AC1992"/>
    <hyperlink r:id="rId2558" ref="AC1993"/>
    <hyperlink r:id="rId2559" ref="AC1994"/>
    <hyperlink r:id="rId2560" ref="AC1995"/>
    <hyperlink r:id="rId2561" ref="AC1996"/>
    <hyperlink r:id="rId2562" ref="AC1997"/>
    <hyperlink r:id="rId2563" ref="AC1998"/>
    <hyperlink r:id="rId2564" ref="AC1999"/>
    <hyperlink r:id="rId2565" ref="AC2000"/>
    <hyperlink r:id="rId2566" ref="AC2001"/>
    <hyperlink r:id="rId2567" ref="AC2002"/>
    <hyperlink r:id="rId2568" ref="AC2003"/>
    <hyperlink r:id="rId2569" ref="AC2004"/>
    <hyperlink r:id="rId2570" ref="AC2005"/>
    <hyperlink r:id="rId2571" ref="AC2006"/>
    <hyperlink r:id="rId2572" ref="AC2007"/>
    <hyperlink r:id="rId2573" ref="AC2008"/>
    <hyperlink r:id="rId2574" ref="AC2009"/>
    <hyperlink r:id="rId2575" ref="AC2010"/>
    <hyperlink r:id="rId2576" ref="AC2011"/>
    <hyperlink r:id="rId2577" ref="AC2012"/>
    <hyperlink r:id="rId2578" ref="AC2013"/>
    <hyperlink r:id="rId2579" ref="AC2014"/>
    <hyperlink r:id="rId2580" ref="AC2015"/>
    <hyperlink r:id="rId2581" ref="AC2016"/>
    <hyperlink r:id="rId2582" ref="AC2017"/>
    <hyperlink r:id="rId2583" ref="AC2018"/>
    <hyperlink r:id="rId2584" ref="AC2020"/>
    <hyperlink r:id="rId2585" ref="AC2021"/>
    <hyperlink r:id="rId2586" ref="AC2022"/>
    <hyperlink r:id="rId2587" ref="AC2023"/>
    <hyperlink r:id="rId2588" ref="AC2024"/>
    <hyperlink r:id="rId2589" ref="AC2025"/>
    <hyperlink r:id="rId2590" ref="AC2026"/>
    <hyperlink r:id="rId2591" ref="AC2027"/>
    <hyperlink r:id="rId2592" ref="AC2028"/>
    <hyperlink r:id="rId2593" ref="AC2029"/>
    <hyperlink r:id="rId2594" ref="AC2030"/>
    <hyperlink r:id="rId2595" ref="AC2031"/>
    <hyperlink r:id="rId2596" ref="AC2032"/>
    <hyperlink r:id="rId2597" ref="AC2033"/>
    <hyperlink r:id="rId2598" ref="AC2034"/>
    <hyperlink r:id="rId2599" ref="AC2035"/>
    <hyperlink r:id="rId2600" ref="AC2036"/>
    <hyperlink r:id="rId2601" ref="AC2037"/>
    <hyperlink r:id="rId2602" ref="AC2039"/>
    <hyperlink r:id="rId2603" ref="AC2040"/>
    <hyperlink r:id="rId2604" ref="AC2041"/>
    <hyperlink r:id="rId2605" ref="AC2042"/>
    <hyperlink r:id="rId2606" ref="AC2043"/>
    <hyperlink r:id="rId2607" ref="AC2044"/>
    <hyperlink r:id="rId2608" ref="AC2045"/>
    <hyperlink r:id="rId2609" ref="AC2046"/>
    <hyperlink r:id="rId2610" ref="AC2047"/>
    <hyperlink r:id="rId2611" ref="AC2048"/>
    <hyperlink r:id="rId2612" ref="AC2049"/>
    <hyperlink r:id="rId2613" ref="AC2050"/>
    <hyperlink r:id="rId2614" ref="AC2051"/>
    <hyperlink r:id="rId2615" ref="AC2052"/>
    <hyperlink r:id="rId2616" ref="AC2053"/>
    <hyperlink r:id="rId2617" ref="AC2054"/>
    <hyperlink r:id="rId2618" ref="AC2055"/>
    <hyperlink r:id="rId2619" ref="AC2056"/>
    <hyperlink r:id="rId2620" ref="AC2057"/>
    <hyperlink r:id="rId2621" ref="AC2058"/>
    <hyperlink r:id="rId2622" ref="AC2059"/>
    <hyperlink r:id="rId2623" ref="AC2060"/>
    <hyperlink r:id="rId2624" ref="AC2061"/>
    <hyperlink r:id="rId2625" ref="AC2062"/>
    <hyperlink r:id="rId2626" ref="AC2063"/>
    <hyperlink r:id="rId2627" ref="AC2064"/>
    <hyperlink r:id="rId2628" ref="AC2065"/>
    <hyperlink r:id="rId2629" ref="AC2066"/>
    <hyperlink r:id="rId2630" ref="AC2067"/>
    <hyperlink r:id="rId2631" ref="AC2068"/>
    <hyperlink r:id="rId2632" ref="AC2069"/>
    <hyperlink r:id="rId2633" ref="AC2070"/>
    <hyperlink r:id="rId2634" ref="AC2071"/>
    <hyperlink r:id="rId2635" ref="AC2072"/>
    <hyperlink r:id="rId2636" ref="AC2073"/>
    <hyperlink r:id="rId2637" ref="AC2074"/>
    <hyperlink r:id="rId2638" ref="AC2075"/>
    <hyperlink r:id="rId2639" ref="AC2076"/>
    <hyperlink r:id="rId2640" ref="AC2077"/>
    <hyperlink r:id="rId2641" ref="AC2078"/>
    <hyperlink r:id="rId2642" ref="AC2079"/>
    <hyperlink r:id="rId2643" ref="AC2102"/>
    <hyperlink r:id="rId2644" ref="AC2103"/>
  </hyperlinks>
  <drawing r:id="rId2645"/>
</worksheet>
</file>